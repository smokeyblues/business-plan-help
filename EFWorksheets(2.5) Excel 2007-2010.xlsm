
<file path=[Content_Types].xml><?xml version="1.0" encoding="utf-8"?>
<Types xmlns="http://schemas.openxmlformats.org/package/2006/content-types">
  <Override PartName="/xl/worksheets/sheet15.xml" ContentType="application/vnd.openxmlformats-officedocument.spreadsheetml.worksheet+xml"/>
  <Override PartName="/xl/charts/chart6.xml" ContentType="application/vnd.openxmlformats-officedocument.drawingml.chart+xml"/>
  <Override PartName="/xl/vbaProjectSignature.bin" ContentType="application/vnd.ms-office.vbaProjectSignature"/>
  <Override PartName="/xl/attachedToolbars.bin" ContentType="application/vnd.ms-excel.attachedToolbar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drawings/drawing6.xml" ContentType="application/vnd.openxmlformats-officedocument.drawing+xml"/>
  <Override PartName="/xl/drawings/drawing8.xml" ContentType="application/vnd.openxmlformats-officedocument.drawing+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comments6.xml" ContentType="application/vnd.openxmlformats-officedocument.spreadsheetml.comments+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activeX/activeX3.xml" ContentType="application/vnd.ms-office.activeX+xml"/>
  <Override PartName="/xl/comments4.xml" ContentType="application/vnd.openxmlformats-officedocument.spreadsheetml.comments+xml"/>
  <Override PartName="/xl/worksheets/sheet3.xml" ContentType="application/vnd.openxmlformats-officedocument.spreadsheetml.worksheet+xml"/>
  <Override PartName="/xl/chartsheets/sheet6.xml" ContentType="application/vnd.openxmlformats-officedocument.spreadsheetml.chartsheet+xml"/>
  <Override PartName="/xl/activeX/activeX1.xml" ContentType="application/vnd.ms-office.activeX+xml"/>
  <Override PartName="/xl/comments2.xml" ContentType="application/vnd.openxmlformats-officedocument.spreadsheetml.comments+xml"/>
  <Override PartName="/xl/worksheets/sheet1.xml" ContentType="application/vnd.openxmlformats-officedocument.spreadsheetml.worksheet+xml"/>
  <Override PartName="/xl/chartsheets/sheet4.xml" ContentType="application/vnd.openxmlformats-officedocument.spreadsheetml.chartsheet+xml"/>
  <Override PartName="/xl/externalLinks/externalLink1.xml" ContentType="application/vnd.openxmlformats-officedocument.spreadsheetml.externalLink+xml"/>
  <Override PartName="/xl/drawings/drawing11.xml" ContentType="application/vnd.openxmlformats-officedocument.drawing+xml"/>
  <Override PartName="/xl/comments14.xml" ContentType="application/vnd.openxmlformats-officedocument.spreadsheetml.comments+xml"/>
  <Override PartName="/xl/worksheets/sheet19.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drawings/drawing10.xml" ContentType="application/vnd.openxmlformats-officedocument.drawing+xml"/>
  <Override PartName="/customUI/images/PSLogo1.png" ContentType="image/.png"/>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comments9.xml" ContentType="application/vnd.openxmlformats-officedocument.spreadsheetml.comments+xml"/>
  <Override PartName="/xl/drawings/drawing7.xml" ContentType="application/vnd.openxmlformats-officedocument.drawing+xml"/>
  <Override PartName="/xl/charts/chart5.xml" ContentType="application/vnd.openxmlformats-officedocument.drawingml.char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jpeg" ContentType="image/jpeg"/>
  <Override PartName="/xl/drawings/drawing5.xml" ContentType="application/vnd.openxmlformats-officedocument.drawing+xml"/>
  <Default Extension="emf" ContentType="image/x-emf"/>
  <Override PartName="/xl/comments7.xml" ContentType="application/vnd.openxmlformats-officedocument.spreadsheetml.comments+xml"/>
  <Override PartName="/xl/charts/chart3.xml" ContentType="application/vnd.openxmlformats-officedocument.drawingml.chart+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activeX/activeX2.xml" ContentType="application/vnd.ms-office.activeX+xml"/>
  <Override PartName="/xl/comments5.xml" ContentType="application/vnd.openxmlformats-officedocument.spreadsheetml.comments+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chartsheets/sheet5.xml" ContentType="application/vnd.openxmlformats-officedocument.spreadsheetml.chartsheet+xml"/>
  <Default Extension="gif" ContentType="image/gif"/>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calcChain.xml" ContentType="application/vnd.openxmlformats-officedocument.spreadsheetml.calcChain+xml"/>
</Types>
</file>

<file path=_rels/.rels><?xml version="1.0" encoding="UTF-8" standalone="yes"?>
<Relationships xmlns="http://schemas.openxmlformats.org/package/2006/relationships"><Relationship Id="R3f35c6350641464e"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date1904="1" filterPrivacy="1" codeName="ThisWorkbook" defaultThemeVersion="124226"/>
  <workbookProtection lockStructure="1"/>
  <bookViews>
    <workbookView xWindow="-1050" yWindow="255" windowWidth="14865" windowHeight="8625" tabRatio="836"/>
  </bookViews>
  <sheets>
    <sheet name="Warning" sheetId="36" r:id="rId1"/>
    <sheet name="WelcomeMac" sheetId="50" state="hidden" r:id="rId2"/>
    <sheet name="Welcome" sheetId="47" r:id="rId3"/>
    <sheet name="MacVsWindows" sheetId="51" r:id="rId4"/>
    <sheet name="About" sheetId="49" state="hidden" r:id="rId5"/>
    <sheet name="License" sheetId="48" state="hidden" r:id="rId6"/>
    <sheet name="Setup" sheetId="14" r:id="rId7"/>
    <sheet name="SalesProj" sheetId="11" r:id="rId8"/>
    <sheet name="Inventory" sheetId="39" r:id="rId9"/>
    <sheet name="CapEx" sheetId="38" r:id="rId10"/>
    <sheet name="PersBudj" sheetId="1" r:id="rId11"/>
    <sheet name="MktBudj" sheetId="10" r:id="rId12"/>
    <sheet name="ProSvs" sheetId="22" r:id="rId13"/>
    <sheet name="CapInvest" sheetId="40" r:id="rId14"/>
    <sheet name="IncSt" sheetId="6" r:id="rId15"/>
    <sheet name="CshFlw" sheetId="9" r:id="rId16"/>
    <sheet name="BalSht" sheetId="17" r:id="rId17"/>
    <sheet name="BrkEvn" sheetId="44" r:id="rId18"/>
    <sheet name="Ratios" sheetId="45" r:id="rId19"/>
    <sheet name="1YrAtGl" sheetId="30" r:id="rId20"/>
    <sheet name="NSYr1" sheetId="26" r:id="rId21"/>
    <sheet name="1YrCshFlw" sheetId="31" r:id="rId22"/>
    <sheet name="2ndYrCshFlw" sheetId="46" r:id="rId23"/>
    <sheet name="5YrAtGl" sheetId="29" r:id="rId24"/>
    <sheet name="NS5Yr" sheetId="28" r:id="rId25"/>
    <sheet name="Config" sheetId="18" state="hidden" r:id="rId26"/>
  </sheets>
  <externalReferences>
    <externalReference r:id="rId27"/>
  </externalReferences>
  <definedNames>
    <definedName name="_xlnm._FilterDatabase" localSheetId="9" hidden="1">CapEx!$B$29:$B$37</definedName>
    <definedName name="_xlnm._FilterDatabase" localSheetId="13" hidden="1">CapInvest!$B$35:$B$43</definedName>
    <definedName name="cMonthStartup">Config!$F$4</definedName>
    <definedName name="cMonthStartupAbbrev">Config!$F$6</definedName>
    <definedName name="CoGPct" localSheetId="0">Warning!#REF!</definedName>
    <definedName name="CommRate" localSheetId="0">Warning!#REF!</definedName>
    <definedName name="CommSales" localSheetId="0">Warning!#REF!</definedName>
    <definedName name="CoName" localSheetId="0">Warning!#REF!</definedName>
    <definedName name="CoName">Setup!$B$7</definedName>
    <definedName name="CreditMultA" localSheetId="2">[1]Config!$F$16</definedName>
    <definedName name="CreditMultA" localSheetId="1">[1]Config!$F$16</definedName>
    <definedName name="CreditMultA">Config!$F$16</definedName>
    <definedName name="CreditMultB" localSheetId="2">[1]Config!$F$17</definedName>
    <definedName name="CreditMultB" localSheetId="1">[1]Config!$F$17</definedName>
    <definedName name="CreditMultB">Config!$F$17</definedName>
    <definedName name="CreditSales" localSheetId="0">Warning!#REF!</definedName>
    <definedName name="CreditSales" localSheetId="2">[1]Setup!$C$14</definedName>
    <definedName name="CreditSales" localSheetId="1">[1]Setup!$C$14</definedName>
    <definedName name="CreditSales">Setup!$D$18</definedName>
    <definedName name="CreditTerms" localSheetId="2">[1]Setup!$C$16</definedName>
    <definedName name="CreditTerms" localSheetId="1">[1]Setup!$C$16</definedName>
    <definedName name="CreditTerms">Setup!$D$20</definedName>
    <definedName name="cStartDate">Config!$K$12</definedName>
    <definedName name="cYearStartup">Config!$F$2</definedName>
    <definedName name="DepList">Config!$I$15:$I$18</definedName>
    <definedName name="EmpBeneIncrease" localSheetId="0">Warning!#REF!</definedName>
    <definedName name="EmpBeneIncrease" localSheetId="2">[1]Setup!$C$22</definedName>
    <definedName name="EmpBeneIncrease" localSheetId="1">[1]Setup!$C$22</definedName>
    <definedName name="EmpBeneIncrease">Setup!$D$26</definedName>
    <definedName name="EmpBenes" localSheetId="0">Warning!#REF!</definedName>
    <definedName name="EmpBenes" localSheetId="2">[1]Setup!$C$20</definedName>
    <definedName name="EmpBenes" localSheetId="1">[1]Setup!$C$20</definedName>
    <definedName name="EmpBenes">Setup!$D$24</definedName>
    <definedName name="EmpBenesIncrease" localSheetId="0">Warning!#REF!</definedName>
    <definedName name="EmpBenesIncrease">Setup!$D$26</definedName>
    <definedName name="IncTaxRate" localSheetId="0">Warning!#REF!</definedName>
    <definedName name="IncTaxRate" localSheetId="2">[1]Setup!$C$32</definedName>
    <definedName name="IncTaxRate" localSheetId="1">[1]Setup!$C$32</definedName>
    <definedName name="IncTaxRate">Setup!$D$36</definedName>
    <definedName name="InterestRate" localSheetId="2">[1]Setup!$C$34</definedName>
    <definedName name="InterestRate" localSheetId="1">[1]Setup!$C$34</definedName>
    <definedName name="InterestRate">Setup!$D$38</definedName>
    <definedName name="listdoubleMonths">Config!$A$41:$A$64</definedName>
    <definedName name="listMonths">Config!$A$1:$A$12</definedName>
    <definedName name="listNumProds">Config!$A$16:$A$25</definedName>
    <definedName name="listYears">Config!$B$1:$B$5</definedName>
    <definedName name="LookupMonthsShort">Config!$I$1:$J$12</definedName>
    <definedName name="LookupYears">Config!$K$2:$L$6</definedName>
    <definedName name="Months">Config!$A$1:$A$12</definedName>
    <definedName name="MonthsShort" localSheetId="2">[1]Config!$I$1:$I$12</definedName>
    <definedName name="MonthsShort" localSheetId="1">[1]Config!$I$1:$I$12</definedName>
    <definedName name="MonthsShort">Config!$I$1:$I$12</definedName>
    <definedName name="P10COG" localSheetId="8">Inventory!#REF!</definedName>
    <definedName name="P10COG" localSheetId="2">[1]SalesProj!$D$102</definedName>
    <definedName name="P10COG" localSheetId="1">[1]SalesProj!$D$102</definedName>
    <definedName name="P10COG">SalesProj!$D$102</definedName>
    <definedName name="P10CommRate" localSheetId="8">Inventory!#REF!</definedName>
    <definedName name="P10CommRate" localSheetId="2">[1]SalesProj!$D$99</definedName>
    <definedName name="P10CommRate" localSheetId="1">[1]SalesProj!$D$99</definedName>
    <definedName name="P10CommRate">SalesProj!$D$99</definedName>
    <definedName name="P10CommSales" localSheetId="8">Inventory!#REF!</definedName>
    <definedName name="P10CommSales" localSheetId="2">[1]SalesProj!$C$99</definedName>
    <definedName name="P10CommSales" localSheetId="1">[1]SalesProj!$C$99</definedName>
    <definedName name="P10CommSales">SalesProj!$C$99</definedName>
    <definedName name="P10GrowthRate" localSheetId="8">Inventory!#REF!</definedName>
    <definedName name="P10GrowthRate" localSheetId="2">[1]SalesProj!$D$96</definedName>
    <definedName name="P10GrowthRate" localSheetId="1">[1]SalesProj!$D$96</definedName>
    <definedName name="P10GrowthRate">SalesProj!$D$96</definedName>
    <definedName name="P10ReturnRate" localSheetId="8">Inventory!#REF!</definedName>
    <definedName name="P10ReturnRate" localSheetId="2">[1]SalesProj!$D$100</definedName>
    <definedName name="P10ReturnRate" localSheetId="1">[1]SalesProj!$D$100</definedName>
    <definedName name="P10ReturnRate">SalesProj!$D$100</definedName>
    <definedName name="P1COG" localSheetId="8">Inventory!#REF!</definedName>
    <definedName name="P1COG" localSheetId="2">[1]SalesProj!$D$12</definedName>
    <definedName name="P1COG" localSheetId="1">[1]SalesProj!$D$12</definedName>
    <definedName name="P1COG">SalesProj!$D$12</definedName>
    <definedName name="P1CommRate" localSheetId="8">Inventory!#REF!</definedName>
    <definedName name="P1CommRate" localSheetId="2">[1]SalesProj!$D$9</definedName>
    <definedName name="P1CommRate" localSheetId="1">[1]SalesProj!$D$9</definedName>
    <definedName name="P1CommRate">SalesProj!$D$9</definedName>
    <definedName name="P1CommSales" localSheetId="8">Inventory!#REF!</definedName>
    <definedName name="P1CommSales" localSheetId="2">[1]SalesProj!$C$9</definedName>
    <definedName name="P1CommSales" localSheetId="1">[1]SalesProj!$C$9</definedName>
    <definedName name="P1CommSales">SalesProj!$C$9</definedName>
    <definedName name="P1GrowthRate" localSheetId="8">Inventory!#REF!</definedName>
    <definedName name="P1GrowthRate" localSheetId="2">[1]SalesProj!$D$6</definedName>
    <definedName name="P1GrowthRate" localSheetId="1">[1]SalesProj!$D$6</definedName>
    <definedName name="P1GrowthRate">SalesProj!$D$6</definedName>
    <definedName name="P1ReturnRate" localSheetId="8">Inventory!#REF!</definedName>
    <definedName name="P1ReturnRate" localSheetId="2">[1]SalesProj!$D$10</definedName>
    <definedName name="P1ReturnRate" localSheetId="1">[1]SalesProj!$D$10</definedName>
    <definedName name="P1ReturnRate">SalesProj!$D$10</definedName>
    <definedName name="P2COG" localSheetId="8">Inventory!#REF!</definedName>
    <definedName name="P2COG" localSheetId="2">[1]SalesProj!$D$22</definedName>
    <definedName name="P2COG" localSheetId="1">[1]SalesProj!$D$22</definedName>
    <definedName name="P2COG">SalesProj!$D$22</definedName>
    <definedName name="P2CommRate" localSheetId="8">Inventory!#REF!</definedName>
    <definedName name="P2CommRate" localSheetId="2">[1]SalesProj!$D$19</definedName>
    <definedName name="P2CommRate" localSheetId="1">[1]SalesProj!$D$19</definedName>
    <definedName name="P2CommRate">SalesProj!$D$19</definedName>
    <definedName name="P2CommSales" localSheetId="8">Inventory!#REF!</definedName>
    <definedName name="P2CommSales" localSheetId="2">[1]SalesProj!$C$19</definedName>
    <definedName name="P2CommSales" localSheetId="1">[1]SalesProj!$C$19</definedName>
    <definedName name="P2CommSales">SalesProj!$C$19</definedName>
    <definedName name="P2GrowthRate" localSheetId="8">Inventory!#REF!</definedName>
    <definedName name="P2GrowthRate" localSheetId="2">[1]SalesProj!$D$16</definedName>
    <definedName name="P2GrowthRate" localSheetId="1">[1]SalesProj!$D$16</definedName>
    <definedName name="P2GrowthRate">SalesProj!$D$16</definedName>
    <definedName name="P2ReturnRate" localSheetId="8">Inventory!#REF!</definedName>
    <definedName name="P2ReturnRate" localSheetId="2">[1]SalesProj!$D$20</definedName>
    <definedName name="P2ReturnRate" localSheetId="1">[1]SalesProj!$D$20</definedName>
    <definedName name="P2ReturnRate">SalesProj!$D$20</definedName>
    <definedName name="P3COG" localSheetId="8">Inventory!#REF!</definedName>
    <definedName name="P3COG" localSheetId="2">[1]SalesProj!$D$32</definedName>
    <definedName name="P3COG" localSheetId="1">[1]SalesProj!$D$32</definedName>
    <definedName name="P3COG">SalesProj!$D$32</definedName>
    <definedName name="P3CommRate" localSheetId="8">Inventory!#REF!</definedName>
    <definedName name="P3CommRate" localSheetId="2">[1]SalesProj!$D$29</definedName>
    <definedName name="P3CommRate" localSheetId="1">[1]SalesProj!$D$29</definedName>
    <definedName name="P3CommRate">SalesProj!$D$29</definedName>
    <definedName name="P3CommSales" localSheetId="8">Inventory!#REF!</definedName>
    <definedName name="P3CommSales" localSheetId="2">[1]SalesProj!$C$29</definedName>
    <definedName name="P3CommSales" localSheetId="1">[1]SalesProj!$C$29</definedName>
    <definedName name="P3CommSales">SalesProj!$C$29</definedName>
    <definedName name="P3GrowthRate" localSheetId="8">Inventory!#REF!</definedName>
    <definedName name="P3GrowthRate" localSheetId="2">[1]SalesProj!$D$26</definedName>
    <definedName name="P3GrowthRate" localSheetId="1">[1]SalesProj!$D$26</definedName>
    <definedName name="P3GrowthRate">SalesProj!$D$26</definedName>
    <definedName name="P3ReturnRate" localSheetId="8">Inventory!#REF!</definedName>
    <definedName name="P3ReturnRate" localSheetId="2">[1]SalesProj!$D$30</definedName>
    <definedName name="P3ReturnRate" localSheetId="1">[1]SalesProj!$D$30</definedName>
    <definedName name="P3ReturnRate">SalesProj!$D$30</definedName>
    <definedName name="P4COG" localSheetId="8">Inventory!#REF!</definedName>
    <definedName name="P4COG" localSheetId="2">[1]SalesProj!$D$42</definedName>
    <definedName name="P4COG" localSheetId="1">[1]SalesProj!$D$42</definedName>
    <definedName name="P4COG">SalesProj!$D$42</definedName>
    <definedName name="P4CommRate" localSheetId="8">Inventory!#REF!</definedName>
    <definedName name="P4CommRate" localSheetId="2">[1]SalesProj!$D$39</definedName>
    <definedName name="P4CommRate" localSheetId="1">[1]SalesProj!$D$39</definedName>
    <definedName name="P4CommRate">SalesProj!$D$39</definedName>
    <definedName name="P4CommSales" localSheetId="8">Inventory!#REF!</definedName>
    <definedName name="P4CommSales" localSheetId="2">[1]SalesProj!$C$39</definedName>
    <definedName name="P4CommSales" localSheetId="1">[1]SalesProj!$C$39</definedName>
    <definedName name="P4CommSales">SalesProj!$C$39</definedName>
    <definedName name="P4GrowthRate" localSheetId="8">Inventory!#REF!</definedName>
    <definedName name="P4GrowthRate" localSheetId="2">[1]SalesProj!$D$36</definedName>
    <definedName name="P4GrowthRate" localSheetId="1">[1]SalesProj!$D$36</definedName>
    <definedName name="P4GrowthRate">SalesProj!$D$36</definedName>
    <definedName name="P4ReturnRate" localSheetId="8">Inventory!#REF!</definedName>
    <definedName name="P4ReturnRate" localSheetId="2">[1]SalesProj!$D$40</definedName>
    <definedName name="P4ReturnRate" localSheetId="1">[1]SalesProj!$D$40</definedName>
    <definedName name="P4ReturnRate">SalesProj!$D$40</definedName>
    <definedName name="P5COG" localSheetId="8">Inventory!#REF!</definedName>
    <definedName name="P5COG" localSheetId="2">[1]SalesProj!$D$52</definedName>
    <definedName name="P5COG" localSheetId="1">[1]SalesProj!$D$52</definedName>
    <definedName name="P5COG">SalesProj!$D$52</definedName>
    <definedName name="P5CommRate" localSheetId="8">Inventory!#REF!</definedName>
    <definedName name="P5CommRate" localSheetId="2">[1]SalesProj!$D$49</definedName>
    <definedName name="P5CommRate" localSheetId="1">[1]SalesProj!$D$49</definedName>
    <definedName name="P5CommRate">SalesProj!$D$49</definedName>
    <definedName name="P5CommSales" localSheetId="8">Inventory!#REF!</definedName>
    <definedName name="P5CommSales" localSheetId="2">[1]SalesProj!$C$49</definedName>
    <definedName name="P5CommSales" localSheetId="1">[1]SalesProj!$C$49</definedName>
    <definedName name="P5CommSales">SalesProj!$C$49</definedName>
    <definedName name="P5GrowthRate" localSheetId="8">Inventory!#REF!</definedName>
    <definedName name="P5GrowthRate" localSheetId="2">[1]SalesProj!$D$46</definedName>
    <definedName name="P5GrowthRate" localSheetId="1">[1]SalesProj!$D$46</definedName>
    <definedName name="P5GrowthRate">SalesProj!$D$46</definedName>
    <definedName name="P5ReturnRate" localSheetId="8">Inventory!#REF!</definedName>
    <definedName name="P5ReturnRate" localSheetId="2">[1]SalesProj!$D$50</definedName>
    <definedName name="P5ReturnRate" localSheetId="1">[1]SalesProj!$D$50</definedName>
    <definedName name="P5ReturnRate">SalesProj!$D$50</definedName>
    <definedName name="P6COG" localSheetId="8">Inventory!#REF!</definedName>
    <definedName name="P6COG" localSheetId="2">[1]SalesProj!$D$62</definedName>
    <definedName name="P6COG" localSheetId="1">[1]SalesProj!$D$62</definedName>
    <definedName name="P6COG">SalesProj!$D$62</definedName>
    <definedName name="P6CommRate" localSheetId="8">Inventory!#REF!</definedName>
    <definedName name="P6CommRate" localSheetId="2">[1]SalesProj!$D$59</definedName>
    <definedName name="P6CommRate" localSheetId="1">[1]SalesProj!$D$59</definedName>
    <definedName name="P6CommRate">SalesProj!$D$59</definedName>
    <definedName name="P6CommSales" localSheetId="8">Inventory!#REF!</definedName>
    <definedName name="P6CommSales" localSheetId="2">[1]SalesProj!$C$59</definedName>
    <definedName name="P6CommSales" localSheetId="1">[1]SalesProj!$C$59</definedName>
    <definedName name="P6CommSales">SalesProj!$C$59</definedName>
    <definedName name="P6GrowthRate" localSheetId="8">Inventory!#REF!</definedName>
    <definedName name="P6GrowthRate" localSheetId="2">[1]SalesProj!$D$56</definedName>
    <definedName name="P6GrowthRate" localSheetId="1">[1]SalesProj!$D$56</definedName>
    <definedName name="P6GrowthRate">SalesProj!$D$56</definedName>
    <definedName name="P6ReturnRate" localSheetId="8">Inventory!#REF!</definedName>
    <definedName name="P6ReturnRate" localSheetId="2">[1]SalesProj!$D$60</definedName>
    <definedName name="P6ReturnRate" localSheetId="1">[1]SalesProj!$D$60</definedName>
    <definedName name="P6ReturnRate">SalesProj!$D$60</definedName>
    <definedName name="P7COG" localSheetId="8">Inventory!#REF!</definedName>
    <definedName name="P7COG" localSheetId="2">[1]SalesProj!$D$72</definedName>
    <definedName name="P7COG" localSheetId="1">[1]SalesProj!$D$72</definedName>
    <definedName name="P7COG">SalesProj!$D$72</definedName>
    <definedName name="P7CommRate" localSheetId="8">Inventory!#REF!</definedName>
    <definedName name="P7CommRate" localSheetId="2">[1]SalesProj!$D$69</definedName>
    <definedName name="P7CommRate" localSheetId="1">[1]SalesProj!$D$69</definedName>
    <definedName name="P7CommRate">SalesProj!$D$69</definedName>
    <definedName name="P7CommSales" localSheetId="8">Inventory!#REF!</definedName>
    <definedName name="P7CommSales" localSheetId="2">[1]SalesProj!$C$69</definedName>
    <definedName name="P7CommSales" localSheetId="1">[1]SalesProj!$C$69</definedName>
    <definedName name="P7CommSales">SalesProj!$C$69</definedName>
    <definedName name="P7GrowthRate" localSheetId="8">Inventory!#REF!</definedName>
    <definedName name="P7GrowthRate" localSheetId="2">[1]SalesProj!$D$66</definedName>
    <definedName name="P7GrowthRate" localSheetId="1">[1]SalesProj!$D$66</definedName>
    <definedName name="P7GrowthRate">SalesProj!$D$66</definedName>
    <definedName name="P7ReturnRate" localSheetId="8">Inventory!#REF!</definedName>
    <definedName name="P7ReturnRate" localSheetId="2">[1]SalesProj!$D$70</definedName>
    <definedName name="P7ReturnRate" localSheetId="1">[1]SalesProj!$D$70</definedName>
    <definedName name="P7ReturnRate">SalesProj!$D$70</definedName>
    <definedName name="P8COG" localSheetId="8">Inventory!#REF!</definedName>
    <definedName name="P8COG" localSheetId="2">[1]SalesProj!$D$82</definedName>
    <definedName name="P8COG" localSheetId="1">[1]SalesProj!$D$82</definedName>
    <definedName name="P8COG">SalesProj!$D$82</definedName>
    <definedName name="P8CommRate" localSheetId="8">Inventory!#REF!</definedName>
    <definedName name="P8CommRate" localSheetId="2">[1]SalesProj!$D$79</definedName>
    <definedName name="P8CommRate" localSheetId="1">[1]SalesProj!$D$79</definedName>
    <definedName name="P8CommRate">SalesProj!$D$79</definedName>
    <definedName name="P8CommSales" localSheetId="8">Inventory!#REF!</definedName>
    <definedName name="P8CommSales" localSheetId="2">[1]SalesProj!$C$79</definedName>
    <definedName name="P8CommSales" localSheetId="1">[1]SalesProj!$C$79</definedName>
    <definedName name="P8CommSales">SalesProj!$C$79</definedName>
    <definedName name="P8GrowthRate" localSheetId="8">Inventory!#REF!</definedName>
    <definedName name="P8GrowthRate" localSheetId="2">[1]SalesProj!$D$76</definedName>
    <definedName name="P8GrowthRate" localSheetId="1">[1]SalesProj!$D$76</definedName>
    <definedName name="P8GrowthRate">SalesProj!$D$76</definedName>
    <definedName name="P8ReturnRate" localSheetId="8">Inventory!#REF!</definedName>
    <definedName name="P8ReturnRate" localSheetId="2">[1]SalesProj!$D$80</definedName>
    <definedName name="P8ReturnRate" localSheetId="1">[1]SalesProj!$D$80</definedName>
    <definedName name="P8ReturnRate">SalesProj!$D$80</definedName>
    <definedName name="P9COG" localSheetId="8">Inventory!#REF!</definedName>
    <definedName name="P9COG" localSheetId="2">[1]SalesProj!$D$92</definedName>
    <definedName name="P9COG" localSheetId="1">[1]SalesProj!$D$92</definedName>
    <definedName name="P9COG">SalesProj!$D$92</definedName>
    <definedName name="P9CommRate" localSheetId="8">Inventory!#REF!</definedName>
    <definedName name="P9CommRate" localSheetId="2">[1]SalesProj!$D$89</definedName>
    <definedName name="P9CommRate" localSheetId="1">[1]SalesProj!$D$89</definedName>
    <definedName name="P9CommRate">SalesProj!$D$89</definedName>
    <definedName name="P9CommSales" localSheetId="8">Inventory!#REF!</definedName>
    <definedName name="P9CommSales" localSheetId="2">[1]SalesProj!$C$89</definedName>
    <definedName name="P9CommSales" localSheetId="1">[1]SalesProj!$C$89</definedName>
    <definedName name="P9CommSales">SalesProj!$C$89</definedName>
    <definedName name="P9GrowthRate" localSheetId="8">Inventory!#REF!</definedName>
    <definedName name="P9GrowthRate" localSheetId="2">[1]SalesProj!$D$86</definedName>
    <definedName name="P9GrowthRate" localSheetId="1">[1]SalesProj!$D$86</definedName>
    <definedName name="P9GrowthRate">SalesProj!$D$86</definedName>
    <definedName name="P9ReturnRate" localSheetId="8">Inventory!#REF!</definedName>
    <definedName name="P9ReturnRate" localSheetId="2">[1]SalesProj!$D$90</definedName>
    <definedName name="P9ReturnRate" localSheetId="1">[1]SalesProj!$D$90</definedName>
    <definedName name="P9ReturnRate">SalesProj!$D$90</definedName>
    <definedName name="PayrollTaxes" localSheetId="0">Warning!#REF!</definedName>
    <definedName name="PayrollTaxes" localSheetId="2">[1]Setup!$C$26</definedName>
    <definedName name="PayrollTaxes" localSheetId="1">[1]Setup!$C$26</definedName>
    <definedName name="PayrollTaxes">Setup!$D$30</definedName>
    <definedName name="PlanYears" localSheetId="2">[1]Config!$K$2:$K$6</definedName>
    <definedName name="PlanYears" localSheetId="1">[1]Config!$K$2:$K$6</definedName>
    <definedName name="PlanYears">Config!$K$2:$K$6</definedName>
    <definedName name="_xlnm.Print_Area" localSheetId="4">About!$A$2:$B$15</definedName>
    <definedName name="_xlnm.Print_Area" localSheetId="16">BalSht!$A$1:$AW$44</definedName>
    <definedName name="_xlnm.Print_Area" localSheetId="17">BrkEvn!$B$2:$C$50</definedName>
    <definedName name="_xlnm.Print_Area" localSheetId="9">CapEx!$B$2:$G$73</definedName>
    <definedName name="_xlnm.Print_Area" localSheetId="13">CapInvest!$B$2:$G$46</definedName>
    <definedName name="_xlnm.Print_Area" localSheetId="15">CshFlw!$A$2:$AQ$34</definedName>
    <definedName name="_xlnm.Print_Area" localSheetId="14">IncSt!$B$2:$O$36,IncSt!$Q$2:$AC$36,IncSt!$AE$2:$AQ$36</definedName>
    <definedName name="_xlnm.Print_Area" localSheetId="8">Inventory!$B$2:$O$85,Inventory!$AE$2:$AQ$85</definedName>
    <definedName name="_xlnm.Print_Area" localSheetId="5">License!$A$1:$C$5</definedName>
    <definedName name="_xlnm.Print_Area" localSheetId="3">MacVsWindows!$A$2:$B$37</definedName>
    <definedName name="_xlnm.Print_Area" localSheetId="11">MktBudj!$B$2:$O$33,MktBudj!$Q$2:$AC$33,MktBudj!$AE$2:$AQ$33</definedName>
    <definedName name="_xlnm.Print_Area" localSheetId="10">PersBudj!$B$2:$O$45,PersBudj!$Q$2:$AC$45,PersBudj!$AE$2:$AQ$45</definedName>
    <definedName name="_xlnm.Print_Area" localSheetId="12">ProSvs!$B$2:$G$15</definedName>
    <definedName name="_xlnm.Print_Area" localSheetId="18">Ratios!$B$2:$J$16</definedName>
    <definedName name="_xlnm.Print_Area" localSheetId="7">SalesProj!$B$2:$Q$112,SalesProj!$S$2:$AE$112,SalesProj!$AG$2:$AS$112</definedName>
    <definedName name="_xlnm.Print_Area" localSheetId="6">Setup!$B$2:$D$38</definedName>
    <definedName name="_xlnm.Print_Area" localSheetId="2">Welcome!$A$1:$C$14</definedName>
    <definedName name="_xlnm.Print_Area" localSheetId="1">WelcomeMac!$A$1:$C$14</definedName>
    <definedName name="_xlnm.Print_Titles" localSheetId="15">CshFlw!$B:$B</definedName>
    <definedName name="_xlnm.Print_Titles" localSheetId="14">IncSt!$B:$B</definedName>
    <definedName name="_xlnm.Print_Titles" localSheetId="8">Inventory!$B:$B</definedName>
    <definedName name="_xlnm.Print_Titles" localSheetId="11">MktBudj!$B:$B</definedName>
    <definedName name="_xlnm.Print_Titles" localSheetId="10">PersBudj!$B:$B</definedName>
    <definedName name="_xlnm.Print_Titles" localSheetId="7">SalesProj!$B:$B,SalesProj!$1:$3</definedName>
    <definedName name="ReceiveRate" localSheetId="0">Warning!#REF!</definedName>
    <definedName name="ReturnRate" localSheetId="0">Warning!#REF!</definedName>
    <definedName name="SalIncreaseRate" localSheetId="2">[1]Setup!$C$24</definedName>
    <definedName name="SalIncreaseRate" localSheetId="1">[1]Setup!$C$24</definedName>
    <definedName name="SalIncreaseRate">Setup!$D$28</definedName>
    <definedName name="setupMonthStart">Setup!$D$9</definedName>
    <definedName name="setupNumProducts">Setup!$D$16</definedName>
    <definedName name="setupYearStart">Setup!$D$12</definedName>
    <definedName name="StartupCash" localSheetId="0">Warning!#REF!</definedName>
    <definedName name="StartupCash" localSheetId="2">[1]Setup!$C$30</definedName>
    <definedName name="StartupCash" localSheetId="1">[1]Setup!$C$30</definedName>
    <definedName name="StartupCash">Setup!$D$34</definedName>
    <definedName name="WrkCapQ1" localSheetId="2">[1]Config!$E$22</definedName>
    <definedName name="WrkCapQ1" localSheetId="1">[1]Config!$E$22</definedName>
    <definedName name="WrkCapQ1">Config!$E$22</definedName>
    <definedName name="WrkCapQ2" localSheetId="2">[1]Config!$E$23</definedName>
    <definedName name="WrkCapQ2" localSheetId="1">[1]Config!$E$23</definedName>
    <definedName name="WrkCapQ2">Config!$E$23</definedName>
    <definedName name="WrkCapQ3" localSheetId="2">[1]Config!$E$24</definedName>
    <definedName name="WrkCapQ3" localSheetId="1">[1]Config!$E$24</definedName>
    <definedName name="WrkCapQ3">Config!$E$24</definedName>
    <definedName name="WrkCapQ4" localSheetId="2">[1]Config!$E$25</definedName>
    <definedName name="WrkCapQ4" localSheetId="1">[1]Config!$E$25</definedName>
    <definedName name="WrkCapQ4">Config!$E$25</definedName>
    <definedName name="WrkCapY2" localSheetId="2">[1]Config!$E$26</definedName>
    <definedName name="WrkCapY2" localSheetId="1">[1]Config!$E$26</definedName>
    <definedName name="WrkCapY2">Config!$E$26</definedName>
    <definedName name="WrkCapY3" localSheetId="2">[1]Config!$E$27</definedName>
    <definedName name="WrkCapY3" localSheetId="1">[1]Config!$E$27</definedName>
    <definedName name="WrkCapY3">Config!$E$27</definedName>
    <definedName name="WrkCapY4" localSheetId="2">[1]Config!$E$28</definedName>
    <definedName name="WrkCapY4" localSheetId="1">[1]Config!$E$28</definedName>
    <definedName name="WrkCapY4">Config!$E$28</definedName>
    <definedName name="WrkCapY5" localSheetId="2">[1]Config!$E$29</definedName>
    <definedName name="WrkCapY5" localSheetId="1">[1]Config!$E$29</definedName>
    <definedName name="WrkCapY5">Config!$E$29</definedName>
    <definedName name="Yr5Mos">Config!$BZ$3:$CK$3</definedName>
  </definedNames>
  <calcPr calcId="124519"/>
</workbook>
</file>

<file path=xl/calcChain.xml><?xml version="1.0" encoding="utf-8"?>
<calcChain xmlns="http://schemas.openxmlformats.org/spreadsheetml/2006/main">
  <c r="F2" i="18"/>
  <c r="F4"/>
  <c r="F6" s="1"/>
  <c r="K2"/>
  <c r="K3" s="1"/>
  <c r="K4" s="1"/>
  <c r="K5" s="1"/>
  <c r="K6" s="1"/>
  <c r="AB139"/>
  <c r="AB138"/>
  <c r="AB137"/>
  <c r="AB136"/>
  <c r="AB135"/>
  <c r="AB134"/>
  <c r="AB133"/>
  <c r="AB132"/>
  <c r="AB131"/>
  <c r="AB130"/>
  <c r="AB129"/>
  <c r="AB128"/>
  <c r="AB127"/>
  <c r="AB126"/>
  <c r="AB125"/>
  <c r="AB120"/>
  <c r="AB119"/>
  <c r="AB118"/>
  <c r="AB117"/>
  <c r="AB116"/>
  <c r="AB115"/>
  <c r="AB114"/>
  <c r="AB113"/>
  <c r="AB112"/>
  <c r="AB111"/>
  <c r="AB110"/>
  <c r="AB109"/>
  <c r="AB108"/>
  <c r="AB107"/>
  <c r="AB106"/>
  <c r="AB105"/>
  <c r="AB104"/>
  <c r="AB103"/>
  <c r="AB102"/>
  <c r="AB101"/>
  <c r="AB97"/>
  <c r="AC97" s="1"/>
  <c r="Z97"/>
  <c r="Y97"/>
  <c r="AB96"/>
  <c r="AB164" s="1"/>
  <c r="Z96"/>
  <c r="Y96"/>
  <c r="AB95"/>
  <c r="AB163" s="1"/>
  <c r="Z95"/>
  <c r="Y95"/>
  <c r="AB94"/>
  <c r="AB162" s="1"/>
  <c r="Z94"/>
  <c r="Y94"/>
  <c r="AB93"/>
  <c r="AB161" s="1"/>
  <c r="Z93"/>
  <c r="Y93"/>
  <c r="AB92"/>
  <c r="AB160" s="1"/>
  <c r="Z92"/>
  <c r="Y92"/>
  <c r="AB91"/>
  <c r="AB159" s="1"/>
  <c r="Z91"/>
  <c r="Y91"/>
  <c r="AB90"/>
  <c r="AB158" s="1"/>
  <c r="Z90"/>
  <c r="Y90"/>
  <c r="AB89"/>
  <c r="AC89" s="1"/>
  <c r="Z89"/>
  <c r="Y89"/>
  <c r="AB88"/>
  <c r="AB156" s="1"/>
  <c r="Z88"/>
  <c r="Y88"/>
  <c r="AB87"/>
  <c r="AB155" s="1"/>
  <c r="Z87"/>
  <c r="Y87"/>
  <c r="AB86"/>
  <c r="AB154" s="1"/>
  <c r="Z86"/>
  <c r="Y86"/>
  <c r="AB85"/>
  <c r="AB153" s="1"/>
  <c r="Z85"/>
  <c r="Y85"/>
  <c r="AB84"/>
  <c r="AB152" s="1"/>
  <c r="Z84"/>
  <c r="Y84"/>
  <c r="AB83"/>
  <c r="AB151" s="1"/>
  <c r="Z83"/>
  <c r="Y83"/>
  <c r="AB82"/>
  <c r="AB150" s="1"/>
  <c r="Z82"/>
  <c r="Y82"/>
  <c r="AB81"/>
  <c r="AB149" s="1"/>
  <c r="Z81"/>
  <c r="Y81"/>
  <c r="AC80"/>
  <c r="AB80"/>
  <c r="AB148" s="1"/>
  <c r="Z80"/>
  <c r="Y80"/>
  <c r="AB79"/>
  <c r="AB147" s="1"/>
  <c r="Z79"/>
  <c r="Y79"/>
  <c r="AB78"/>
  <c r="AB146" s="1"/>
  <c r="Z78"/>
  <c r="Y78"/>
  <c r="CK72" a="1"/>
  <c r="CJ72" a="1"/>
  <c r="CI72" a="1"/>
  <c r="CH72" a="1"/>
  <c r="CG72" a="1"/>
  <c r="CF72" a="1"/>
  <c r="CE72" a="1"/>
  <c r="CD72" a="1"/>
  <c r="CC72" a="1"/>
  <c r="CB72" a="1"/>
  <c r="CA72" a="1"/>
  <c r="BZ72" a="1"/>
  <c r="BY72" a="1"/>
  <c r="BX72" a="1"/>
  <c r="BW72" a="1"/>
  <c r="BV72" a="1"/>
  <c r="BU72" a="1"/>
  <c r="BT72" a="1"/>
  <c r="BS72" a="1"/>
  <c r="BR72" a="1"/>
  <c r="BQ72" a="1"/>
  <c r="BP72" a="1"/>
  <c r="BO72" a="1"/>
  <c r="BN72" a="1"/>
  <c r="BM72" a="1"/>
  <c r="BL72" a="1"/>
  <c r="BK72" a="1"/>
  <c r="BJ72" a="1"/>
  <c r="BI72" a="1"/>
  <c r="BH72" a="1"/>
  <c r="BG72" a="1"/>
  <c r="BF72" a="1"/>
  <c r="BE72" a="1"/>
  <c r="BD72" a="1"/>
  <c r="BC72" a="1"/>
  <c r="BB72" a="1"/>
  <c r="BA72" a="1"/>
  <c r="AZ72" a="1"/>
  <c r="AY72" a="1"/>
  <c r="AX72" a="1"/>
  <c r="AW72" a="1"/>
  <c r="AV72" a="1"/>
  <c r="AU72" a="1"/>
  <c r="AT72" a="1"/>
  <c r="AS72" a="1"/>
  <c r="AR72" a="1"/>
  <c r="AQ72" a="1"/>
  <c r="AP72" a="1"/>
  <c r="AO72" a="1"/>
  <c r="AN72" a="1"/>
  <c r="AM72" a="1"/>
  <c r="AL72" a="1"/>
  <c r="AK72" a="1"/>
  <c r="AJ72" a="1"/>
  <c r="AI72" a="1"/>
  <c r="AH72" a="1"/>
  <c r="AG72" a="1"/>
  <c r="AF72" a="1"/>
  <c r="AE72" a="1"/>
  <c r="AD72" a="1"/>
  <c r="AB63"/>
  <c r="AB62"/>
  <c r="AB61"/>
  <c r="AB60"/>
  <c r="AB59"/>
  <c r="AB58"/>
  <c r="AB57"/>
  <c r="AB56"/>
  <c r="AB55"/>
  <c r="AB54"/>
  <c r="AB53"/>
  <c r="Y53"/>
  <c r="AB52"/>
  <c r="Y52"/>
  <c r="AB51"/>
  <c r="Y51"/>
  <c r="AB50"/>
  <c r="Y50"/>
  <c r="AB49"/>
  <c r="AC49" s="1"/>
  <c r="CK49" s="1"/>
  <c r="Y49"/>
  <c r="AB48"/>
  <c r="Y48"/>
  <c r="AB47"/>
  <c r="Y47"/>
  <c r="AB46"/>
  <c r="Y46"/>
  <c r="AB45"/>
  <c r="Y45"/>
  <c r="AB44"/>
  <c r="Y44"/>
  <c r="AB43"/>
  <c r="Y43"/>
  <c r="AB42"/>
  <c r="Y42"/>
  <c r="AB41"/>
  <c r="Y41"/>
  <c r="AB40"/>
  <c r="Y40"/>
  <c r="AB39"/>
  <c r="Y39"/>
  <c r="AB38"/>
  <c r="Y38"/>
  <c r="AB37"/>
  <c r="Y37"/>
  <c r="AB36"/>
  <c r="Y36"/>
  <c r="AB35"/>
  <c r="Y35"/>
  <c r="AB34"/>
  <c r="Y34"/>
  <c r="AB33"/>
  <c r="Y33"/>
  <c r="AB32"/>
  <c r="Y32"/>
  <c r="AB31"/>
  <c r="Y31"/>
  <c r="AB30"/>
  <c r="Y30"/>
  <c r="AB29"/>
  <c r="Y29"/>
  <c r="AB28"/>
  <c r="Y28"/>
  <c r="AB27"/>
  <c r="Y27"/>
  <c r="CV80" l="1"/>
  <c r="AC84"/>
  <c r="AD84" s="1"/>
  <c r="AC85"/>
  <c r="AG85" s="1"/>
  <c r="CV89"/>
  <c r="CV97"/>
  <c r="CV84"/>
  <c r="CW85"/>
  <c r="AC54"/>
  <c r="AC56"/>
  <c r="AC58"/>
  <c r="AC60"/>
  <c r="AC62"/>
  <c r="AC78"/>
  <c r="AC101" s="1"/>
  <c r="CH101" s="1"/>
  <c r="AC82"/>
  <c r="CW82" s="1"/>
  <c r="AC92"/>
  <c r="CW92" s="1"/>
  <c r="E2" i="11"/>
  <c r="S2" s="1"/>
  <c r="AG2" s="1"/>
  <c r="AM2" s="1"/>
  <c r="AS2" s="1"/>
  <c r="AD49" i="18"/>
  <c r="AF49"/>
  <c r="AH49"/>
  <c r="AJ49"/>
  <c r="AL49"/>
  <c r="AN49"/>
  <c r="AP49"/>
  <c r="AR49"/>
  <c r="AT49"/>
  <c r="AV49"/>
  <c r="AX49"/>
  <c r="AZ49"/>
  <c r="BB49"/>
  <c r="BD49"/>
  <c r="BF49"/>
  <c r="BH49"/>
  <c r="BJ49"/>
  <c r="BL49"/>
  <c r="BN49"/>
  <c r="BP49"/>
  <c r="BR49"/>
  <c r="BT49"/>
  <c r="BV49"/>
  <c r="BX49"/>
  <c r="BZ49"/>
  <c r="CB49"/>
  <c r="CD49"/>
  <c r="CF49"/>
  <c r="CH49"/>
  <c r="CJ49"/>
  <c r="CJ101"/>
  <c r="AE49"/>
  <c r="AG49"/>
  <c r="AI49"/>
  <c r="AK49"/>
  <c r="AM49"/>
  <c r="AO49"/>
  <c r="AQ49"/>
  <c r="AS49"/>
  <c r="AU49"/>
  <c r="AW49"/>
  <c r="AY49"/>
  <c r="BA49"/>
  <c r="BC49"/>
  <c r="BE49"/>
  <c r="BG49"/>
  <c r="BI49"/>
  <c r="BK49"/>
  <c r="BM49"/>
  <c r="BO49"/>
  <c r="BQ49"/>
  <c r="BS49"/>
  <c r="BU49"/>
  <c r="BW49"/>
  <c r="BY49"/>
  <c r="CA49"/>
  <c r="CC49"/>
  <c r="CE49"/>
  <c r="CG49"/>
  <c r="CI49"/>
  <c r="BM78"/>
  <c r="AD80"/>
  <c r="AF80"/>
  <c r="AH80"/>
  <c r="AJ80"/>
  <c r="AL80"/>
  <c r="AN80"/>
  <c r="AP80"/>
  <c r="AR80"/>
  <c r="AT80"/>
  <c r="AV80"/>
  <c r="AX80"/>
  <c r="AZ80"/>
  <c r="BB80"/>
  <c r="BD80"/>
  <c r="BF80"/>
  <c r="BH80"/>
  <c r="BJ80"/>
  <c r="BL80"/>
  <c r="BN80"/>
  <c r="BP80"/>
  <c r="BR80"/>
  <c r="BT80"/>
  <c r="BV80"/>
  <c r="BX80"/>
  <c r="BZ80"/>
  <c r="CB80"/>
  <c r="CD80"/>
  <c r="CF80"/>
  <c r="CH80"/>
  <c r="CJ80"/>
  <c r="CL80"/>
  <c r="CN80"/>
  <c r="CP80"/>
  <c r="CR80"/>
  <c r="CT80"/>
  <c r="BF82"/>
  <c r="BO82"/>
  <c r="BW82"/>
  <c r="CE82"/>
  <c r="CM82"/>
  <c r="CQ82"/>
  <c r="CU82"/>
  <c r="AJ84"/>
  <c r="AZ84"/>
  <c r="BP84"/>
  <c r="CF84"/>
  <c r="CN84"/>
  <c r="AD85"/>
  <c r="AU85"/>
  <c r="BK85"/>
  <c r="CA85"/>
  <c r="CQ85"/>
  <c r="AD89"/>
  <c r="AF89"/>
  <c r="AH89"/>
  <c r="AJ89"/>
  <c r="AL89"/>
  <c r="AN89"/>
  <c r="AP89"/>
  <c r="AR89"/>
  <c r="AT89"/>
  <c r="AV89"/>
  <c r="AX89"/>
  <c r="AZ89"/>
  <c r="BB89"/>
  <c r="BD89"/>
  <c r="BF89"/>
  <c r="BH89"/>
  <c r="BJ89"/>
  <c r="BL89"/>
  <c r="BN89"/>
  <c r="BP89"/>
  <c r="BR89"/>
  <c r="BT89"/>
  <c r="BV89"/>
  <c r="BX89"/>
  <c r="BZ89"/>
  <c r="CB89"/>
  <c r="CD89"/>
  <c r="CF89"/>
  <c r="CH89"/>
  <c r="CJ89"/>
  <c r="CL89"/>
  <c r="CN89"/>
  <c r="CP89"/>
  <c r="CR89"/>
  <c r="CT89"/>
  <c r="AF92"/>
  <c r="AJ92"/>
  <c r="AN92"/>
  <c r="AR92"/>
  <c r="AV92"/>
  <c r="AZ92"/>
  <c r="BD92"/>
  <c r="BH92"/>
  <c r="BL92"/>
  <c r="BP92"/>
  <c r="BT92"/>
  <c r="BX92"/>
  <c r="CB92"/>
  <c r="CF92"/>
  <c r="CK92"/>
  <c r="CO92"/>
  <c r="CS92"/>
  <c r="AC93"/>
  <c r="AD97"/>
  <c r="AF97"/>
  <c r="AH97"/>
  <c r="AJ97"/>
  <c r="AL97"/>
  <c r="AN97"/>
  <c r="AP97"/>
  <c r="AR97"/>
  <c r="AT97"/>
  <c r="AV97"/>
  <c r="AX97"/>
  <c r="AZ97"/>
  <c r="BB97"/>
  <c r="BD97"/>
  <c r="BF97"/>
  <c r="BH97"/>
  <c r="BJ97"/>
  <c r="BL97"/>
  <c r="BN97"/>
  <c r="BP97"/>
  <c r="BR97"/>
  <c r="BT97"/>
  <c r="BV97"/>
  <c r="BX97"/>
  <c r="BZ97"/>
  <c r="CB97"/>
  <c r="CD97"/>
  <c r="CF97"/>
  <c r="CH97"/>
  <c r="CJ97"/>
  <c r="CL97"/>
  <c r="CN97"/>
  <c r="CP97"/>
  <c r="CR97"/>
  <c r="CT97"/>
  <c r="BS170"/>
  <c r="AM170"/>
  <c r="BZ170"/>
  <c r="AT170"/>
  <c r="CV172"/>
  <c r="CT172"/>
  <c r="CR172"/>
  <c r="CP172"/>
  <c r="CN172"/>
  <c r="CL172"/>
  <c r="CJ172"/>
  <c r="CH172"/>
  <c r="CF172"/>
  <c r="CD172"/>
  <c r="CB172"/>
  <c r="BZ172"/>
  <c r="BX172"/>
  <c r="BV172"/>
  <c r="BT172"/>
  <c r="BR172"/>
  <c r="BP172"/>
  <c r="BN172"/>
  <c r="BL172"/>
  <c r="BJ172"/>
  <c r="BH172"/>
  <c r="BF172"/>
  <c r="BD172"/>
  <c r="BB172"/>
  <c r="AZ172"/>
  <c r="AX172"/>
  <c r="AV172"/>
  <c r="AT172"/>
  <c r="AR172"/>
  <c r="AP172"/>
  <c r="AN172"/>
  <c r="AL172"/>
  <c r="AJ172"/>
  <c r="AG172"/>
  <c r="AE172"/>
  <c r="CW172"/>
  <c r="CU172"/>
  <c r="CS172"/>
  <c r="CQ172"/>
  <c r="CO172"/>
  <c r="CM172"/>
  <c r="CK172"/>
  <c r="CI172"/>
  <c r="CG172"/>
  <c r="CE172"/>
  <c r="CC172"/>
  <c r="CA172"/>
  <c r="BY172"/>
  <c r="BW172"/>
  <c r="BU172"/>
  <c r="BS172"/>
  <c r="BQ172"/>
  <c r="BO172"/>
  <c r="BM172"/>
  <c r="BK172"/>
  <c r="BI172"/>
  <c r="BG172"/>
  <c r="BE172"/>
  <c r="BC172"/>
  <c r="BA172"/>
  <c r="AY172"/>
  <c r="AW172"/>
  <c r="AU172"/>
  <c r="AS172"/>
  <c r="AQ172"/>
  <c r="AO172"/>
  <c r="AM172"/>
  <c r="AK172"/>
  <c r="AI172"/>
  <c r="AH172" s="1"/>
  <c r="AF172"/>
  <c r="AD172"/>
  <c r="AC103"/>
  <c r="CT174"/>
  <c r="CP174"/>
  <c r="CL174"/>
  <c r="CH174"/>
  <c r="CD174"/>
  <c r="BZ174"/>
  <c r="BV174"/>
  <c r="BR174"/>
  <c r="BN174"/>
  <c r="BJ174"/>
  <c r="BF174"/>
  <c r="BB174"/>
  <c r="AX174"/>
  <c r="AT174"/>
  <c r="AP174"/>
  <c r="AL174"/>
  <c r="AH174"/>
  <c r="AD174"/>
  <c r="CU174"/>
  <c r="CQ174"/>
  <c r="CM174"/>
  <c r="CI174"/>
  <c r="CE174"/>
  <c r="CA174"/>
  <c r="BW174"/>
  <c r="BS174"/>
  <c r="BO174"/>
  <c r="BK174"/>
  <c r="BG174"/>
  <c r="BC174"/>
  <c r="AY174"/>
  <c r="AU174"/>
  <c r="AQ174"/>
  <c r="AM174"/>
  <c r="AI174"/>
  <c r="AE174"/>
  <c r="CR176"/>
  <c r="CJ176"/>
  <c r="CO176"/>
  <c r="CC176"/>
  <c r="BU176"/>
  <c r="BM176"/>
  <c r="BE176"/>
  <c r="AV176"/>
  <c r="AN176"/>
  <c r="AF176"/>
  <c r="CM176"/>
  <c r="CB176"/>
  <c r="BT176"/>
  <c r="BL176"/>
  <c r="BD176"/>
  <c r="AU176"/>
  <c r="AM176"/>
  <c r="AE176"/>
  <c r="CM177"/>
  <c r="CJ177"/>
  <c r="BT177"/>
  <c r="BD177"/>
  <c r="AN177"/>
  <c r="BY177"/>
  <c r="AS177"/>
  <c r="BS177"/>
  <c r="AM177"/>
  <c r="CW181"/>
  <c r="CU181"/>
  <c r="CS181"/>
  <c r="CQ181"/>
  <c r="CO181"/>
  <c r="CM181"/>
  <c r="CK181"/>
  <c r="CI181"/>
  <c r="CG181"/>
  <c r="CE181"/>
  <c r="CC181"/>
  <c r="CA181"/>
  <c r="BY181"/>
  <c r="BW181"/>
  <c r="BU181"/>
  <c r="BS181"/>
  <c r="BQ181"/>
  <c r="BO181"/>
  <c r="BM181"/>
  <c r="BK181"/>
  <c r="BI181"/>
  <c r="BG181"/>
  <c r="BE181"/>
  <c r="BC181"/>
  <c r="BA181"/>
  <c r="AY181"/>
  <c r="AW181"/>
  <c r="AU181"/>
  <c r="AS181"/>
  <c r="AQ181"/>
  <c r="AO181"/>
  <c r="AM181"/>
  <c r="AK181"/>
  <c r="AI181"/>
  <c r="AG181"/>
  <c r="AE181"/>
  <c r="CV181"/>
  <c r="CT181"/>
  <c r="CR181"/>
  <c r="CP181"/>
  <c r="CN181"/>
  <c r="CL181"/>
  <c r="CJ181"/>
  <c r="CH181"/>
  <c r="CF181"/>
  <c r="CD181"/>
  <c r="CB181"/>
  <c r="BZ181"/>
  <c r="BX181"/>
  <c r="BV181"/>
  <c r="BT181"/>
  <c r="BR181"/>
  <c r="BP181"/>
  <c r="BN181"/>
  <c r="BL181"/>
  <c r="BJ181"/>
  <c r="BH181"/>
  <c r="BF181"/>
  <c r="BD181"/>
  <c r="BB181"/>
  <c r="AZ181"/>
  <c r="AX181"/>
  <c r="AV181"/>
  <c r="AT181"/>
  <c r="AR181"/>
  <c r="AP181"/>
  <c r="AN181"/>
  <c r="AL181"/>
  <c r="AJ181"/>
  <c r="AH181"/>
  <c r="AF181"/>
  <c r="AD181"/>
  <c r="AC112"/>
  <c r="CV184"/>
  <c r="CT184"/>
  <c r="CR184"/>
  <c r="CP184"/>
  <c r="CN184"/>
  <c r="CL184"/>
  <c r="CJ184"/>
  <c r="CH184"/>
  <c r="CF184"/>
  <c r="CD184"/>
  <c r="CB184"/>
  <c r="BZ184"/>
  <c r="BX184"/>
  <c r="BV184"/>
  <c r="BT184"/>
  <c r="BR184"/>
  <c r="BP184"/>
  <c r="BN184"/>
  <c r="BL184"/>
  <c r="BJ184"/>
  <c r="BH184"/>
  <c r="BF184"/>
  <c r="BD184"/>
  <c r="BB184"/>
  <c r="AZ184"/>
  <c r="AX184"/>
  <c r="AV184"/>
  <c r="AT184"/>
  <c r="AR184"/>
  <c r="AP184"/>
  <c r="AN184"/>
  <c r="AL184"/>
  <c r="AJ184"/>
  <c r="AH184"/>
  <c r="AF184"/>
  <c r="AD184"/>
  <c r="CW184"/>
  <c r="CU184"/>
  <c r="CS184"/>
  <c r="CQ184"/>
  <c r="CO184"/>
  <c r="CM184"/>
  <c r="CK184"/>
  <c r="CI184"/>
  <c r="CG184"/>
  <c r="CE184"/>
  <c r="CC184"/>
  <c r="CA184"/>
  <c r="BY184"/>
  <c r="BW184"/>
  <c r="BU184"/>
  <c r="BS184"/>
  <c r="BQ184"/>
  <c r="BO184"/>
  <c r="BM184"/>
  <c r="BK184"/>
  <c r="BI184"/>
  <c r="BG184"/>
  <c r="BE184"/>
  <c r="BC184"/>
  <c r="BA184"/>
  <c r="AY184"/>
  <c r="AW184"/>
  <c r="AU184"/>
  <c r="AS184"/>
  <c r="AQ184"/>
  <c r="AO184"/>
  <c r="AM184"/>
  <c r="AK184"/>
  <c r="AI184"/>
  <c r="AG184"/>
  <c r="AE184"/>
  <c r="AC115"/>
  <c r="CV189"/>
  <c r="CT189"/>
  <c r="CR189"/>
  <c r="CP189"/>
  <c r="CN189"/>
  <c r="CL189"/>
  <c r="CJ189"/>
  <c r="CH189"/>
  <c r="CF189"/>
  <c r="CD189"/>
  <c r="CB189"/>
  <c r="BZ189"/>
  <c r="BX189"/>
  <c r="BV189"/>
  <c r="BT189"/>
  <c r="BR189"/>
  <c r="BP189"/>
  <c r="BN189"/>
  <c r="BL189"/>
  <c r="BJ189"/>
  <c r="BH189"/>
  <c r="BF189"/>
  <c r="BD189"/>
  <c r="BB189"/>
  <c r="AY189"/>
  <c r="AW189"/>
  <c r="AU189"/>
  <c r="AS189"/>
  <c r="AQ189"/>
  <c r="AO189"/>
  <c r="AM189"/>
  <c r="AK189"/>
  <c r="AI189"/>
  <c r="AG189"/>
  <c r="AE189"/>
  <c r="CW189"/>
  <c r="CU189"/>
  <c r="CS189"/>
  <c r="CQ189"/>
  <c r="CO189"/>
  <c r="CM189"/>
  <c r="CK189"/>
  <c r="CI189"/>
  <c r="CG189"/>
  <c r="CE189"/>
  <c r="CC189"/>
  <c r="CA189"/>
  <c r="BY189"/>
  <c r="BW189"/>
  <c r="BU189"/>
  <c r="BS189"/>
  <c r="BQ189"/>
  <c r="BO189"/>
  <c r="BM189"/>
  <c r="BK189"/>
  <c r="BI189"/>
  <c r="BG189"/>
  <c r="BE189"/>
  <c r="BC189"/>
  <c r="BA189"/>
  <c r="AZ189" s="1"/>
  <c r="AX189"/>
  <c r="AV189"/>
  <c r="AT189"/>
  <c r="AR189"/>
  <c r="AP189"/>
  <c r="AN189"/>
  <c r="AL189"/>
  <c r="AJ189"/>
  <c r="AH189"/>
  <c r="AF189"/>
  <c r="AD189"/>
  <c r="AC120"/>
  <c r="AC55"/>
  <c r="AC57"/>
  <c r="AC59"/>
  <c r="AC61"/>
  <c r="AF78"/>
  <c r="AH78"/>
  <c r="AJ78"/>
  <c r="AL78"/>
  <c r="AN78"/>
  <c r="AP78"/>
  <c r="AR78"/>
  <c r="AT78"/>
  <c r="AV78"/>
  <c r="AX78"/>
  <c r="AZ78"/>
  <c r="BB78"/>
  <c r="BD78"/>
  <c r="BF78"/>
  <c r="BH78"/>
  <c r="BJ78"/>
  <c r="BL78"/>
  <c r="BN78"/>
  <c r="BP78"/>
  <c r="BR78"/>
  <c r="BT78"/>
  <c r="BV78"/>
  <c r="BX78"/>
  <c r="BZ78"/>
  <c r="CB78"/>
  <c r="CD78"/>
  <c r="CF78"/>
  <c r="CH78"/>
  <c r="CJ78"/>
  <c r="CL78"/>
  <c r="CN78"/>
  <c r="CP78"/>
  <c r="CR78"/>
  <c r="CT78"/>
  <c r="CV78"/>
  <c r="AE80"/>
  <c r="AG80"/>
  <c r="AI80"/>
  <c r="AK80"/>
  <c r="AM80"/>
  <c r="AO80"/>
  <c r="AQ80"/>
  <c r="AS80"/>
  <c r="AU80"/>
  <c r="AW80"/>
  <c r="AY80"/>
  <c r="BA80"/>
  <c r="BC80"/>
  <c r="BE80"/>
  <c r="BG80"/>
  <c r="BI80"/>
  <c r="BK80"/>
  <c r="BM80"/>
  <c r="BO80"/>
  <c r="BQ80"/>
  <c r="BS80"/>
  <c r="BU80"/>
  <c r="BW80"/>
  <c r="BY80"/>
  <c r="CA80"/>
  <c r="CC80"/>
  <c r="CE80"/>
  <c r="CG80"/>
  <c r="CI80"/>
  <c r="CK80"/>
  <c r="CM80"/>
  <c r="CO80"/>
  <c r="CQ80"/>
  <c r="CS80"/>
  <c r="CU80"/>
  <c r="CW80"/>
  <c r="AE82"/>
  <c r="AI82"/>
  <c r="AM82"/>
  <c r="AQ82"/>
  <c r="AU82"/>
  <c r="AY82"/>
  <c r="BC82"/>
  <c r="BG82"/>
  <c r="BK82"/>
  <c r="BP82"/>
  <c r="BT82"/>
  <c r="BX82"/>
  <c r="CB82"/>
  <c r="CF82"/>
  <c r="CJ82"/>
  <c r="CN82"/>
  <c r="CR82"/>
  <c r="CV82"/>
  <c r="AK84"/>
  <c r="AS84"/>
  <c r="BA84"/>
  <c r="BI84"/>
  <c r="BQ84"/>
  <c r="BY84"/>
  <c r="CG84"/>
  <c r="CO84"/>
  <c r="CW84"/>
  <c r="AN85"/>
  <c r="BD85"/>
  <c r="BT85"/>
  <c r="CJ85"/>
  <c r="AE89"/>
  <c r="AG89"/>
  <c r="AI89"/>
  <c r="AK89"/>
  <c r="AM89"/>
  <c r="AO89"/>
  <c r="AQ89"/>
  <c r="AS89"/>
  <c r="AU89"/>
  <c r="AW89"/>
  <c r="AY89"/>
  <c r="BA89"/>
  <c r="BC89"/>
  <c r="BE89"/>
  <c r="BG89"/>
  <c r="BI89"/>
  <c r="BK89"/>
  <c r="BM89"/>
  <c r="BO89"/>
  <c r="BQ89"/>
  <c r="BS89"/>
  <c r="BU89"/>
  <c r="BW89"/>
  <c r="BY89"/>
  <c r="CA89"/>
  <c r="CC89"/>
  <c r="CE89"/>
  <c r="CG89"/>
  <c r="CI89"/>
  <c r="CK89"/>
  <c r="CM89"/>
  <c r="CO89"/>
  <c r="CQ89"/>
  <c r="CS89"/>
  <c r="CU89"/>
  <c r="CW89"/>
  <c r="AE92"/>
  <c r="AG92"/>
  <c r="AI92"/>
  <c r="AK92"/>
  <c r="AM92"/>
  <c r="AO92"/>
  <c r="AQ92"/>
  <c r="AS92"/>
  <c r="AU92"/>
  <c r="AW92"/>
  <c r="AY92"/>
  <c r="BA92"/>
  <c r="BC92"/>
  <c r="BE92"/>
  <c r="BG92"/>
  <c r="BI92"/>
  <c r="BK92"/>
  <c r="BM92"/>
  <c r="BO92"/>
  <c r="BQ92"/>
  <c r="BS92"/>
  <c r="BU92"/>
  <c r="BW92"/>
  <c r="BY92"/>
  <c r="CA92"/>
  <c r="CC92"/>
  <c r="CE92"/>
  <c r="CG92"/>
  <c r="CJ92"/>
  <c r="CL92"/>
  <c r="CN92"/>
  <c r="CP92"/>
  <c r="CR92"/>
  <c r="CT92"/>
  <c r="CV92"/>
  <c r="AE97"/>
  <c r="AG97"/>
  <c r="AI97"/>
  <c r="AK97"/>
  <c r="AM97"/>
  <c r="AO97"/>
  <c r="AQ97"/>
  <c r="AS97"/>
  <c r="AU97"/>
  <c r="AW97"/>
  <c r="AY97"/>
  <c r="BA97"/>
  <c r="BC97"/>
  <c r="BE97"/>
  <c r="BG97"/>
  <c r="BI97"/>
  <c r="BK97"/>
  <c r="BM97"/>
  <c r="BO97"/>
  <c r="BQ97"/>
  <c r="BS97"/>
  <c r="BU97"/>
  <c r="BW97"/>
  <c r="BY97"/>
  <c r="CA97"/>
  <c r="CC97"/>
  <c r="CE97"/>
  <c r="CG97"/>
  <c r="CI97"/>
  <c r="CK97"/>
  <c r="CM97"/>
  <c r="CO97"/>
  <c r="CQ97"/>
  <c r="CS97"/>
  <c r="CU97"/>
  <c r="CW97"/>
  <c r="AB26"/>
  <c r="Y26"/>
  <c r="AB25"/>
  <c r="Y25"/>
  <c r="AB24"/>
  <c r="Y24"/>
  <c r="AB23"/>
  <c r="Y23"/>
  <c r="AB22"/>
  <c r="Y22"/>
  <c r="AB21"/>
  <c r="Y21"/>
  <c r="AB20"/>
  <c r="Y20"/>
  <c r="AB19"/>
  <c r="Y19"/>
  <c r="AB18"/>
  <c r="Y18"/>
  <c r="AB17"/>
  <c r="Y17"/>
  <c r="E17"/>
  <c r="F17" s="1"/>
  <c r="AB16"/>
  <c r="Y16"/>
  <c r="AB15"/>
  <c r="Y15"/>
  <c r="AB14"/>
  <c r="Y14"/>
  <c r="AB13"/>
  <c r="Y13"/>
  <c r="AB12"/>
  <c r="Y12"/>
  <c r="AB11"/>
  <c r="Y11"/>
  <c r="AB10"/>
  <c r="Y10"/>
  <c r="AB9"/>
  <c r="Y9"/>
  <c r="AB8"/>
  <c r="Y8"/>
  <c r="AB7"/>
  <c r="Y7"/>
  <c r="AB6"/>
  <c r="Y6"/>
  <c r="AB5"/>
  <c r="Y5"/>
  <c r="AB4"/>
  <c r="Y4"/>
  <c r="CI82" l="1"/>
  <c r="CA82"/>
  <c r="BS82"/>
  <c r="BJ82"/>
  <c r="AX82"/>
  <c r="AP82"/>
  <c r="CR85"/>
  <c r="CB85"/>
  <c r="BL85"/>
  <c r="AV85"/>
  <c r="AF85"/>
  <c r="AE85" s="1"/>
  <c r="BC177"/>
  <c r="CI177"/>
  <c r="BI177"/>
  <c r="AF177"/>
  <c r="AV177"/>
  <c r="BL177"/>
  <c r="CB177"/>
  <c r="CR177"/>
  <c r="CU177"/>
  <c r="CI85"/>
  <c r="BS85"/>
  <c r="BC85"/>
  <c r="AM85"/>
  <c r="BX84"/>
  <c r="BH84"/>
  <c r="AR84"/>
  <c r="BB82"/>
  <c r="AT82"/>
  <c r="AL82"/>
  <c r="CV85"/>
  <c r="CN85"/>
  <c r="CF85"/>
  <c r="BX85"/>
  <c r="BP85"/>
  <c r="BH85"/>
  <c r="AZ85"/>
  <c r="AR85"/>
  <c r="AJ85"/>
  <c r="AE177"/>
  <c r="AU177"/>
  <c r="BK177"/>
  <c r="CA177"/>
  <c r="AK177"/>
  <c r="BA177"/>
  <c r="BQ177"/>
  <c r="CG177"/>
  <c r="AJ177"/>
  <c r="AR177"/>
  <c r="AZ177"/>
  <c r="BH177"/>
  <c r="BP177"/>
  <c r="BX177"/>
  <c r="CF177"/>
  <c r="CN177"/>
  <c r="CV177"/>
  <c r="CQ177"/>
  <c r="CU85"/>
  <c r="CM85"/>
  <c r="CE85"/>
  <c r="BW85"/>
  <c r="BO85"/>
  <c r="BG85"/>
  <c r="AY85"/>
  <c r="AQ85"/>
  <c r="AI85"/>
  <c r="CT85"/>
  <c r="CP85"/>
  <c r="CL85"/>
  <c r="CH85"/>
  <c r="CD85"/>
  <c r="BZ85"/>
  <c r="BV85"/>
  <c r="BR85"/>
  <c r="BN85"/>
  <c r="BJ85"/>
  <c r="BF85"/>
  <c r="BB85"/>
  <c r="AX85"/>
  <c r="AT85"/>
  <c r="AP85"/>
  <c r="AL85"/>
  <c r="AH85"/>
  <c r="AC108"/>
  <c r="AI177"/>
  <c r="AQ177"/>
  <c r="AY177"/>
  <c r="BG177"/>
  <c r="BO177"/>
  <c r="BW177"/>
  <c r="CE177"/>
  <c r="AG177"/>
  <c r="AO177"/>
  <c r="AW177"/>
  <c r="BE177"/>
  <c r="BM177"/>
  <c r="BU177"/>
  <c r="CC177"/>
  <c r="AD177"/>
  <c r="AH177"/>
  <c r="AL177"/>
  <c r="AP177"/>
  <c r="AT177"/>
  <c r="AX177"/>
  <c r="BB177"/>
  <c r="BF177"/>
  <c r="BJ177"/>
  <c r="BN177"/>
  <c r="BR177"/>
  <c r="BV177"/>
  <c r="BZ177"/>
  <c r="CD177"/>
  <c r="CH177"/>
  <c r="CL177"/>
  <c r="CP177"/>
  <c r="CT177"/>
  <c r="CK177"/>
  <c r="CO177"/>
  <c r="CS177"/>
  <c r="CW177"/>
  <c r="CS85"/>
  <c r="CO85"/>
  <c r="CK85"/>
  <c r="CG85"/>
  <c r="CC85"/>
  <c r="BY85"/>
  <c r="BU85"/>
  <c r="BQ85"/>
  <c r="BM85"/>
  <c r="BI85"/>
  <c r="BE85"/>
  <c r="BA85"/>
  <c r="AW85"/>
  <c r="AS85"/>
  <c r="AO85"/>
  <c r="AK85"/>
  <c r="CS84"/>
  <c r="CK84"/>
  <c r="CC84"/>
  <c r="BU84"/>
  <c r="BM84"/>
  <c r="BE84"/>
  <c r="AW84"/>
  <c r="AO84"/>
  <c r="AG84"/>
  <c r="AI176"/>
  <c r="AQ176"/>
  <c r="AY176"/>
  <c r="BH176"/>
  <c r="BP176"/>
  <c r="BX176"/>
  <c r="CF176"/>
  <c r="CU176"/>
  <c r="AJ176"/>
  <c r="AR176"/>
  <c r="AZ176"/>
  <c r="BI176"/>
  <c r="BQ176"/>
  <c r="BY176"/>
  <c r="CG176"/>
  <c r="CW176"/>
  <c r="CN176"/>
  <c r="CV176"/>
  <c r="CR84"/>
  <c r="CJ84"/>
  <c r="CB84"/>
  <c r="BT84"/>
  <c r="BL84"/>
  <c r="BD84"/>
  <c r="AV84"/>
  <c r="AN84"/>
  <c r="AF84"/>
  <c r="AH82"/>
  <c r="CU84"/>
  <c r="CQ84"/>
  <c r="CM84"/>
  <c r="CI84"/>
  <c r="CE84"/>
  <c r="CA84"/>
  <c r="BW84"/>
  <c r="BS84"/>
  <c r="BO84"/>
  <c r="BK84"/>
  <c r="BG84"/>
  <c r="BC84"/>
  <c r="AY84"/>
  <c r="AU84"/>
  <c r="AQ84"/>
  <c r="AM84"/>
  <c r="AI84"/>
  <c r="AE84"/>
  <c r="CT82"/>
  <c r="CP82"/>
  <c r="CL82"/>
  <c r="CH82"/>
  <c r="CD82"/>
  <c r="BZ82"/>
  <c r="BV82"/>
  <c r="BR82"/>
  <c r="BN82"/>
  <c r="BM82" s="1"/>
  <c r="BI82"/>
  <c r="BE82"/>
  <c r="BA82"/>
  <c r="AW82"/>
  <c r="AS82"/>
  <c r="AO82"/>
  <c r="AK82"/>
  <c r="AG82"/>
  <c r="AC107"/>
  <c r="CH107" s="1"/>
  <c r="AG176"/>
  <c r="AK176"/>
  <c r="AO176"/>
  <c r="AS176"/>
  <c r="AW176"/>
  <c r="BA176"/>
  <c r="BF176"/>
  <c r="BJ176"/>
  <c r="BN176"/>
  <c r="BR176"/>
  <c r="BV176"/>
  <c r="BZ176"/>
  <c r="CD176"/>
  <c r="CI176"/>
  <c r="CQ176"/>
  <c r="AD176"/>
  <c r="AH176"/>
  <c r="AL176"/>
  <c r="AP176"/>
  <c r="AT176"/>
  <c r="AX176"/>
  <c r="BC176"/>
  <c r="BB176" s="1"/>
  <c r="BG176"/>
  <c r="BK176"/>
  <c r="BO176"/>
  <c r="BS176"/>
  <c r="BW176"/>
  <c r="CA176"/>
  <c r="CE176"/>
  <c r="CK176"/>
  <c r="CS176"/>
  <c r="CH176"/>
  <c r="CL176"/>
  <c r="CP176"/>
  <c r="CT176"/>
  <c r="AC105"/>
  <c r="CI105" s="1"/>
  <c r="AG174"/>
  <c r="AK174"/>
  <c r="AO174"/>
  <c r="AS174"/>
  <c r="AW174"/>
  <c r="BA174"/>
  <c r="BE174"/>
  <c r="BI174"/>
  <c r="BM174"/>
  <c r="BQ174"/>
  <c r="BU174"/>
  <c r="BY174"/>
  <c r="CC174"/>
  <c r="CG174"/>
  <c r="CK174"/>
  <c r="CO174"/>
  <c r="CS174"/>
  <c r="CW174"/>
  <c r="AF174"/>
  <c r="AJ174"/>
  <c r="AN174"/>
  <c r="AR174"/>
  <c r="AV174"/>
  <c r="AZ174"/>
  <c r="BD174"/>
  <c r="BH174"/>
  <c r="BL174"/>
  <c r="BP174"/>
  <c r="BT174"/>
  <c r="BX174"/>
  <c r="CB174"/>
  <c r="CF174"/>
  <c r="CJ174"/>
  <c r="CN174"/>
  <c r="CR174"/>
  <c r="CV174"/>
  <c r="CT84"/>
  <c r="CP84"/>
  <c r="CL84"/>
  <c r="CH84"/>
  <c r="CD84"/>
  <c r="BZ84"/>
  <c r="BV84"/>
  <c r="BR84"/>
  <c r="BN84"/>
  <c r="BJ84"/>
  <c r="BF84"/>
  <c r="BB84"/>
  <c r="AX84"/>
  <c r="AT84"/>
  <c r="AP84"/>
  <c r="AL84"/>
  <c r="AH84"/>
  <c r="CS82"/>
  <c r="CO82"/>
  <c r="CK82"/>
  <c r="CG82"/>
  <c r="CC82"/>
  <c r="BY82"/>
  <c r="BU82"/>
  <c r="BQ82"/>
  <c r="BL82"/>
  <c r="BH82"/>
  <c r="BD82"/>
  <c r="AZ82"/>
  <c r="AV82"/>
  <c r="AR82"/>
  <c r="AN82"/>
  <c r="AJ82"/>
  <c r="AF82"/>
  <c r="AD82"/>
  <c r="AD170"/>
  <c r="BJ170"/>
  <c r="CP170"/>
  <c r="BC170"/>
  <c r="CI170"/>
  <c r="AL170"/>
  <c r="BB170"/>
  <c r="BR170"/>
  <c r="CH170"/>
  <c r="AE170"/>
  <c r="AU170"/>
  <c r="BK170"/>
  <c r="CA170"/>
  <c r="CQ170"/>
  <c r="AH170"/>
  <c r="AP170"/>
  <c r="AX170"/>
  <c r="BF170"/>
  <c r="BN170"/>
  <c r="BV170"/>
  <c r="CD170"/>
  <c r="CL170"/>
  <c r="CT170"/>
  <c r="AI170"/>
  <c r="AQ170"/>
  <c r="AY170"/>
  <c r="BG170"/>
  <c r="BO170"/>
  <c r="BW170"/>
  <c r="CE170"/>
  <c r="CM170"/>
  <c r="CU170"/>
  <c r="CM78"/>
  <c r="CU78"/>
  <c r="CE78"/>
  <c r="AF170"/>
  <c r="AJ170"/>
  <c r="AN170"/>
  <c r="AR170"/>
  <c r="AV170"/>
  <c r="AZ170"/>
  <c r="BD170"/>
  <c r="BH170"/>
  <c r="BL170"/>
  <c r="BP170"/>
  <c r="BT170"/>
  <c r="BX170"/>
  <c r="CB170"/>
  <c r="CF170"/>
  <c r="CJ170"/>
  <c r="CN170"/>
  <c r="CR170"/>
  <c r="CV170"/>
  <c r="AG170"/>
  <c r="AK170"/>
  <c r="AO170"/>
  <c r="AS170"/>
  <c r="AW170"/>
  <c r="BA170"/>
  <c r="BE170"/>
  <c r="BI170"/>
  <c r="BM170"/>
  <c r="BQ170"/>
  <c r="BU170"/>
  <c r="BY170"/>
  <c r="CC170"/>
  <c r="CG170"/>
  <c r="CK170"/>
  <c r="CO170"/>
  <c r="CS170"/>
  <c r="CW170"/>
  <c r="CQ78"/>
  <c r="CI78"/>
  <c r="CA78"/>
  <c r="AW78"/>
  <c r="BE101"/>
  <c r="CW78"/>
  <c r="CS78"/>
  <c r="CO78"/>
  <c r="CK78"/>
  <c r="CG78"/>
  <c r="CC78"/>
  <c r="BU78"/>
  <c r="BE78"/>
  <c r="AO78"/>
  <c r="AO101"/>
  <c r="CI101"/>
  <c r="BY78"/>
  <c r="BQ78"/>
  <c r="BI78"/>
  <c r="BA78"/>
  <c r="AS78"/>
  <c r="AG78"/>
  <c r="AG101"/>
  <c r="AW101"/>
  <c r="BS101"/>
  <c r="AV101"/>
  <c r="BW78"/>
  <c r="BS78"/>
  <c r="BO78"/>
  <c r="BK78"/>
  <c r="BG78"/>
  <c r="BC78"/>
  <c r="AY78"/>
  <c r="AU78"/>
  <c r="AQ78"/>
  <c r="AK78"/>
  <c r="AK101"/>
  <c r="AS101"/>
  <c r="BA101"/>
  <c r="BK101"/>
  <c r="CA101"/>
  <c r="AH101"/>
  <c r="BL101"/>
  <c r="AM78"/>
  <c r="AI78"/>
  <c r="AE78"/>
  <c r="AE101"/>
  <c r="AI101"/>
  <c r="AM101"/>
  <c r="AQ101"/>
  <c r="AU101"/>
  <c r="AY101"/>
  <c r="BC101"/>
  <c r="BG101"/>
  <c r="BO101"/>
  <c r="BW101"/>
  <c r="CE101"/>
  <c r="AD101"/>
  <c r="AN101"/>
  <c r="BD101"/>
  <c r="BT101"/>
  <c r="BI101"/>
  <c r="BM101"/>
  <c r="BQ101"/>
  <c r="BU101"/>
  <c r="BY101"/>
  <c r="CC101"/>
  <c r="CG101"/>
  <c r="CK101"/>
  <c r="AF101"/>
  <c r="AJ101"/>
  <c r="AR101"/>
  <c r="AZ101"/>
  <c r="BH101"/>
  <c r="BP101"/>
  <c r="CB101"/>
  <c r="CU92"/>
  <c r="CQ92"/>
  <c r="CM92"/>
  <c r="CI92"/>
  <c r="CH92" s="1"/>
  <c r="CD92"/>
  <c r="BZ92"/>
  <c r="BV92"/>
  <c r="BR92"/>
  <c r="BN92"/>
  <c r="BJ92"/>
  <c r="BF92"/>
  <c r="BB92"/>
  <c r="AX92"/>
  <c r="AT92"/>
  <c r="AP92"/>
  <c r="AL92"/>
  <c r="AH92"/>
  <c r="AD92"/>
  <c r="AD160" s="1"/>
  <c r="BX101"/>
  <c r="CF101"/>
  <c r="AL101"/>
  <c r="AP101"/>
  <c r="AT101"/>
  <c r="AX101"/>
  <c r="BB101"/>
  <c r="BF101"/>
  <c r="BJ101"/>
  <c r="BN101"/>
  <c r="BR101"/>
  <c r="BV101"/>
  <c r="BZ101"/>
  <c r="CD101"/>
  <c r="AN165"/>
  <c r="AH165"/>
  <c r="AE165"/>
  <c r="AW157"/>
  <c r="AQ157"/>
  <c r="AN157"/>
  <c r="AK157"/>
  <c r="AZ153"/>
  <c r="AW153"/>
  <c r="AT153"/>
  <c r="AQ153"/>
  <c r="AN153"/>
  <c r="AE153"/>
  <c r="AD153" s="1"/>
  <c r="AG153" s="1"/>
  <c r="AF153" s="1"/>
  <c r="AQ150"/>
  <c r="AK150"/>
  <c r="AZ148"/>
  <c r="AW148"/>
  <c r="AT148"/>
  <c r="AQ148"/>
  <c r="AN148"/>
  <c r="AK148"/>
  <c r="AZ165"/>
  <c r="AW165"/>
  <c r="AT165"/>
  <c r="AK165"/>
  <c r="AH157"/>
  <c r="AE157"/>
  <c r="AD157" s="1"/>
  <c r="AG157" s="1"/>
  <c r="AJ157" s="1"/>
  <c r="AM157" s="1"/>
  <c r="AP157" s="1"/>
  <c r="AS157" s="1"/>
  <c r="AV157" s="1"/>
  <c r="AY157" s="1"/>
  <c r="AK153"/>
  <c r="AH153"/>
  <c r="AQ152"/>
  <c r="AW150"/>
  <c r="AE150"/>
  <c r="AD150" s="1"/>
  <c r="AG150" s="1"/>
  <c r="AJ150" s="1"/>
  <c r="AM150" s="1"/>
  <c r="AP150" s="1"/>
  <c r="AS150" s="1"/>
  <c r="AV150" s="1"/>
  <c r="AY150" s="1"/>
  <c r="AH148"/>
  <c r="AE148"/>
  <c r="AB157"/>
  <c r="CJ120"/>
  <c r="CH120"/>
  <c r="CF120"/>
  <c r="CD120"/>
  <c r="CB120"/>
  <c r="BZ120"/>
  <c r="BX120"/>
  <c r="BV120"/>
  <c r="BT120"/>
  <c r="BR120"/>
  <c r="BP120"/>
  <c r="BN120"/>
  <c r="BL120"/>
  <c r="BJ120"/>
  <c r="BH120"/>
  <c r="BF120"/>
  <c r="BD120"/>
  <c r="BB120"/>
  <c r="AZ120"/>
  <c r="AX120"/>
  <c r="AV120"/>
  <c r="AT120"/>
  <c r="AR120"/>
  <c r="AP120"/>
  <c r="AN120"/>
  <c r="AL120"/>
  <c r="AJ120"/>
  <c r="AH120"/>
  <c r="AF120"/>
  <c r="AD120"/>
  <c r="CK120"/>
  <c r="CI120"/>
  <c r="CG120"/>
  <c r="CE120"/>
  <c r="CC120"/>
  <c r="CA120"/>
  <c r="BY120"/>
  <c r="BW120"/>
  <c r="BU120"/>
  <c r="BS120"/>
  <c r="BQ120"/>
  <c r="BO120"/>
  <c r="BM120"/>
  <c r="BK120"/>
  <c r="BI120"/>
  <c r="BG120"/>
  <c r="BE120"/>
  <c r="BC120"/>
  <c r="BA120"/>
  <c r="AY120"/>
  <c r="AW120"/>
  <c r="AU120"/>
  <c r="AS120"/>
  <c r="AQ120"/>
  <c r="AO120"/>
  <c r="AM120"/>
  <c r="AK120"/>
  <c r="AI120"/>
  <c r="AG120"/>
  <c r="AE120"/>
  <c r="CK115"/>
  <c r="CI115"/>
  <c r="CG115"/>
  <c r="CE115"/>
  <c r="CC115"/>
  <c r="CA115"/>
  <c r="BY115"/>
  <c r="BW115"/>
  <c r="BT115"/>
  <c r="BR115"/>
  <c r="BP115"/>
  <c r="BN115"/>
  <c r="BL115"/>
  <c r="BJ115"/>
  <c r="BH115"/>
  <c r="BF115"/>
  <c r="BD115"/>
  <c r="BB115"/>
  <c r="AZ115"/>
  <c r="AX115"/>
  <c r="AV115"/>
  <c r="AT115"/>
  <c r="AR115"/>
  <c r="AP115"/>
  <c r="AN115"/>
  <c r="AL115"/>
  <c r="AJ115"/>
  <c r="AH115"/>
  <c r="AF115"/>
  <c r="AD115"/>
  <c r="CJ115"/>
  <c r="CH115"/>
  <c r="CF115"/>
  <c r="CD115"/>
  <c r="CB115"/>
  <c r="BZ115"/>
  <c r="BX115"/>
  <c r="BV115"/>
  <c r="BU115" s="1"/>
  <c r="BS115"/>
  <c r="BQ115"/>
  <c r="BO115"/>
  <c r="BM115"/>
  <c r="BK115"/>
  <c r="BI115"/>
  <c r="BG115"/>
  <c r="BE115"/>
  <c r="BC115"/>
  <c r="BA115"/>
  <c r="AY115"/>
  <c r="AW115"/>
  <c r="AU115"/>
  <c r="AS115"/>
  <c r="AQ115"/>
  <c r="AO115"/>
  <c r="AM115"/>
  <c r="AK115"/>
  <c r="AI115"/>
  <c r="AG115"/>
  <c r="AE115"/>
  <c r="CJ112"/>
  <c r="CH112"/>
  <c r="CF112"/>
  <c r="CD112"/>
  <c r="CB112"/>
  <c r="BZ112"/>
  <c r="BX112"/>
  <c r="BV112"/>
  <c r="BT112"/>
  <c r="BR112"/>
  <c r="BP112"/>
  <c r="BN112"/>
  <c r="BL112"/>
  <c r="BJ112"/>
  <c r="BH112"/>
  <c r="BF112"/>
  <c r="BD112"/>
  <c r="BB112"/>
  <c r="AZ112"/>
  <c r="AX112"/>
  <c r="AV112"/>
  <c r="AT112"/>
  <c r="AR112"/>
  <c r="AP112"/>
  <c r="AN112"/>
  <c r="AL112"/>
  <c r="AJ112"/>
  <c r="AH112"/>
  <c r="AF112"/>
  <c r="AD112"/>
  <c r="CK112"/>
  <c r="CI112"/>
  <c r="CG112"/>
  <c r="CE112"/>
  <c r="CC112"/>
  <c r="CA112"/>
  <c r="BY112"/>
  <c r="BW112"/>
  <c r="BU112"/>
  <c r="BS112"/>
  <c r="BQ112"/>
  <c r="BO112"/>
  <c r="BM112"/>
  <c r="BK112"/>
  <c r="BI112"/>
  <c r="BG112"/>
  <c r="BE112"/>
  <c r="BC112"/>
  <c r="BA112"/>
  <c r="AY112"/>
  <c r="AW112"/>
  <c r="AU112"/>
  <c r="AS112"/>
  <c r="AQ112"/>
  <c r="AO112"/>
  <c r="AM112"/>
  <c r="AK112"/>
  <c r="AI112"/>
  <c r="AG112"/>
  <c r="AE112"/>
  <c r="CJ108"/>
  <c r="CH108"/>
  <c r="CF108"/>
  <c r="CD108"/>
  <c r="CB108"/>
  <c r="BZ108"/>
  <c r="BX108"/>
  <c r="BV108"/>
  <c r="BT108"/>
  <c r="BR108"/>
  <c r="BP108"/>
  <c r="BN108"/>
  <c r="BL108"/>
  <c r="BJ108"/>
  <c r="BH108"/>
  <c r="BF108"/>
  <c r="BD108"/>
  <c r="BB108"/>
  <c r="AZ108"/>
  <c r="AX108"/>
  <c r="AV108"/>
  <c r="AT108"/>
  <c r="AR108"/>
  <c r="AP108"/>
  <c r="AN108"/>
  <c r="AL108"/>
  <c r="AJ108"/>
  <c r="AH108"/>
  <c r="AF108"/>
  <c r="AD108"/>
  <c r="CK108"/>
  <c r="CI108"/>
  <c r="CG108"/>
  <c r="CE108"/>
  <c r="CC108"/>
  <c r="CA108"/>
  <c r="BY108"/>
  <c r="BW108"/>
  <c r="BU108"/>
  <c r="BS108"/>
  <c r="BQ108"/>
  <c r="BO108"/>
  <c r="BM108"/>
  <c r="BK108"/>
  <c r="BI108"/>
  <c r="BG108"/>
  <c r="BE108"/>
  <c r="BC108"/>
  <c r="BA108"/>
  <c r="AY108"/>
  <c r="AW108"/>
  <c r="AU108"/>
  <c r="AS108"/>
  <c r="AQ108"/>
  <c r="AO108"/>
  <c r="AM108"/>
  <c r="AK108"/>
  <c r="AI108"/>
  <c r="AG108"/>
  <c r="AE108"/>
  <c r="CK103"/>
  <c r="CI103"/>
  <c r="CG103"/>
  <c r="CE103"/>
  <c r="CC103"/>
  <c r="CA103"/>
  <c r="BY103"/>
  <c r="BW103"/>
  <c r="BU103"/>
  <c r="BS103"/>
  <c r="BQ103"/>
  <c r="BO103"/>
  <c r="BM103"/>
  <c r="BK103"/>
  <c r="BI103"/>
  <c r="BG103"/>
  <c r="BE103"/>
  <c r="BC103"/>
  <c r="BA103"/>
  <c r="AY103"/>
  <c r="AW103"/>
  <c r="AU103"/>
  <c r="AS103"/>
  <c r="AQ103"/>
  <c r="AO103"/>
  <c r="AM103"/>
  <c r="AK103"/>
  <c r="AI103"/>
  <c r="AG103"/>
  <c r="AE103"/>
  <c r="CJ103"/>
  <c r="CH103"/>
  <c r="CF103"/>
  <c r="CD103"/>
  <c r="CB103"/>
  <c r="BZ103"/>
  <c r="BX103"/>
  <c r="BV103"/>
  <c r="BT103"/>
  <c r="BR103"/>
  <c r="BP103"/>
  <c r="BN103"/>
  <c r="BL103"/>
  <c r="BJ103"/>
  <c r="BH103"/>
  <c r="BF103"/>
  <c r="BD103"/>
  <c r="BB103"/>
  <c r="AZ103"/>
  <c r="AX103"/>
  <c r="AV103"/>
  <c r="AT103"/>
  <c r="AR103"/>
  <c r="AP103"/>
  <c r="AN103"/>
  <c r="AL103"/>
  <c r="AJ103"/>
  <c r="AH103"/>
  <c r="AF103"/>
  <c r="AD103"/>
  <c r="AD165"/>
  <c r="CF107"/>
  <c r="BX107"/>
  <c r="BP107"/>
  <c r="BH107"/>
  <c r="AZ107"/>
  <c r="AR107"/>
  <c r="AJ107"/>
  <c r="CK107"/>
  <c r="CC107"/>
  <c r="BU107"/>
  <c r="BM107"/>
  <c r="BE107"/>
  <c r="AW107"/>
  <c r="AO107"/>
  <c r="AG107"/>
  <c r="CK105"/>
  <c r="CG105"/>
  <c r="CC105"/>
  <c r="BY105"/>
  <c r="BU105"/>
  <c r="BQ105"/>
  <c r="BM105"/>
  <c r="BI105"/>
  <c r="BE105"/>
  <c r="BA105"/>
  <c r="AW105"/>
  <c r="AS105"/>
  <c r="AO105"/>
  <c r="AK105"/>
  <c r="AG105"/>
  <c r="CJ105"/>
  <c r="CF105"/>
  <c r="CB105"/>
  <c r="BX105"/>
  <c r="BT105"/>
  <c r="BP105"/>
  <c r="BL105"/>
  <c r="BH105"/>
  <c r="BD105"/>
  <c r="AZ105"/>
  <c r="AV105"/>
  <c r="AR105"/>
  <c r="AN105"/>
  <c r="AJ105"/>
  <c r="AF105"/>
  <c r="CV185"/>
  <c r="CT185"/>
  <c r="CR185"/>
  <c r="CP185"/>
  <c r="CN185"/>
  <c r="CL185"/>
  <c r="CJ185"/>
  <c r="CH185"/>
  <c r="CF185"/>
  <c r="CD185"/>
  <c r="CB185"/>
  <c r="BZ185"/>
  <c r="BX185"/>
  <c r="BV185"/>
  <c r="BT185"/>
  <c r="BR185"/>
  <c r="BP185"/>
  <c r="BN185"/>
  <c r="BL185"/>
  <c r="BJ185"/>
  <c r="BH185"/>
  <c r="BF185"/>
  <c r="BD185"/>
  <c r="BB185"/>
  <c r="AZ185"/>
  <c r="AX185"/>
  <c r="AV185"/>
  <c r="AT185"/>
  <c r="AR185"/>
  <c r="AP185"/>
  <c r="AN185"/>
  <c r="AL185"/>
  <c r="AJ185"/>
  <c r="AH185"/>
  <c r="AF185"/>
  <c r="AD185"/>
  <c r="CW185"/>
  <c r="CU185"/>
  <c r="CS185"/>
  <c r="CQ185"/>
  <c r="CO185"/>
  <c r="CM185"/>
  <c r="CK185"/>
  <c r="CI185"/>
  <c r="CG185"/>
  <c r="CE185"/>
  <c r="CC185"/>
  <c r="CA185"/>
  <c r="BY185"/>
  <c r="BW185"/>
  <c r="BU185"/>
  <c r="BS185"/>
  <c r="BQ185"/>
  <c r="BO185"/>
  <c r="BM185"/>
  <c r="BK185"/>
  <c r="BI185"/>
  <c r="BG185"/>
  <c r="BE185"/>
  <c r="BC185"/>
  <c r="BA185"/>
  <c r="AY185"/>
  <c r="AW185"/>
  <c r="AU185"/>
  <c r="AS185"/>
  <c r="AQ185"/>
  <c r="AO185"/>
  <c r="AM185"/>
  <c r="AK185"/>
  <c r="AI185"/>
  <c r="AG185"/>
  <c r="AE185"/>
  <c r="AC116"/>
  <c r="CW93"/>
  <c r="CU93"/>
  <c r="CS93"/>
  <c r="CQ93"/>
  <c r="CO93"/>
  <c r="CL93"/>
  <c r="CJ93"/>
  <c r="CH93"/>
  <c r="CF93"/>
  <c r="CD93"/>
  <c r="CB93"/>
  <c r="BZ93"/>
  <c r="BX93"/>
  <c r="BV93"/>
  <c r="BT93"/>
  <c r="BR93"/>
  <c r="BP93"/>
  <c r="BN93"/>
  <c r="BL93"/>
  <c r="BJ93"/>
  <c r="BH93"/>
  <c r="BF93"/>
  <c r="BD93"/>
  <c r="BB93"/>
  <c r="AZ93"/>
  <c r="AX93"/>
  <c r="AV93"/>
  <c r="AT93"/>
  <c r="AR93"/>
  <c r="AP93"/>
  <c r="AN93"/>
  <c r="AL93"/>
  <c r="AJ93"/>
  <c r="AH93"/>
  <c r="AF93"/>
  <c r="AD93"/>
  <c r="CV93"/>
  <c r="CT93"/>
  <c r="CR93"/>
  <c r="CP93"/>
  <c r="CN93"/>
  <c r="CM93" s="1"/>
  <c r="CK93"/>
  <c r="CI93"/>
  <c r="CG93"/>
  <c r="CE93"/>
  <c r="CC93"/>
  <c r="CA93"/>
  <c r="BY93"/>
  <c r="BW93"/>
  <c r="BU93"/>
  <c r="BS93"/>
  <c r="BQ93"/>
  <c r="BO93"/>
  <c r="BM93"/>
  <c r="BK93"/>
  <c r="BI93"/>
  <c r="BG93"/>
  <c r="BE93"/>
  <c r="BC93"/>
  <c r="BA93"/>
  <c r="AY93"/>
  <c r="AW93"/>
  <c r="AU93"/>
  <c r="AS93"/>
  <c r="AQ93"/>
  <c r="AO93"/>
  <c r="AM93"/>
  <c r="AK93"/>
  <c r="AI93"/>
  <c r="AG93"/>
  <c r="AE93"/>
  <c r="AD78"/>
  <c r="E16"/>
  <c r="AT150"/>
  <c r="AN146"/>
  <c r="AD148"/>
  <c r="AG148" s="1"/>
  <c r="AJ148" s="1"/>
  <c r="AH152" l="1"/>
  <c r="AW152"/>
  <c r="AK152"/>
  <c r="AW146"/>
  <c r="AZ146"/>
  <c r="AK107"/>
  <c r="AS107"/>
  <c r="BA107"/>
  <c r="BI107"/>
  <c r="BQ107"/>
  <c r="BY107"/>
  <c r="CG107"/>
  <c r="AF107"/>
  <c r="AN107"/>
  <c r="AV107"/>
  <c r="BD107"/>
  <c r="BL107"/>
  <c r="BT107"/>
  <c r="CB107"/>
  <c r="CJ107"/>
  <c r="AQ146"/>
  <c r="AE152"/>
  <c r="AN152"/>
  <c r="AT152"/>
  <c r="AZ152"/>
  <c r="AD152"/>
  <c r="AG152" s="1"/>
  <c r="AJ152" s="1"/>
  <c r="AH150"/>
  <c r="AI150" s="1"/>
  <c r="AN150"/>
  <c r="AZ150"/>
  <c r="BA150" s="1"/>
  <c r="AE146"/>
  <c r="AT146"/>
  <c r="AF152"/>
  <c r="AD105"/>
  <c r="AH105"/>
  <c r="AL105"/>
  <c r="AP105"/>
  <c r="AT105"/>
  <c r="AX105"/>
  <c r="BB105"/>
  <c r="BF105"/>
  <c r="BJ105"/>
  <c r="BN105"/>
  <c r="BR105"/>
  <c r="BV105"/>
  <c r="BZ105"/>
  <c r="CD105"/>
  <c r="CH105"/>
  <c r="AE105"/>
  <c r="AI105"/>
  <c r="AM105"/>
  <c r="AQ105"/>
  <c r="AU105"/>
  <c r="AY105"/>
  <c r="BC105"/>
  <c r="BG105"/>
  <c r="BK105"/>
  <c r="BO105"/>
  <c r="BS105"/>
  <c r="BW105"/>
  <c r="CA105"/>
  <c r="CE105"/>
  <c r="AE107"/>
  <c r="AI107"/>
  <c r="AM107"/>
  <c r="AQ107"/>
  <c r="AU107"/>
  <c r="AY107"/>
  <c r="BC107"/>
  <c r="BG107"/>
  <c r="BK107"/>
  <c r="BO107"/>
  <c r="BS107"/>
  <c r="BW107"/>
  <c r="CA107"/>
  <c r="CE107"/>
  <c r="CI107"/>
  <c r="AD107"/>
  <c r="AH107"/>
  <c r="AL107"/>
  <c r="AP107"/>
  <c r="AT107"/>
  <c r="AX107"/>
  <c r="BB107"/>
  <c r="BF107"/>
  <c r="BJ107"/>
  <c r="BN107"/>
  <c r="BR107"/>
  <c r="BV107"/>
  <c r="BZ107"/>
  <c r="CD107"/>
  <c r="AH146"/>
  <c r="AK146"/>
  <c r="AE160"/>
  <c r="AF160" s="1"/>
  <c r="AN160"/>
  <c r="AZ160"/>
  <c r="AG160"/>
  <c r="AJ160" s="1"/>
  <c r="AM160" s="1"/>
  <c r="AH160"/>
  <c r="AK160"/>
  <c r="AQ160"/>
  <c r="AT160"/>
  <c r="AF150"/>
  <c r="AW160"/>
  <c r="AJ153"/>
  <c r="AM153" s="1"/>
  <c r="AO153" s="1"/>
  <c r="AK161"/>
  <c r="AU150"/>
  <c r="AX150"/>
  <c r="AE161"/>
  <c r="AN161"/>
  <c r="AQ161"/>
  <c r="AT161"/>
  <c r="AW161"/>
  <c r="AZ161"/>
  <c r="AI153"/>
  <c r="AH161"/>
  <c r="AI148"/>
  <c r="AM148"/>
  <c r="AL148"/>
  <c r="F16"/>
  <c r="AF148"/>
  <c r="AO150"/>
  <c r="AI152"/>
  <c r="AD146"/>
  <c r="AG146" s="1"/>
  <c r="CK116"/>
  <c r="CI116"/>
  <c r="CG116"/>
  <c r="CE116"/>
  <c r="CC116"/>
  <c r="CA116"/>
  <c r="BY116"/>
  <c r="BW116"/>
  <c r="BU116"/>
  <c r="BS116"/>
  <c r="BQ116"/>
  <c r="BO116"/>
  <c r="BM116"/>
  <c r="BK116"/>
  <c r="BI116"/>
  <c r="BG116"/>
  <c r="BE116"/>
  <c r="BC116"/>
  <c r="BA116"/>
  <c r="AY116"/>
  <c r="AW116"/>
  <c r="AU116"/>
  <c r="AS116"/>
  <c r="AQ116"/>
  <c r="AO116"/>
  <c r="AM116"/>
  <c r="AK116"/>
  <c r="AI116"/>
  <c r="AG116"/>
  <c r="AE116"/>
  <c r="CJ116"/>
  <c r="CH116"/>
  <c r="CF116"/>
  <c r="CD116"/>
  <c r="CB116"/>
  <c r="BZ116"/>
  <c r="BX116"/>
  <c r="BV116"/>
  <c r="BT116"/>
  <c r="BR116"/>
  <c r="BP116"/>
  <c r="BN116"/>
  <c r="BL116"/>
  <c r="BJ116"/>
  <c r="BH116"/>
  <c r="BF116"/>
  <c r="BD116"/>
  <c r="BB116"/>
  <c r="AZ116"/>
  <c r="AX116"/>
  <c r="AV116"/>
  <c r="AT116"/>
  <c r="AR116"/>
  <c r="AP116"/>
  <c r="AN116"/>
  <c r="AL116"/>
  <c r="AJ116"/>
  <c r="AH116"/>
  <c r="AF116"/>
  <c r="AD116"/>
  <c r="AB165"/>
  <c r="AG165"/>
  <c r="AR157"/>
  <c r="AL157"/>
  <c r="AF157"/>
  <c r="AO157"/>
  <c r="AX157"/>
  <c r="AI157"/>
  <c r="AD161"/>
  <c r="AG161" s="1"/>
  <c r="AL150"/>
  <c r="AR150"/>
  <c r="AP153" l="1"/>
  <c r="AI160"/>
  <c r="AL153"/>
  <c r="AF161"/>
  <c r="AI161"/>
  <c r="AJ161"/>
  <c r="AM152"/>
  <c r="AL152"/>
  <c r="AF165"/>
  <c r="AJ165"/>
  <c r="AM165" s="1"/>
  <c r="AP165" s="1"/>
  <c r="AP148"/>
  <c r="AS148" s="1"/>
  <c r="AO148"/>
  <c r="AI165"/>
  <c r="AF146"/>
  <c r="AJ146"/>
  <c r="AM146" s="1"/>
  <c r="AI146"/>
  <c r="AS153"/>
  <c r="AR153"/>
  <c r="AL160"/>
  <c r="AP160"/>
  <c r="AO160"/>
  <c r="AL165" l="1"/>
  <c r="AV153"/>
  <c r="AU153"/>
  <c r="AS160"/>
  <c r="AR160"/>
  <c r="AR148"/>
  <c r="AV148"/>
  <c r="AU148"/>
  <c r="AP152"/>
  <c r="AO152"/>
  <c r="AL146"/>
  <c r="AP146"/>
  <c r="AO146"/>
  <c r="AO165"/>
  <c r="AS165"/>
  <c r="AM161"/>
  <c r="AL161"/>
  <c r="AP161" l="1"/>
  <c r="AO161"/>
  <c r="AV165"/>
  <c r="AU165"/>
  <c r="AV160"/>
  <c r="AU160"/>
  <c r="AY153"/>
  <c r="BA153" s="1"/>
  <c r="AX153"/>
  <c r="AS146"/>
  <c r="AR146"/>
  <c r="AS152"/>
  <c r="AR152"/>
  <c r="AY148"/>
  <c r="BA148" s="1"/>
  <c r="AX148"/>
  <c r="AV146" l="1"/>
  <c r="AU146"/>
  <c r="AY160"/>
  <c r="BA160" s="1"/>
  <c r="AX160"/>
  <c r="AY165"/>
  <c r="AX165"/>
  <c r="AS161"/>
  <c r="AR161"/>
  <c r="AV152"/>
  <c r="AU152"/>
  <c r="AV161" l="1"/>
  <c r="AU161"/>
  <c r="AY146"/>
  <c r="BA146" s="1"/>
  <c r="AX146"/>
  <c r="AY152"/>
  <c r="BA152" s="1"/>
  <c r="AX152"/>
  <c r="AY161" l="1"/>
  <c r="BA161" s="1"/>
  <c r="AX161"/>
  <c r="AR5" i="17" l="1"/>
  <c r="AL5"/>
  <c r="AF5"/>
  <c r="AR4"/>
  <c r="AL4"/>
  <c r="AF4"/>
  <c r="Z4"/>
  <c r="T4"/>
  <c r="N4"/>
  <c r="H4"/>
  <c r="B4"/>
  <c r="C31" i="9" l="1"/>
  <c r="AO26" l="1"/>
  <c r="AN26" s="1"/>
  <c r="AM26" s="1"/>
  <c r="AL26"/>
  <c r="AK26" s="1"/>
  <c r="AI26"/>
  <c r="AH26" s="1"/>
  <c r="AG26" s="1"/>
  <c r="AF26"/>
  <c r="AE26"/>
  <c r="AC26"/>
  <c r="AB26" s="1"/>
  <c r="AA26" s="1"/>
  <c r="Z26" s="1"/>
  <c r="Y26" s="1"/>
  <c r="X26" s="1"/>
  <c r="W26" s="1"/>
  <c r="V26" s="1"/>
  <c r="U26" s="1"/>
  <c r="T26" s="1"/>
  <c r="S26" s="1"/>
  <c r="R26"/>
  <c r="Q26"/>
  <c r="O26"/>
  <c r="N26" s="1"/>
  <c r="M26" s="1"/>
  <c r="L26" s="1"/>
  <c r="K26" s="1"/>
  <c r="J26"/>
  <c r="I26" s="1"/>
  <c r="H26" s="1"/>
  <c r="G26"/>
  <c r="F26" s="1"/>
  <c r="E26"/>
  <c r="D26"/>
  <c r="AQ25" s="1"/>
  <c r="AO25"/>
  <c r="AN25" s="1"/>
  <c r="AM25" s="1"/>
  <c r="AL25"/>
  <c r="AK25" s="1"/>
  <c r="AI25"/>
  <c r="AH25"/>
  <c r="AG25" s="1"/>
  <c r="AF25"/>
  <c r="AE25" s="1"/>
  <c r="AC25"/>
  <c r="AB25" s="1"/>
  <c r="AA25" s="1"/>
  <c r="Z25" s="1"/>
  <c r="Y25" s="1"/>
  <c r="X25" s="1"/>
  <c r="W25" s="1"/>
  <c r="V25" s="1"/>
  <c r="U25" s="1"/>
  <c r="T25" s="1"/>
  <c r="S25" s="1"/>
  <c r="R25" s="1"/>
  <c r="Q25" s="1"/>
  <c r="O25"/>
  <c r="N25" s="1"/>
  <c r="M25" s="1"/>
  <c r="L25" s="1"/>
  <c r="K25" s="1"/>
  <c r="J25"/>
  <c r="I25" s="1"/>
  <c r="H25"/>
  <c r="G25" s="1"/>
  <c r="F25" s="1"/>
  <c r="E25" s="1"/>
  <c r="D25"/>
  <c r="AQ24" s="1"/>
  <c r="AO24"/>
  <c r="AN24" s="1"/>
  <c r="AM24" s="1"/>
  <c r="AL24"/>
  <c r="AK24" s="1"/>
  <c r="AI24"/>
  <c r="AH24" s="1"/>
  <c r="AG24" s="1"/>
  <c r="AF24"/>
  <c r="AE24" s="1"/>
  <c r="AC24"/>
  <c r="AB24" s="1"/>
  <c r="AA24" s="1"/>
  <c r="Z24" s="1"/>
  <c r="Y24" s="1"/>
  <c r="X24" s="1"/>
  <c r="W24" s="1"/>
  <c r="V24" s="1"/>
  <c r="U24" s="1"/>
  <c r="T24" s="1"/>
  <c r="S24" s="1"/>
  <c r="R24"/>
  <c r="Q24" s="1"/>
  <c r="O24"/>
  <c r="N24" s="1"/>
  <c r="M24" s="1"/>
  <c r="L24" s="1"/>
  <c r="K24" s="1"/>
  <c r="J24"/>
  <c r="I24" s="1"/>
  <c r="H24" s="1"/>
  <c r="G24"/>
  <c r="F24" s="1"/>
  <c r="E24" s="1"/>
  <c r="D24"/>
  <c r="AO15" l="1"/>
  <c r="AI15"/>
  <c r="AC15"/>
  <c r="O15"/>
  <c r="AQ2" l="1"/>
  <c r="AK2"/>
  <c r="AE2"/>
  <c r="AO32" i="6" l="1"/>
  <c r="AN32" s="1"/>
  <c r="AM32" s="1"/>
  <c r="AL32"/>
  <c r="AK32" s="1"/>
  <c r="AI32"/>
  <c r="AH32" s="1"/>
  <c r="AG32" s="1"/>
  <c r="AF32"/>
  <c r="AE32" s="1"/>
  <c r="AC32"/>
  <c r="AB32" s="1"/>
  <c r="AA32" s="1"/>
  <c r="Z32" s="1"/>
  <c r="Y32" s="1"/>
  <c r="X32" s="1"/>
  <c r="W32" s="1"/>
  <c r="V32" s="1"/>
  <c r="U32" s="1"/>
  <c r="T32" s="1"/>
  <c r="S32" s="1"/>
  <c r="R32"/>
  <c r="Q32" s="1"/>
  <c r="O32"/>
  <c r="N32" s="1"/>
  <c r="M32"/>
  <c r="L32" s="1"/>
  <c r="K32" s="1"/>
  <c r="J32"/>
  <c r="I32" s="1"/>
  <c r="H32"/>
  <c r="G32" s="1"/>
  <c r="F32" s="1"/>
  <c r="E32" s="1"/>
  <c r="D32"/>
  <c r="AQ31" s="1"/>
  <c r="AO31"/>
  <c r="AN31" s="1"/>
  <c r="AM31" s="1"/>
  <c r="AL31"/>
  <c r="AK31" s="1"/>
  <c r="AI31"/>
  <c r="AH31" s="1"/>
  <c r="AG31" s="1"/>
  <c r="AF31"/>
  <c r="AE31" s="1"/>
  <c r="AC31"/>
  <c r="AB31" s="1"/>
  <c r="AA31" s="1"/>
  <c r="Z31" s="1"/>
  <c r="Y31" s="1"/>
  <c r="X31" s="1"/>
  <c r="W31" s="1"/>
  <c r="V31" s="1"/>
  <c r="U31" s="1"/>
  <c r="T31" s="1"/>
  <c r="S31" s="1"/>
  <c r="R31"/>
  <c r="Q31" s="1"/>
  <c r="O31"/>
  <c r="N31" s="1"/>
  <c r="M31" s="1"/>
  <c r="L31"/>
  <c r="K31" s="1"/>
  <c r="J31" s="1"/>
  <c r="I31"/>
  <c r="H31" s="1"/>
  <c r="G31"/>
  <c r="F31" s="1"/>
  <c r="E31"/>
  <c r="D31"/>
  <c r="AO29"/>
  <c r="AN29" s="1"/>
  <c r="AM29" s="1"/>
  <c r="AL29"/>
  <c r="AK29" s="1"/>
  <c r="AI29"/>
  <c r="AH29" s="1"/>
  <c r="AG29" s="1"/>
  <c r="AF29"/>
  <c r="AE29" s="1"/>
  <c r="AC29"/>
  <c r="AB29" s="1"/>
  <c r="AA29" s="1"/>
  <c r="Z29" s="1"/>
  <c r="Y29" s="1"/>
  <c r="X29" s="1"/>
  <c r="W29" s="1"/>
  <c r="V29" s="1"/>
  <c r="U29" s="1"/>
  <c r="T29" s="1"/>
  <c r="S29" s="1"/>
  <c r="R29"/>
  <c r="Q29" s="1"/>
  <c r="O29"/>
  <c r="N29" s="1"/>
  <c r="M29" s="1"/>
  <c r="L29" s="1"/>
  <c r="K29"/>
  <c r="J29" s="1"/>
  <c r="I29" s="1"/>
  <c r="H29"/>
  <c r="G29" s="1"/>
  <c r="F29" s="1"/>
  <c r="E29" s="1"/>
  <c r="D29"/>
  <c r="AQ28" s="1"/>
  <c r="AO28"/>
  <c r="AN28" s="1"/>
  <c r="AM28" s="1"/>
  <c r="AL28"/>
  <c r="AK28" s="1"/>
  <c r="AI28"/>
  <c r="AH28" s="1"/>
  <c r="AG28" s="1"/>
  <c r="AF28"/>
  <c r="AE28" s="1"/>
  <c r="AC28"/>
  <c r="AB28" s="1"/>
  <c r="AA28" s="1"/>
  <c r="Z28" s="1"/>
  <c r="Y28" s="1"/>
  <c r="X28" s="1"/>
  <c r="W28" s="1"/>
  <c r="V28" s="1"/>
  <c r="U28" s="1"/>
  <c r="T28" s="1"/>
  <c r="S28" s="1"/>
  <c r="R28"/>
  <c r="Q28" s="1"/>
  <c r="O28"/>
  <c r="N28" s="1"/>
  <c r="M28" s="1"/>
  <c r="L28" s="1"/>
  <c r="K28" s="1"/>
  <c r="J28"/>
  <c r="I28" s="1"/>
  <c r="H28" s="1"/>
  <c r="G28"/>
  <c r="F28" s="1"/>
  <c r="E28"/>
  <c r="D28"/>
  <c r="AQ27" s="1"/>
  <c r="AO27"/>
  <c r="AN27" s="1"/>
  <c r="AM27" s="1"/>
  <c r="AL27"/>
  <c r="AK27" s="1"/>
  <c r="AI27"/>
  <c r="AH27" s="1"/>
  <c r="AG27" s="1"/>
  <c r="AF27"/>
  <c r="AE27" s="1"/>
  <c r="AC27"/>
  <c r="AB27" s="1"/>
  <c r="AA27" s="1"/>
  <c r="Z27" s="1"/>
  <c r="Y27" s="1"/>
  <c r="X27" s="1"/>
  <c r="W27" s="1"/>
  <c r="V27" s="1"/>
  <c r="U27" s="1"/>
  <c r="T27" s="1"/>
  <c r="S27" s="1"/>
  <c r="R27"/>
  <c r="Q27" s="1"/>
  <c r="O27"/>
  <c r="N27" s="1"/>
  <c r="M27"/>
  <c r="L27" s="1"/>
  <c r="K27" s="1"/>
  <c r="J27"/>
  <c r="I27" s="1"/>
  <c r="H27"/>
  <c r="G27" s="1"/>
  <c r="F27" s="1"/>
  <c r="E27" s="1"/>
  <c r="D27"/>
  <c r="AQ26" s="1"/>
  <c r="AO26"/>
  <c r="AN26" s="1"/>
  <c r="AM26" s="1"/>
  <c r="AL26"/>
  <c r="AK26" s="1"/>
  <c r="AI26"/>
  <c r="AH26" s="1"/>
  <c r="AG26" s="1"/>
  <c r="AF26"/>
  <c r="AE26" s="1"/>
  <c r="AC26"/>
  <c r="AB26" s="1"/>
  <c r="AA26" s="1"/>
  <c r="Z26" s="1"/>
  <c r="Y26" s="1"/>
  <c r="X26" s="1"/>
  <c r="W26" s="1"/>
  <c r="V26" s="1"/>
  <c r="U26" s="1"/>
  <c r="T26" s="1"/>
  <c r="S26" s="1"/>
  <c r="R26"/>
  <c r="Q26" s="1"/>
  <c r="O26"/>
  <c r="N26" s="1"/>
  <c r="M26" s="1"/>
  <c r="L26"/>
  <c r="K26" s="1"/>
  <c r="J26" s="1"/>
  <c r="I26"/>
  <c r="H26" s="1"/>
  <c r="G26"/>
  <c r="F26" s="1"/>
  <c r="E26"/>
  <c r="D26"/>
  <c r="AQ25" s="1"/>
  <c r="AO25"/>
  <c r="AN25" s="1"/>
  <c r="AM25" s="1"/>
  <c r="AL25"/>
  <c r="AK25" s="1"/>
  <c r="AI25"/>
  <c r="AH25" s="1"/>
  <c r="AG25" s="1"/>
  <c r="AF25"/>
  <c r="AE25" s="1"/>
  <c r="AC25"/>
  <c r="AB25" s="1"/>
  <c r="AA25" s="1"/>
  <c r="Z25" s="1"/>
  <c r="Y25" s="1"/>
  <c r="X25" s="1"/>
  <c r="W25" s="1"/>
  <c r="V25" s="1"/>
  <c r="U25" s="1"/>
  <c r="T25" s="1"/>
  <c r="S25" s="1"/>
  <c r="R25"/>
  <c r="Q25" s="1"/>
  <c r="O25"/>
  <c r="N25" s="1"/>
  <c r="M25" s="1"/>
  <c r="L25" s="1"/>
  <c r="K25" s="1"/>
  <c r="J25" s="1"/>
  <c r="I25"/>
  <c r="H25" s="1"/>
  <c r="G25"/>
  <c r="F25" s="1"/>
  <c r="E25" s="1"/>
  <c r="D25"/>
  <c r="AQ24" s="1"/>
  <c r="AO24"/>
  <c r="AN24" s="1"/>
  <c r="AM24" s="1"/>
  <c r="AL24"/>
  <c r="AK24" s="1"/>
  <c r="AI24"/>
  <c r="AH24" s="1"/>
  <c r="AG24" s="1"/>
  <c r="AF24"/>
  <c r="AE24" s="1"/>
  <c r="AC24"/>
  <c r="AB24" s="1"/>
  <c r="AA24" s="1"/>
  <c r="Z24" s="1"/>
  <c r="Y24" s="1"/>
  <c r="X24" s="1"/>
  <c r="W24" s="1"/>
  <c r="V24" s="1"/>
  <c r="U24" s="1"/>
  <c r="T24" s="1"/>
  <c r="S24" s="1"/>
  <c r="R24"/>
  <c r="Q24" s="1"/>
  <c r="O24"/>
  <c r="N24" s="1"/>
  <c r="M24" s="1"/>
  <c r="L24" s="1"/>
  <c r="K24" s="1"/>
  <c r="J24"/>
  <c r="I24" s="1"/>
  <c r="H24"/>
  <c r="G24"/>
  <c r="F24" s="1"/>
  <c r="E24"/>
  <c r="D24"/>
  <c r="AQ23" s="1"/>
  <c r="AO23"/>
  <c r="AN23" s="1"/>
  <c r="AM23" s="1"/>
  <c r="AL23"/>
  <c r="AK23" s="1"/>
  <c r="AI23"/>
  <c r="AH23" s="1"/>
  <c r="AG23" s="1"/>
  <c r="AF23"/>
  <c r="AE23" s="1"/>
  <c r="AC23"/>
  <c r="AB23" s="1"/>
  <c r="AA23" s="1"/>
  <c r="Z23" s="1"/>
  <c r="Y23" s="1"/>
  <c r="X23" s="1"/>
  <c r="W23" s="1"/>
  <c r="V23" s="1"/>
  <c r="U23" s="1"/>
  <c r="T23" s="1"/>
  <c r="S23" s="1"/>
  <c r="R23"/>
  <c r="Q23" s="1"/>
  <c r="O23"/>
  <c r="N23" s="1"/>
  <c r="M23" s="1"/>
  <c r="L23" s="1"/>
  <c r="K23" s="1"/>
  <c r="J23" s="1"/>
  <c r="I23"/>
  <c r="H23" s="1"/>
  <c r="G23"/>
  <c r="F23" s="1"/>
  <c r="E23" s="1"/>
  <c r="D23"/>
  <c r="AO21"/>
  <c r="AN21" s="1"/>
  <c r="AM21" s="1"/>
  <c r="AL21"/>
  <c r="AK21" s="1"/>
  <c r="AI21"/>
  <c r="AH21" s="1"/>
  <c r="AG21" s="1"/>
  <c r="AF21"/>
  <c r="AE21" s="1"/>
  <c r="AC21"/>
  <c r="AB21" s="1"/>
  <c r="AA21" s="1"/>
  <c r="Z21" s="1"/>
  <c r="Y21" s="1"/>
  <c r="X21" s="1"/>
  <c r="W21" s="1"/>
  <c r="V21" s="1"/>
  <c r="U21" s="1"/>
  <c r="T21" s="1"/>
  <c r="S21" s="1"/>
  <c r="R21"/>
  <c r="Q21" s="1"/>
  <c r="O21"/>
  <c r="N21" s="1"/>
  <c r="M21" s="1"/>
  <c r="L21" s="1"/>
  <c r="K21" s="1"/>
  <c r="J21"/>
  <c r="I21" s="1"/>
  <c r="H21"/>
  <c r="G21"/>
  <c r="F21" s="1"/>
  <c r="E21"/>
  <c r="D21"/>
  <c r="AQ20" s="1"/>
  <c r="AO20"/>
  <c r="AN20" s="1"/>
  <c r="AM20" s="1"/>
  <c r="AL20"/>
  <c r="AK20" s="1"/>
  <c r="AI20"/>
  <c r="AH20" s="1"/>
  <c r="AG20" s="1"/>
  <c r="AF20"/>
  <c r="AE20" s="1"/>
  <c r="AC20"/>
  <c r="AB20" s="1"/>
  <c r="AA20" s="1"/>
  <c r="Z20" s="1"/>
  <c r="Y20" s="1"/>
  <c r="X20" s="1"/>
  <c r="W20" s="1"/>
  <c r="V20" s="1"/>
  <c r="U20" s="1"/>
  <c r="T20" s="1"/>
  <c r="S20" s="1"/>
  <c r="R20"/>
  <c r="Q20" s="1"/>
  <c r="O20"/>
  <c r="N20" s="1"/>
  <c r="M20" s="1"/>
  <c r="L20" s="1"/>
  <c r="K20" s="1"/>
  <c r="J20" s="1"/>
  <c r="I20"/>
  <c r="H20" s="1"/>
  <c r="G20"/>
  <c r="F20" s="1"/>
  <c r="E20" s="1"/>
  <c r="D20"/>
  <c r="AQ19" s="1"/>
  <c r="AO19"/>
  <c r="AN19" s="1"/>
  <c r="AM19" s="1"/>
  <c r="AL19"/>
  <c r="AK19" s="1"/>
  <c r="AI19"/>
  <c r="AH19" s="1"/>
  <c r="AG19" s="1"/>
  <c r="AF19"/>
  <c r="AE19" s="1"/>
  <c r="AC19"/>
  <c r="AB19" s="1"/>
  <c r="AA19" s="1"/>
  <c r="Z19" s="1"/>
  <c r="Y19" s="1"/>
  <c r="X19" s="1"/>
  <c r="W19" s="1"/>
  <c r="V19" s="1"/>
  <c r="U19" s="1"/>
  <c r="T19" s="1"/>
  <c r="S19" s="1"/>
  <c r="R19"/>
  <c r="Q19" s="1"/>
  <c r="O19"/>
  <c r="N19" s="1"/>
  <c r="M19" s="1"/>
  <c r="L19" s="1"/>
  <c r="K19" s="1"/>
  <c r="J19" s="1"/>
  <c r="I19"/>
  <c r="H19" s="1"/>
  <c r="G19"/>
  <c r="F19"/>
  <c r="E19" s="1"/>
  <c r="D19"/>
  <c r="AQ18" s="1"/>
  <c r="AN18"/>
  <c r="AM18" s="1"/>
  <c r="AL18" s="1"/>
  <c r="AK18"/>
  <c r="AG18"/>
  <c r="AF18" s="1"/>
  <c r="AE18"/>
  <c r="G18"/>
  <c r="F18" s="1"/>
  <c r="E18"/>
  <c r="D18" s="1"/>
  <c r="C18" s="1"/>
  <c r="AQ17" s="1"/>
  <c r="AN17"/>
  <c r="AM17"/>
  <c r="AL17"/>
  <c r="AK17"/>
  <c r="AO17" s="1"/>
  <c r="AH17"/>
  <c r="AG17"/>
  <c r="AF17"/>
  <c r="AE17"/>
  <c r="AI17" s="1"/>
  <c r="AB17"/>
  <c r="AA17"/>
  <c r="Z17"/>
  <c r="Y17"/>
  <c r="X17"/>
  <c r="W17"/>
  <c r="V17"/>
  <c r="U17"/>
  <c r="T17"/>
  <c r="S17"/>
  <c r="R17"/>
  <c r="Q17"/>
  <c r="AC17" s="1"/>
  <c r="N17"/>
  <c r="M17"/>
  <c r="L17"/>
  <c r="K17"/>
  <c r="J17"/>
  <c r="I17"/>
  <c r="H17"/>
  <c r="G17"/>
  <c r="F17"/>
  <c r="E17"/>
  <c r="D17"/>
  <c r="C17"/>
  <c r="N14"/>
  <c r="M14"/>
  <c r="L14"/>
  <c r="K14"/>
  <c r="J14"/>
  <c r="I14"/>
  <c r="H14"/>
  <c r="G14"/>
  <c r="F14"/>
  <c r="E14"/>
  <c r="D14" s="1"/>
  <c r="C14"/>
  <c r="O14" l="1"/>
  <c r="O17"/>
  <c r="AO18"/>
  <c r="AQ2"/>
  <c r="AK2"/>
  <c r="AE2"/>
  <c r="C44" i="40"/>
  <c r="C21"/>
  <c r="E15" i="22"/>
  <c r="D15"/>
  <c r="C15" s="1"/>
  <c r="G13" s="1"/>
  <c r="F13"/>
  <c r="E13"/>
  <c r="D13"/>
  <c r="C13"/>
  <c r="G12" s="1"/>
  <c r="F12" s="1"/>
  <c r="E12" s="1"/>
  <c r="D12"/>
  <c r="G11" s="1"/>
  <c r="F11" s="1"/>
  <c r="E11" s="1"/>
  <c r="D11"/>
  <c r="G10" s="1"/>
  <c r="F10" s="1"/>
  <c r="E10" s="1"/>
  <c r="D10"/>
  <c r="G9" s="1"/>
  <c r="F9" s="1"/>
  <c r="E9" s="1"/>
  <c r="D9"/>
  <c r="G8" s="1"/>
  <c r="F8" s="1"/>
  <c r="E8" s="1"/>
  <c r="D8"/>
  <c r="G7"/>
  <c r="F7"/>
  <c r="E7" s="1"/>
  <c r="D7"/>
  <c r="G2"/>
  <c r="F2"/>
  <c r="E2"/>
  <c r="AO33" i="10"/>
  <c r="AN33"/>
  <c r="AM33"/>
  <c r="AL33"/>
  <c r="AK33"/>
  <c r="AI33"/>
  <c r="AH33"/>
  <c r="AG33"/>
  <c r="AF33"/>
  <c r="AE33"/>
  <c r="AC33" s="1"/>
  <c r="AB33"/>
  <c r="AA33"/>
  <c r="Z33"/>
  <c r="Y33"/>
  <c r="X33"/>
  <c r="W33"/>
  <c r="V33"/>
  <c r="U33"/>
  <c r="T33"/>
  <c r="S33"/>
  <c r="R33"/>
  <c r="Q33"/>
  <c r="O33" s="1"/>
  <c r="N33"/>
  <c r="M33"/>
  <c r="L33"/>
  <c r="K33"/>
  <c r="J33"/>
  <c r="I33"/>
  <c r="H33"/>
  <c r="G33"/>
  <c r="F33"/>
  <c r="E33"/>
  <c r="D33"/>
  <c r="C33"/>
  <c r="AQ32" s="1"/>
  <c r="AO32"/>
  <c r="AN32" s="1"/>
  <c r="AM32" s="1"/>
  <c r="AL32"/>
  <c r="AK32" s="1"/>
  <c r="AI32"/>
  <c r="AH32" s="1"/>
  <c r="AG32" s="1"/>
  <c r="AF32"/>
  <c r="AE32" s="1"/>
  <c r="AC32"/>
  <c r="AB32" s="1"/>
  <c r="AA32" s="1"/>
  <c r="Z32" s="1"/>
  <c r="Y32" s="1"/>
  <c r="X32" s="1"/>
  <c r="W32" s="1"/>
  <c r="V32" s="1"/>
  <c r="U32" s="1"/>
  <c r="T32" s="1"/>
  <c r="S32" s="1"/>
  <c r="R32"/>
  <c r="Q32" s="1"/>
  <c r="O32"/>
  <c r="N32" s="1"/>
  <c r="M32" s="1"/>
  <c r="L32" s="1"/>
  <c r="K32"/>
  <c r="J32"/>
  <c r="I32" s="1"/>
  <c r="H32"/>
  <c r="G32"/>
  <c r="F32" s="1"/>
  <c r="E32" s="1"/>
  <c r="D32"/>
  <c r="AQ31" s="1"/>
  <c r="AO31"/>
  <c r="AN31" s="1"/>
  <c r="AM31" s="1"/>
  <c r="AL31"/>
  <c r="AK31" s="1"/>
  <c r="AI31"/>
  <c r="AH31" s="1"/>
  <c r="AG31" s="1"/>
  <c r="AF31"/>
  <c r="AE31" s="1"/>
  <c r="AC31"/>
  <c r="AB31" s="1"/>
  <c r="AA31" s="1"/>
  <c r="Z31" s="1"/>
  <c r="Y31" s="1"/>
  <c r="X31" s="1"/>
  <c r="W31" s="1"/>
  <c r="V31"/>
  <c r="U31" s="1"/>
  <c r="T31" s="1"/>
  <c r="S31"/>
  <c r="R31" s="1"/>
  <c r="Q31" s="1"/>
  <c r="O31"/>
  <c r="N31" s="1"/>
  <c r="M31" s="1"/>
  <c r="L31" s="1"/>
  <c r="K31" s="1"/>
  <c r="J31" s="1"/>
  <c r="I31" s="1"/>
  <c r="H31" s="1"/>
  <c r="G31"/>
  <c r="F31" s="1"/>
  <c r="E31" s="1"/>
  <c r="D31"/>
  <c r="AQ30" s="1"/>
  <c r="AO30"/>
  <c r="AN30" s="1"/>
  <c r="AM30" s="1"/>
  <c r="AL30"/>
  <c r="AK30" s="1"/>
  <c r="AI30"/>
  <c r="AH30" s="1"/>
  <c r="AG30" s="1"/>
  <c r="AF30"/>
  <c r="AE30" s="1"/>
  <c r="AC30"/>
  <c r="AB30" s="1"/>
  <c r="AA30" s="1"/>
  <c r="Z30" s="1"/>
  <c r="Y30" s="1"/>
  <c r="X30" s="1"/>
  <c r="W30" s="1"/>
  <c r="V30"/>
  <c r="U30" s="1"/>
  <c r="T30" s="1"/>
  <c r="S30"/>
  <c r="R30" s="1"/>
  <c r="Q30" s="1"/>
  <c r="O30"/>
  <c r="N30" s="1"/>
  <c r="M30" s="1"/>
  <c r="L30" s="1"/>
  <c r="K30" s="1"/>
  <c r="J30" s="1"/>
  <c r="I30" s="1"/>
  <c r="H30"/>
  <c r="G30"/>
  <c r="F30" s="1"/>
  <c r="E30"/>
  <c r="D30"/>
  <c r="AQ28" s="1"/>
  <c r="AO28"/>
  <c r="AN28" s="1"/>
  <c r="AM28" s="1"/>
  <c r="AL28"/>
  <c r="AK28" s="1"/>
  <c r="AI28"/>
  <c r="AH28" s="1"/>
  <c r="AG28" s="1"/>
  <c r="AF28"/>
  <c r="AE28" s="1"/>
  <c r="AC28"/>
  <c r="AB28" s="1"/>
  <c r="AA28" s="1"/>
  <c r="Z28" s="1"/>
  <c r="Y28" s="1"/>
  <c r="X28" s="1"/>
  <c r="W28" s="1"/>
  <c r="V28"/>
  <c r="U28" s="1"/>
  <c r="T28" s="1"/>
  <c r="S28"/>
  <c r="R28" s="1"/>
  <c r="Q28" s="1"/>
  <c r="O28"/>
  <c r="N28" s="1"/>
  <c r="M28" s="1"/>
  <c r="L28" s="1"/>
  <c r="K28" s="1"/>
  <c r="J28" s="1"/>
  <c r="I28" s="1"/>
  <c r="H28" s="1"/>
  <c r="G28"/>
  <c r="F28" s="1"/>
  <c r="E28" s="1"/>
  <c r="D28"/>
  <c r="AQ27" s="1"/>
  <c r="AO27"/>
  <c r="AN27" s="1"/>
  <c r="AM27" s="1"/>
  <c r="AL27"/>
  <c r="AK27" s="1"/>
  <c r="AI27"/>
  <c r="AH27" s="1"/>
  <c r="AG27" s="1"/>
  <c r="AF27"/>
  <c r="AE27" s="1"/>
  <c r="AC27"/>
  <c r="AB27" s="1"/>
  <c r="AA27" s="1"/>
  <c r="Z27" s="1"/>
  <c r="Y27" s="1"/>
  <c r="X27" s="1"/>
  <c r="W27" s="1"/>
  <c r="V27"/>
  <c r="U27" s="1"/>
  <c r="T27" s="1"/>
  <c r="S27"/>
  <c r="R27" s="1"/>
  <c r="Q27" s="1"/>
  <c r="O27"/>
  <c r="N27" s="1"/>
  <c r="M27" s="1"/>
  <c r="L27" s="1"/>
  <c r="K27" s="1"/>
  <c r="J27" s="1"/>
  <c r="I27" s="1"/>
  <c r="H27"/>
  <c r="G27"/>
  <c r="F27" s="1"/>
  <c r="E27"/>
  <c r="D27"/>
  <c r="AQ26" s="1"/>
  <c r="AO26"/>
  <c r="AN26" s="1"/>
  <c r="AM26" s="1"/>
  <c r="AL26"/>
  <c r="AK26" s="1"/>
  <c r="AI26"/>
  <c r="AH26" s="1"/>
  <c r="AG26" s="1"/>
  <c r="AF26"/>
  <c r="AE26" s="1"/>
  <c r="AC26"/>
  <c r="AB26" s="1"/>
  <c r="AA26" s="1"/>
  <c r="Z26" s="1"/>
  <c r="Y26" s="1"/>
  <c r="X26" s="1"/>
  <c r="W26" s="1"/>
  <c r="V26"/>
  <c r="U26" s="1"/>
  <c r="T26" s="1"/>
  <c r="S26"/>
  <c r="R26" s="1"/>
  <c r="Q26" s="1"/>
  <c r="O26"/>
  <c r="N26" s="1"/>
  <c r="M26" s="1"/>
  <c r="L26" s="1"/>
  <c r="K26" s="1"/>
  <c r="J26" s="1"/>
  <c r="I26" s="1"/>
  <c r="H26" s="1"/>
  <c r="G26"/>
  <c r="F26" s="1"/>
  <c r="E26" s="1"/>
  <c r="D26"/>
  <c r="AQ25" s="1"/>
  <c r="AO25"/>
  <c r="AN25" s="1"/>
  <c r="AM25" s="1"/>
  <c r="AL25"/>
  <c r="AK25" s="1"/>
  <c r="AI25"/>
  <c r="AH25" s="1"/>
  <c r="AG25" s="1"/>
  <c r="AF25"/>
  <c r="AE25" s="1"/>
  <c r="AC25"/>
  <c r="AB25" s="1"/>
  <c r="AA25" s="1"/>
  <c r="Z25" s="1"/>
  <c r="Y25" s="1"/>
  <c r="X25" s="1"/>
  <c r="W25" s="1"/>
  <c r="V25"/>
  <c r="U25" s="1"/>
  <c r="T25" s="1"/>
  <c r="S25"/>
  <c r="R25" s="1"/>
  <c r="Q25" s="1"/>
  <c r="O25"/>
  <c r="N25" s="1"/>
  <c r="M25" s="1"/>
  <c r="L25" s="1"/>
  <c r="K25" s="1"/>
  <c r="J25" s="1"/>
  <c r="I25" s="1"/>
  <c r="H25"/>
  <c r="G25"/>
  <c r="F25" s="1"/>
  <c r="E25"/>
  <c r="D25"/>
  <c r="AQ23" s="1"/>
  <c r="AO23"/>
  <c r="AN23" s="1"/>
  <c r="AM23" s="1"/>
  <c r="AL23"/>
  <c r="AK23" s="1"/>
  <c r="AI23"/>
  <c r="AH23" s="1"/>
  <c r="AG23" s="1"/>
  <c r="AF23"/>
  <c r="AE23" s="1"/>
  <c r="AC23"/>
  <c r="AB23" s="1"/>
  <c r="AA23" s="1"/>
  <c r="Z23" s="1"/>
  <c r="Y23" s="1"/>
  <c r="X23" s="1"/>
  <c r="W23" s="1"/>
  <c r="V23"/>
  <c r="U23" s="1"/>
  <c r="T23" s="1"/>
  <c r="S23"/>
  <c r="R23" s="1"/>
  <c r="Q23" s="1"/>
  <c r="O23"/>
  <c r="N23" s="1"/>
  <c r="M23" s="1"/>
  <c r="L23" s="1"/>
  <c r="K23" s="1"/>
  <c r="J23" s="1"/>
  <c r="I23" s="1"/>
  <c r="H23" s="1"/>
  <c r="G23"/>
  <c r="F23" s="1"/>
  <c r="E23" s="1"/>
  <c r="D23"/>
  <c r="AQ22" s="1"/>
  <c r="AO22"/>
  <c r="AN22" s="1"/>
  <c r="AM22" s="1"/>
  <c r="AL22"/>
  <c r="AK22" s="1"/>
  <c r="AI22"/>
  <c r="AH22" s="1"/>
  <c r="AG22" s="1"/>
  <c r="AF22"/>
  <c r="AE22" s="1"/>
  <c r="AC22"/>
  <c r="AB22" s="1"/>
  <c r="AA22" s="1"/>
  <c r="Z22"/>
  <c r="Y22" s="1"/>
  <c r="X22" s="1"/>
  <c r="W22"/>
  <c r="V22" s="1"/>
  <c r="U22"/>
  <c r="T22" s="1"/>
  <c r="S22" s="1"/>
  <c r="R22" s="1"/>
  <c r="Q22" s="1"/>
  <c r="O22"/>
  <c r="N22" s="1"/>
  <c r="M22" s="1"/>
  <c r="L22" s="1"/>
  <c r="K22" s="1"/>
  <c r="J22" s="1"/>
  <c r="I22" s="1"/>
  <c r="H22"/>
  <c r="G22"/>
  <c r="F22" s="1"/>
  <c r="E22" s="1"/>
  <c r="D22"/>
  <c r="AQ20"/>
  <c r="AO20" s="1"/>
  <c r="AN20"/>
  <c r="AM20"/>
  <c r="AL20"/>
  <c r="AK20"/>
  <c r="AI20"/>
  <c r="AH20"/>
  <c r="AG20"/>
  <c r="AF20"/>
  <c r="AE20"/>
  <c r="AC20"/>
  <c r="AB20"/>
  <c r="AA20"/>
  <c r="Z20"/>
  <c r="Y20"/>
  <c r="X20"/>
  <c r="W20"/>
  <c r="V20"/>
  <c r="U20"/>
  <c r="T20"/>
  <c r="S20"/>
  <c r="R20"/>
  <c r="Q20"/>
  <c r="O20"/>
  <c r="N20"/>
  <c r="M20"/>
  <c r="L20"/>
  <c r="K20"/>
  <c r="J20" s="1"/>
  <c r="I20"/>
  <c r="H20" s="1"/>
  <c r="G20" s="1"/>
  <c r="F20" s="1"/>
  <c r="E20"/>
  <c r="D20"/>
  <c r="AQ19" s="1"/>
  <c r="AO19"/>
  <c r="AN19" s="1"/>
  <c r="AM19" s="1"/>
  <c r="AL19"/>
  <c r="AK19" s="1"/>
  <c r="AI19"/>
  <c r="AH19" s="1"/>
  <c r="AG19" s="1"/>
  <c r="AF19"/>
  <c r="AE19" s="1"/>
  <c r="AC19"/>
  <c r="AB19" s="1"/>
  <c r="AA19" s="1"/>
  <c r="Z19" s="1"/>
  <c r="Y19" s="1"/>
  <c r="X19" s="1"/>
  <c r="W19" s="1"/>
  <c r="V19" s="1"/>
  <c r="U19"/>
  <c r="T19" s="1"/>
  <c r="S19"/>
  <c r="R19"/>
  <c r="Q19" s="1"/>
  <c r="O19"/>
  <c r="N19" s="1"/>
  <c r="M19" s="1"/>
  <c r="L19" s="1"/>
  <c r="K19" s="1"/>
  <c r="J19" s="1"/>
  <c r="I19" s="1"/>
  <c r="H19" s="1"/>
  <c r="G19" s="1"/>
  <c r="F19" s="1"/>
  <c r="E19" s="1"/>
  <c r="D19"/>
  <c r="AQ18" s="1"/>
  <c r="AO18"/>
  <c r="AN18" s="1"/>
  <c r="AM18" s="1"/>
  <c r="AL18"/>
  <c r="AK18" s="1"/>
  <c r="AI18"/>
  <c r="AH18" s="1"/>
  <c r="AG18" s="1"/>
  <c r="AF18"/>
  <c r="AE18" s="1"/>
  <c r="AC18"/>
  <c r="AB18" s="1"/>
  <c r="AA18" s="1"/>
  <c r="Z18" s="1"/>
  <c r="Y18" s="1"/>
  <c r="X18" s="1"/>
  <c r="W18" s="1"/>
  <c r="V18" s="1"/>
  <c r="U18" s="1"/>
  <c r="T18" s="1"/>
  <c r="S18" s="1"/>
  <c r="R18"/>
  <c r="Q18" s="1"/>
  <c r="O18"/>
  <c r="N18" s="1"/>
  <c r="M18"/>
  <c r="L18" s="1"/>
  <c r="K18"/>
  <c r="J18"/>
  <c r="I18" s="1"/>
  <c r="H18" s="1"/>
  <c r="G18" s="1"/>
  <c r="F18" s="1"/>
  <c r="E18" s="1"/>
  <c r="D18"/>
  <c r="AQ17"/>
  <c r="AO17"/>
  <c r="AN17" s="1"/>
  <c r="AM17"/>
  <c r="AL17"/>
  <c r="AK17" s="1"/>
  <c r="AI17"/>
  <c r="AH17" s="1"/>
  <c r="AG17" s="1"/>
  <c r="AF17" s="1"/>
  <c r="AE17" s="1"/>
  <c r="AC17"/>
  <c r="AB17" s="1"/>
  <c r="AA17" s="1"/>
  <c r="Z17" s="1"/>
  <c r="Y17" s="1"/>
  <c r="X17" s="1"/>
  <c r="W17" s="1"/>
  <c r="V17" s="1"/>
  <c r="U17" s="1"/>
  <c r="T17" s="1"/>
  <c r="S17"/>
  <c r="R17"/>
  <c r="Q17" s="1"/>
  <c r="O17"/>
  <c r="N17" s="1"/>
  <c r="M17" s="1"/>
  <c r="L17" s="1"/>
  <c r="K17" s="1"/>
  <c r="J17" s="1"/>
  <c r="I17" s="1"/>
  <c r="H17" s="1"/>
  <c r="G17" s="1"/>
  <c r="F17" s="1"/>
  <c r="E17" s="1"/>
  <c r="D17"/>
  <c r="AQ16"/>
  <c r="AO16"/>
  <c r="AN16"/>
  <c r="AM16"/>
  <c r="AL16"/>
  <c r="AK16"/>
  <c r="AI16"/>
  <c r="AH16"/>
  <c r="AG16"/>
  <c r="AF16"/>
  <c r="AE16"/>
  <c r="AC16"/>
  <c r="AB16"/>
  <c r="AA16"/>
  <c r="Z16"/>
  <c r="Y16"/>
  <c r="X16"/>
  <c r="W16"/>
  <c r="V16"/>
  <c r="U16"/>
  <c r="T16"/>
  <c r="S16"/>
  <c r="R16"/>
  <c r="Q16"/>
  <c r="O16"/>
  <c r="N16"/>
  <c r="M16"/>
  <c r="L16" s="1"/>
  <c r="K16"/>
  <c r="J16"/>
  <c r="I16" s="1"/>
  <c r="H16" s="1"/>
  <c r="G16" s="1"/>
  <c r="F16" s="1"/>
  <c r="E16"/>
  <c r="D16"/>
  <c r="AQ15"/>
  <c r="AO15"/>
  <c r="AN15" s="1"/>
  <c r="AM15"/>
  <c r="AL15"/>
  <c r="AK15" s="1"/>
  <c r="AI15"/>
  <c r="AH15" s="1"/>
  <c r="AG15"/>
  <c r="AF15"/>
  <c r="AE15" s="1"/>
  <c r="AC15"/>
  <c r="AB15" s="1"/>
  <c r="AA15" s="1"/>
  <c r="Z15" s="1"/>
  <c r="Y15" s="1"/>
  <c r="X15" s="1"/>
  <c r="W15" s="1"/>
  <c r="V15" s="1"/>
  <c r="U15" s="1"/>
  <c r="T15" s="1"/>
  <c r="S15" s="1"/>
  <c r="R15" s="1"/>
  <c r="Q15" s="1"/>
  <c r="O15"/>
  <c r="N15" s="1"/>
  <c r="M15" s="1"/>
  <c r="L15" s="1"/>
  <c r="K15" s="1"/>
  <c r="J15" s="1"/>
  <c r="I15" s="1"/>
  <c r="H15" s="1"/>
  <c r="G15" s="1"/>
  <c r="F15" s="1"/>
  <c r="E15" s="1"/>
  <c r="D15"/>
  <c r="AQ14" s="1"/>
  <c r="AO14"/>
  <c r="AN14" s="1"/>
  <c r="AM14" s="1"/>
  <c r="AL14"/>
  <c r="AK14"/>
  <c r="AI14"/>
  <c r="AH14" s="1"/>
  <c r="AG14"/>
  <c r="AF14"/>
  <c r="AE14" s="1"/>
  <c r="AC14"/>
  <c r="AB14" s="1"/>
  <c r="AA14" s="1"/>
  <c r="Z14" s="1"/>
  <c r="Y14" s="1"/>
  <c r="X14" s="1"/>
  <c r="W14" s="1"/>
  <c r="V14" s="1"/>
  <c r="U14" s="1"/>
  <c r="T14" s="1"/>
  <c r="S14" s="1"/>
  <c r="R14" s="1"/>
  <c r="Q14" s="1"/>
  <c r="O14"/>
  <c r="N14" s="1"/>
  <c r="M14" s="1"/>
  <c r="L14" s="1"/>
  <c r="K14" s="1"/>
  <c r="J14" s="1"/>
  <c r="I14" s="1"/>
  <c r="H14" s="1"/>
  <c r="G14"/>
  <c r="F14" s="1"/>
  <c r="E14" s="1"/>
  <c r="D14"/>
  <c r="AQ12" s="1"/>
  <c r="AO12"/>
  <c r="AN12" s="1"/>
  <c r="AM12" s="1"/>
  <c r="AL12"/>
  <c r="AK12"/>
  <c r="AI12"/>
  <c r="AH12" s="1"/>
  <c r="AG12"/>
  <c r="AF12"/>
  <c r="AE12" s="1"/>
  <c r="AC12"/>
  <c r="AB12" s="1"/>
  <c r="AA12" s="1"/>
  <c r="Z12" s="1"/>
  <c r="Y12" s="1"/>
  <c r="X12" s="1"/>
  <c r="W12" s="1"/>
  <c r="V12" s="1"/>
  <c r="U12" s="1"/>
  <c r="T12" s="1"/>
  <c r="S12" s="1"/>
  <c r="R12" s="1"/>
  <c r="Q12" s="1"/>
  <c r="O12"/>
  <c r="N12" s="1"/>
  <c r="M12" s="1"/>
  <c r="L12" s="1"/>
  <c r="K12" s="1"/>
  <c r="J12" s="1"/>
  <c r="I12" s="1"/>
  <c r="H12"/>
  <c r="G12"/>
  <c r="F12" s="1"/>
  <c r="E12" s="1"/>
  <c r="D12"/>
  <c r="AQ11" s="1"/>
  <c r="AO11"/>
  <c r="AN11" s="1"/>
  <c r="AM11" s="1"/>
  <c r="AL11"/>
  <c r="AK11"/>
  <c r="AI11"/>
  <c r="AH11" s="1"/>
  <c r="AG11"/>
  <c r="AF11"/>
  <c r="AE11" s="1"/>
  <c r="AC11"/>
  <c r="AB11" s="1"/>
  <c r="AA11" s="1"/>
  <c r="Z11" s="1"/>
  <c r="Y11" s="1"/>
  <c r="X11" s="1"/>
  <c r="W11" s="1"/>
  <c r="V11" s="1"/>
  <c r="U11" s="1"/>
  <c r="T11" s="1"/>
  <c r="S11" s="1"/>
  <c r="R11" s="1"/>
  <c r="Q11" s="1"/>
  <c r="O11"/>
  <c r="N11" s="1"/>
  <c r="M11" s="1"/>
  <c r="L11" s="1"/>
  <c r="K11" s="1"/>
  <c r="J11" s="1"/>
  <c r="I11" s="1"/>
  <c r="H11" s="1"/>
  <c r="G11"/>
  <c r="F11"/>
  <c r="E11"/>
  <c r="D11"/>
  <c r="AQ10" s="1"/>
  <c r="AO10"/>
  <c r="AN10" s="1"/>
  <c r="AM10" s="1"/>
  <c r="AL10"/>
  <c r="AK10"/>
  <c r="AI10"/>
  <c r="AH10" s="1"/>
  <c r="AG10"/>
  <c r="AF10"/>
  <c r="AE10" s="1"/>
  <c r="AC10"/>
  <c r="AB10" s="1"/>
  <c r="AA10" s="1"/>
  <c r="Z10" s="1"/>
  <c r="Y10" s="1"/>
  <c r="X10" s="1"/>
  <c r="W10" s="1"/>
  <c r="V10" s="1"/>
  <c r="U10" s="1"/>
  <c r="T10" s="1"/>
  <c r="S10" s="1"/>
  <c r="R10" s="1"/>
  <c r="Q10" s="1"/>
  <c r="O10"/>
  <c r="N10" s="1"/>
  <c r="M10" s="1"/>
  <c r="L10" s="1"/>
  <c r="K10" s="1"/>
  <c r="J10" s="1"/>
  <c r="I10" s="1"/>
  <c r="H10"/>
  <c r="G10"/>
  <c r="F10" s="1"/>
  <c r="E10" s="1"/>
  <c r="D10"/>
  <c r="AQ9" s="1"/>
  <c r="AO9"/>
  <c r="AN9" s="1"/>
  <c r="AM9" s="1"/>
  <c r="AL9"/>
  <c r="AK9"/>
  <c r="AI9"/>
  <c r="AH9" s="1"/>
  <c r="AG9"/>
  <c r="AF9"/>
  <c r="AE9" s="1"/>
  <c r="AC9"/>
  <c r="AB9" s="1"/>
  <c r="AA9" s="1"/>
  <c r="Z9" s="1"/>
  <c r="Y9" s="1"/>
  <c r="X9" s="1"/>
  <c r="W9" s="1"/>
  <c r="V9" s="1"/>
  <c r="U9" s="1"/>
  <c r="T9" s="1"/>
  <c r="S9" s="1"/>
  <c r="R9" s="1"/>
  <c r="Q9" s="1"/>
  <c r="O9"/>
  <c r="N9" s="1"/>
  <c r="M9" s="1"/>
  <c r="L9" s="1"/>
  <c r="K9" s="1"/>
  <c r="J9" s="1"/>
  <c r="I9" s="1"/>
  <c r="H9" s="1"/>
  <c r="G9"/>
  <c r="F9" s="1"/>
  <c r="E9"/>
  <c r="D9"/>
  <c r="AQ8" s="1"/>
  <c r="AO8"/>
  <c r="AN8" s="1"/>
  <c r="AM8" s="1"/>
  <c r="AL8"/>
  <c r="AK8"/>
  <c r="AI8"/>
  <c r="AH8" s="1"/>
  <c r="AG8"/>
  <c r="AF8"/>
  <c r="AE8" s="1"/>
  <c r="AC8"/>
  <c r="AB8" s="1"/>
  <c r="AA8" s="1"/>
  <c r="Z8" s="1"/>
  <c r="Y8" s="1"/>
  <c r="X8" s="1"/>
  <c r="W8" s="1"/>
  <c r="V8" s="1"/>
  <c r="U8" s="1"/>
  <c r="T8" s="1"/>
  <c r="S8" s="1"/>
  <c r="R8" s="1"/>
  <c r="Q8" s="1"/>
  <c r="O8"/>
  <c r="N8" s="1"/>
  <c r="M8" s="1"/>
  <c r="L8" s="1"/>
  <c r="K8" s="1"/>
  <c r="J8" s="1"/>
  <c r="I8" s="1"/>
  <c r="H8"/>
  <c r="G8"/>
  <c r="F8" s="1"/>
  <c r="E8" s="1"/>
  <c r="D8"/>
  <c r="AQ7" s="1"/>
  <c r="AO7"/>
  <c r="AN7" s="1"/>
  <c r="AM7" s="1"/>
  <c r="AL7"/>
  <c r="AK7"/>
  <c r="AI7"/>
  <c r="AH7" s="1"/>
  <c r="AG7"/>
  <c r="AF7"/>
  <c r="AE7" s="1"/>
  <c r="AC7"/>
  <c r="AB7" s="1"/>
  <c r="AA7" s="1"/>
  <c r="Z7" s="1"/>
  <c r="Y7" s="1"/>
  <c r="X7" s="1"/>
  <c r="W7" s="1"/>
  <c r="V7" s="1"/>
  <c r="U7" s="1"/>
  <c r="T7" s="1"/>
  <c r="S7" s="1"/>
  <c r="R7" s="1"/>
  <c r="Q7" s="1"/>
  <c r="O7"/>
  <c r="N7" s="1"/>
  <c r="M7" s="1"/>
  <c r="L7" s="1"/>
  <c r="K7" s="1"/>
  <c r="J7" s="1"/>
  <c r="I7" s="1"/>
  <c r="H7" s="1"/>
  <c r="G7"/>
  <c r="F7" s="1"/>
  <c r="E7" s="1"/>
  <c r="D7"/>
  <c r="AQ6" s="1"/>
  <c r="AO6"/>
  <c r="AN6" s="1"/>
  <c r="AM6" s="1"/>
  <c r="AL6"/>
  <c r="AK6"/>
  <c r="AI6"/>
  <c r="AH6" s="1"/>
  <c r="AG6"/>
  <c r="AF6"/>
  <c r="AE6" s="1"/>
  <c r="AC6"/>
  <c r="AB6" s="1"/>
  <c r="AA6" s="1"/>
  <c r="Z6" s="1"/>
  <c r="Y6" s="1"/>
  <c r="X6" s="1"/>
  <c r="W6" s="1"/>
  <c r="V6" s="1"/>
  <c r="U6" s="1"/>
  <c r="T6" s="1"/>
  <c r="S6" s="1"/>
  <c r="R6" s="1"/>
  <c r="Q6" s="1"/>
  <c r="O6"/>
  <c r="N6" s="1"/>
  <c r="M6" s="1"/>
  <c r="L6" s="1"/>
  <c r="K6" s="1"/>
  <c r="J6" s="1"/>
  <c r="I6" s="1"/>
  <c r="H6"/>
  <c r="G6"/>
  <c r="F6" s="1"/>
  <c r="E6"/>
  <c r="D6"/>
  <c r="AQ5"/>
  <c r="AO5"/>
  <c r="AN5"/>
  <c r="AM5"/>
  <c r="AL5"/>
  <c r="AK5"/>
  <c r="AI5"/>
  <c r="AH5"/>
  <c r="AG5"/>
  <c r="AF5"/>
  <c r="AE5"/>
  <c r="AC5"/>
  <c r="AB5"/>
  <c r="AA5"/>
  <c r="Z5"/>
  <c r="Y5"/>
  <c r="X5"/>
  <c r="W5"/>
  <c r="V5"/>
  <c r="U5"/>
  <c r="T5"/>
  <c r="S5"/>
  <c r="R5" s="1"/>
  <c r="Q5"/>
  <c r="O5"/>
  <c r="N5"/>
  <c r="M5"/>
  <c r="L5"/>
  <c r="K5"/>
  <c r="J5"/>
  <c r="I5"/>
  <c r="H5"/>
  <c r="G5"/>
  <c r="F5" s="1"/>
  <c r="E5" s="1"/>
  <c r="D5"/>
  <c r="AQ2"/>
  <c r="AK2"/>
  <c r="AE2"/>
  <c r="O42" i="1"/>
  <c r="N42"/>
  <c r="M42"/>
  <c r="L42"/>
  <c r="K42"/>
  <c r="J42"/>
  <c r="I42"/>
  <c r="H42"/>
  <c r="G42"/>
  <c r="F42"/>
  <c r="E42"/>
  <c r="D42"/>
  <c r="C42"/>
  <c r="AQ41"/>
  <c r="AN41"/>
  <c r="AM41"/>
  <c r="AL41"/>
  <c r="AK41"/>
  <c r="AH41"/>
  <c r="AG41"/>
  <c r="AF41"/>
  <c r="AE41"/>
  <c r="AB41"/>
  <c r="AA41"/>
  <c r="Z41"/>
  <c r="Y41"/>
  <c r="X41"/>
  <c r="W41"/>
  <c r="V41"/>
  <c r="U41"/>
  <c r="T41"/>
  <c r="S41"/>
  <c r="R41"/>
  <c r="Q41"/>
  <c r="N41"/>
  <c r="M41"/>
  <c r="L41"/>
  <c r="K41"/>
  <c r="J41" s="1"/>
  <c r="I41"/>
  <c r="H41"/>
  <c r="G41"/>
  <c r="F41"/>
  <c r="E41"/>
  <c r="D41"/>
  <c r="C41"/>
  <c r="N37"/>
  <c r="M37"/>
  <c r="L37"/>
  <c r="K37"/>
  <c r="J37"/>
  <c r="I37"/>
  <c r="H37"/>
  <c r="G37"/>
  <c r="F37"/>
  <c r="E37"/>
  <c r="D37"/>
  <c r="C37"/>
  <c r="AQ36"/>
  <c r="AN36"/>
  <c r="AM36"/>
  <c r="AL36"/>
  <c r="AK36"/>
  <c r="AH36"/>
  <c r="AG36"/>
  <c r="AF36"/>
  <c r="AE36"/>
  <c r="AB36"/>
  <c r="AA36"/>
  <c r="Z36"/>
  <c r="Y36"/>
  <c r="X36"/>
  <c r="W36"/>
  <c r="V36"/>
  <c r="U36"/>
  <c r="T36"/>
  <c r="S36"/>
  <c r="R36"/>
  <c r="Q36"/>
  <c r="N36"/>
  <c r="N38" s="1"/>
  <c r="M36"/>
  <c r="L36"/>
  <c r="L38" s="1"/>
  <c r="K36"/>
  <c r="K38" s="1"/>
  <c r="J36"/>
  <c r="I36"/>
  <c r="I38" s="1"/>
  <c r="H36"/>
  <c r="G36"/>
  <c r="G38" s="1"/>
  <c r="F36"/>
  <c r="E36"/>
  <c r="E38" s="1"/>
  <c r="D36"/>
  <c r="C36"/>
  <c r="Q35"/>
  <c r="Q37" s="1"/>
  <c r="O35"/>
  <c r="N35"/>
  <c r="M35"/>
  <c r="L35"/>
  <c r="K35" s="1"/>
  <c r="J35"/>
  <c r="I35"/>
  <c r="H35"/>
  <c r="G35"/>
  <c r="F35"/>
  <c r="E35" s="1"/>
  <c r="D35"/>
  <c r="AQ34"/>
  <c r="AN34"/>
  <c r="AM34"/>
  <c r="AL34"/>
  <c r="AK34"/>
  <c r="AH34"/>
  <c r="AG34"/>
  <c r="AF34"/>
  <c r="AE34"/>
  <c r="AB34"/>
  <c r="AA34"/>
  <c r="Z34"/>
  <c r="Y34"/>
  <c r="X34"/>
  <c r="W34"/>
  <c r="V34"/>
  <c r="U34"/>
  <c r="T34"/>
  <c r="S34"/>
  <c r="R34"/>
  <c r="Q34"/>
  <c r="N34"/>
  <c r="M34"/>
  <c r="L34" s="1"/>
  <c r="K34"/>
  <c r="J34"/>
  <c r="I34"/>
  <c r="H34"/>
  <c r="G34"/>
  <c r="F34"/>
  <c r="E34" s="1"/>
  <c r="D34"/>
  <c r="N30"/>
  <c r="M30"/>
  <c r="L30"/>
  <c r="K30"/>
  <c r="J30"/>
  <c r="I30"/>
  <c r="H30"/>
  <c r="G30"/>
  <c r="F30"/>
  <c r="E30"/>
  <c r="D30"/>
  <c r="C30"/>
  <c r="AQ29"/>
  <c r="AN29"/>
  <c r="AM29"/>
  <c r="AL29"/>
  <c r="AK29"/>
  <c r="AH29"/>
  <c r="AG29"/>
  <c r="AF29"/>
  <c r="AE29"/>
  <c r="AB29"/>
  <c r="AA29"/>
  <c r="Z29"/>
  <c r="Y29"/>
  <c r="X29"/>
  <c r="W29"/>
  <c r="V29"/>
  <c r="U29"/>
  <c r="T29"/>
  <c r="S29"/>
  <c r="R29"/>
  <c r="Q29"/>
  <c r="N29"/>
  <c r="N31" s="1"/>
  <c r="M29"/>
  <c r="M31" s="1"/>
  <c r="L29"/>
  <c r="L31" s="1"/>
  <c r="K29"/>
  <c r="K31" s="1"/>
  <c r="J29"/>
  <c r="I29"/>
  <c r="H29"/>
  <c r="G29"/>
  <c r="F29"/>
  <c r="E29"/>
  <c r="E31" s="1"/>
  <c r="D29"/>
  <c r="D31" s="1"/>
  <c r="C29"/>
  <c r="C31" s="1"/>
  <c r="Q28"/>
  <c r="R28" s="1"/>
  <c r="S28" s="1"/>
  <c r="O28"/>
  <c r="N28"/>
  <c r="M28" s="1"/>
  <c r="L28"/>
  <c r="K28"/>
  <c r="J28"/>
  <c r="I28"/>
  <c r="H28"/>
  <c r="G28"/>
  <c r="F28"/>
  <c r="E28"/>
  <c r="D28"/>
  <c r="AQ27"/>
  <c r="AN27"/>
  <c r="AM27"/>
  <c r="AL27"/>
  <c r="AK27"/>
  <c r="AH27"/>
  <c r="AG27"/>
  <c r="AF27"/>
  <c r="AE27"/>
  <c r="AB27"/>
  <c r="AA27"/>
  <c r="Z27"/>
  <c r="Y27"/>
  <c r="X27"/>
  <c r="W27"/>
  <c r="V27"/>
  <c r="U27"/>
  <c r="T27"/>
  <c r="S27"/>
  <c r="R27"/>
  <c r="Q27"/>
  <c r="N27"/>
  <c r="M27"/>
  <c r="L27"/>
  <c r="K27" s="1"/>
  <c r="J27"/>
  <c r="I27"/>
  <c r="H27"/>
  <c r="G27"/>
  <c r="F27"/>
  <c r="E27"/>
  <c r="D27"/>
  <c r="N23"/>
  <c r="M23"/>
  <c r="L23"/>
  <c r="K23"/>
  <c r="J23"/>
  <c r="I23"/>
  <c r="H23"/>
  <c r="G23"/>
  <c r="F23"/>
  <c r="E23"/>
  <c r="D23"/>
  <c r="C23"/>
  <c r="AQ22"/>
  <c r="AN22"/>
  <c r="AM22"/>
  <c r="AL22"/>
  <c r="AK22"/>
  <c r="AH22"/>
  <c r="AG22"/>
  <c r="AF22"/>
  <c r="AE22"/>
  <c r="AB22"/>
  <c r="AA22"/>
  <c r="Z22"/>
  <c r="Y22"/>
  <c r="X22"/>
  <c r="W22"/>
  <c r="V22"/>
  <c r="U22"/>
  <c r="T22"/>
  <c r="S22"/>
  <c r="R22"/>
  <c r="Q22"/>
  <c r="N22"/>
  <c r="N24" s="1"/>
  <c r="M22"/>
  <c r="L22"/>
  <c r="K22" s="1"/>
  <c r="J22" s="1"/>
  <c r="J24" s="1"/>
  <c r="I22"/>
  <c r="H22"/>
  <c r="G22"/>
  <c r="G24" s="1"/>
  <c r="F22"/>
  <c r="E22"/>
  <c r="E24" s="1"/>
  <c r="D22"/>
  <c r="D24" s="1"/>
  <c r="C22"/>
  <c r="C24" s="1"/>
  <c r="Q21"/>
  <c r="Q23" s="1"/>
  <c r="O21"/>
  <c r="N21"/>
  <c r="M21"/>
  <c r="L21"/>
  <c r="K21" s="1"/>
  <c r="J21"/>
  <c r="I21"/>
  <c r="H21"/>
  <c r="G21"/>
  <c r="F21"/>
  <c r="E21" s="1"/>
  <c r="D21"/>
  <c r="AQ20"/>
  <c r="AN20"/>
  <c r="AM20"/>
  <c r="AL20"/>
  <c r="AK20"/>
  <c r="AH20"/>
  <c r="AG20"/>
  <c r="AF20"/>
  <c r="AE20"/>
  <c r="AB20"/>
  <c r="AA20"/>
  <c r="Z20"/>
  <c r="Y20"/>
  <c r="X20"/>
  <c r="W20"/>
  <c r="V20"/>
  <c r="U20"/>
  <c r="T20"/>
  <c r="S20"/>
  <c r="R20"/>
  <c r="Q20"/>
  <c r="N20"/>
  <c r="M20" s="1"/>
  <c r="L20"/>
  <c r="K20"/>
  <c r="J20"/>
  <c r="I20"/>
  <c r="H20"/>
  <c r="G20" s="1"/>
  <c r="F20"/>
  <c r="E20"/>
  <c r="D20"/>
  <c r="N16"/>
  <c r="M16"/>
  <c r="L16"/>
  <c r="K16" s="1"/>
  <c r="J16"/>
  <c r="I16"/>
  <c r="H16"/>
  <c r="G16"/>
  <c r="F16"/>
  <c r="E16"/>
  <c r="D16"/>
  <c r="C16"/>
  <c r="AQ15"/>
  <c r="AN15"/>
  <c r="AM15"/>
  <c r="AL15"/>
  <c r="AK15"/>
  <c r="AH15"/>
  <c r="AG15"/>
  <c r="AF15"/>
  <c r="AE15"/>
  <c r="AB15"/>
  <c r="AA15"/>
  <c r="Z15"/>
  <c r="Y15"/>
  <c r="X15"/>
  <c r="W15"/>
  <c r="V15"/>
  <c r="U15"/>
  <c r="T15"/>
  <c r="S15"/>
  <c r="R15"/>
  <c r="Q15"/>
  <c r="N15"/>
  <c r="N17" s="1"/>
  <c r="M15"/>
  <c r="M17" s="1"/>
  <c r="L15"/>
  <c r="L17" s="1"/>
  <c r="K15"/>
  <c r="J15"/>
  <c r="J17" s="1"/>
  <c r="I15"/>
  <c r="I17" s="1"/>
  <c r="H15"/>
  <c r="G15"/>
  <c r="G17" s="1"/>
  <c r="F15"/>
  <c r="E15"/>
  <c r="E17" s="1"/>
  <c r="D15"/>
  <c r="D17" s="1"/>
  <c r="C15"/>
  <c r="C17" s="1"/>
  <c r="Q14"/>
  <c r="O14" s="1"/>
  <c r="N14"/>
  <c r="M14" s="1"/>
  <c r="L14"/>
  <c r="K14"/>
  <c r="J14"/>
  <c r="I14"/>
  <c r="H14"/>
  <c r="G14"/>
  <c r="F14"/>
  <c r="E14"/>
  <c r="D14"/>
  <c r="AQ13"/>
  <c r="AN13"/>
  <c r="AM13"/>
  <c r="AL13"/>
  <c r="AK13"/>
  <c r="AH13"/>
  <c r="AG13"/>
  <c r="AF13"/>
  <c r="AE13"/>
  <c r="AB13"/>
  <c r="AA13"/>
  <c r="Z13"/>
  <c r="Y13"/>
  <c r="X13"/>
  <c r="W13"/>
  <c r="V13"/>
  <c r="U13"/>
  <c r="T13"/>
  <c r="S13"/>
  <c r="R13"/>
  <c r="Q13"/>
  <c r="N13"/>
  <c r="M13"/>
  <c r="L13"/>
  <c r="K13" s="1"/>
  <c r="J13"/>
  <c r="I13"/>
  <c r="H13"/>
  <c r="G13"/>
  <c r="F13"/>
  <c r="E13"/>
  <c r="D13"/>
  <c r="N9"/>
  <c r="M9"/>
  <c r="L9"/>
  <c r="K9"/>
  <c r="J9"/>
  <c r="I9"/>
  <c r="H9"/>
  <c r="G9"/>
  <c r="F9"/>
  <c r="E9"/>
  <c r="D9"/>
  <c r="C9"/>
  <c r="AQ8"/>
  <c r="AN8"/>
  <c r="AM8"/>
  <c r="AL8"/>
  <c r="AK8"/>
  <c r="AH8"/>
  <c r="AG8"/>
  <c r="AF8"/>
  <c r="AE8"/>
  <c r="AB8"/>
  <c r="AA8"/>
  <c r="Z8"/>
  <c r="Y8"/>
  <c r="X8"/>
  <c r="W8"/>
  <c r="V8"/>
  <c r="U8"/>
  <c r="T8"/>
  <c r="S8"/>
  <c r="R8"/>
  <c r="Q8"/>
  <c r="N8"/>
  <c r="N10" s="1"/>
  <c r="M8"/>
  <c r="M10" s="1"/>
  <c r="L8"/>
  <c r="K8"/>
  <c r="K10" s="1"/>
  <c r="J8"/>
  <c r="J10" s="1"/>
  <c r="I8"/>
  <c r="I10" s="1"/>
  <c r="H8"/>
  <c r="H10" s="1"/>
  <c r="G8"/>
  <c r="G10" s="1"/>
  <c r="F8"/>
  <c r="F10" s="1"/>
  <c r="E8"/>
  <c r="E10" s="1"/>
  <c r="D8"/>
  <c r="C8"/>
  <c r="C10" s="1"/>
  <c r="Q7"/>
  <c r="Q9" s="1"/>
  <c r="O9" s="1"/>
  <c r="O7"/>
  <c r="N7"/>
  <c r="M7" s="1"/>
  <c r="L7"/>
  <c r="K7"/>
  <c r="J7"/>
  <c r="I7"/>
  <c r="H7"/>
  <c r="G7"/>
  <c r="F7"/>
  <c r="E7"/>
  <c r="D7"/>
  <c r="AQ6"/>
  <c r="AN6"/>
  <c r="AM6"/>
  <c r="AL6"/>
  <c r="AK6"/>
  <c r="AH6"/>
  <c r="AG6"/>
  <c r="AF6"/>
  <c r="AE6"/>
  <c r="AB6"/>
  <c r="AA6"/>
  <c r="Z6"/>
  <c r="Y6"/>
  <c r="X6"/>
  <c r="W6"/>
  <c r="V6"/>
  <c r="U6"/>
  <c r="T6"/>
  <c r="S6"/>
  <c r="R6"/>
  <c r="Q6"/>
  <c r="N6"/>
  <c r="M6"/>
  <c r="L6"/>
  <c r="K6"/>
  <c r="J6" s="1"/>
  <c r="I6"/>
  <c r="H6"/>
  <c r="G6"/>
  <c r="F6"/>
  <c r="E6"/>
  <c r="D6"/>
  <c r="AQ2"/>
  <c r="AK2"/>
  <c r="AE2"/>
  <c r="J31" l="1"/>
  <c r="D38"/>
  <c r="J38"/>
  <c r="AI36"/>
  <c r="AO36"/>
  <c r="R7"/>
  <c r="F17"/>
  <c r="H17"/>
  <c r="I24"/>
  <c r="M24"/>
  <c r="O23"/>
  <c r="D10"/>
  <c r="L10"/>
  <c r="AO8"/>
  <c r="K17"/>
  <c r="F24"/>
  <c r="O30"/>
  <c r="D43"/>
  <c r="D15" i="6" s="1"/>
  <c r="F43" i="1"/>
  <c r="F15" i="6" s="1"/>
  <c r="H43" i="1"/>
  <c r="J43"/>
  <c r="V43"/>
  <c r="V15" i="6" s="1"/>
  <c r="AB43" i="1"/>
  <c r="AB15" i="6" s="1"/>
  <c r="C44" i="1"/>
  <c r="C16" i="6" s="1"/>
  <c r="E44" i="1"/>
  <c r="E16" i="6" s="1"/>
  <c r="G44" i="1"/>
  <c r="I44"/>
  <c r="K44"/>
  <c r="J44" s="1"/>
  <c r="M44"/>
  <c r="H24"/>
  <c r="I31"/>
  <c r="H31" s="1"/>
  <c r="G31" s="1"/>
  <c r="F31" s="1"/>
  <c r="C43"/>
  <c r="C15" i="6" s="1"/>
  <c r="M43" i="1"/>
  <c r="M15" i="6" s="1"/>
  <c r="AG43" i="1"/>
  <c r="AG15" i="6" s="1"/>
  <c r="AM43" i="1"/>
  <c r="AM15" i="6" s="1"/>
  <c r="D44" i="1"/>
  <c r="D16" i="6" s="1"/>
  <c r="F44" i="1"/>
  <c r="F16" i="6" s="1"/>
  <c r="H44" i="1"/>
  <c r="L44"/>
  <c r="N44"/>
  <c r="G15" i="22"/>
  <c r="F15" s="1"/>
  <c r="C46" i="40"/>
  <c r="S30" i="1"/>
  <c r="T28"/>
  <c r="I43"/>
  <c r="U43"/>
  <c r="AA43"/>
  <c r="Z43" s="1"/>
  <c r="Y43" s="1"/>
  <c r="X43" s="1"/>
  <c r="W43" s="1"/>
  <c r="AQ43"/>
  <c r="L43"/>
  <c r="AF43"/>
  <c r="AL43"/>
  <c r="AK43" s="1"/>
  <c r="S7"/>
  <c r="O8"/>
  <c r="AC8"/>
  <c r="AI8"/>
  <c r="R9"/>
  <c r="R14"/>
  <c r="R21"/>
  <c r="O22"/>
  <c r="O24" s="1"/>
  <c r="O29"/>
  <c r="O31" s="1"/>
  <c r="AC29"/>
  <c r="AI29"/>
  <c r="AO29"/>
  <c r="R30"/>
  <c r="R35"/>
  <c r="O36"/>
  <c r="AC36"/>
  <c r="O37"/>
  <c r="C38"/>
  <c r="F38"/>
  <c r="H38"/>
  <c r="M38"/>
  <c r="Q38"/>
  <c r="Q42"/>
  <c r="E43"/>
  <c r="E15" i="6" s="1"/>
  <c r="G43" i="1"/>
  <c r="N43"/>
  <c r="N45" s="1"/>
  <c r="Q43"/>
  <c r="AE43"/>
  <c r="R10"/>
  <c r="Q10" s="1"/>
  <c r="O15"/>
  <c r="AC15"/>
  <c r="AI15"/>
  <c r="AO15"/>
  <c r="Q16"/>
  <c r="O16" s="1"/>
  <c r="AC22"/>
  <c r="AI22"/>
  <c r="AO22"/>
  <c r="L24"/>
  <c r="K24" s="1"/>
  <c r="Q30"/>
  <c r="Q31" s="1"/>
  <c r="C45" l="1"/>
  <c r="O44"/>
  <c r="O10"/>
  <c r="AA15" i="6"/>
  <c r="Z15" s="1"/>
  <c r="Y15" s="1"/>
  <c r="X15" s="1"/>
  <c r="W15" s="1"/>
  <c r="J45" i="1"/>
  <c r="M45"/>
  <c r="O38"/>
  <c r="AQ15" i="6"/>
  <c r="H45" i="1"/>
  <c r="Q15" i="6"/>
  <c r="G15"/>
  <c r="G45" i="1"/>
  <c r="F45" s="1"/>
  <c r="E45" s="1"/>
  <c r="D45" s="1"/>
  <c r="Q14" i="6"/>
  <c r="S21" i="1"/>
  <c r="R23"/>
  <c r="S14"/>
  <c r="R16"/>
  <c r="S9"/>
  <c r="S10" s="1"/>
  <c r="T7"/>
  <c r="L15" i="6"/>
  <c r="T43" i="1"/>
  <c r="S43" s="1"/>
  <c r="U15" i="6"/>
  <c r="I15"/>
  <c r="I45" i="1"/>
  <c r="O17"/>
  <c r="AL15" i="6"/>
  <c r="AF15"/>
  <c r="AE15"/>
  <c r="S35" i="1"/>
  <c r="R37"/>
  <c r="AK15" i="6"/>
  <c r="K43" i="1"/>
  <c r="L45"/>
  <c r="U28"/>
  <c r="T30"/>
  <c r="Q17"/>
  <c r="R42"/>
  <c r="T15" i="6" l="1"/>
  <c r="R14"/>
  <c r="U30" i="1"/>
  <c r="U31" s="1"/>
  <c r="T31" s="1"/>
  <c r="S31" s="1"/>
  <c r="R31" s="1"/>
  <c r="V28"/>
  <c r="K15" i="6"/>
  <c r="K45" i="1"/>
  <c r="S37"/>
  <c r="S38" s="1"/>
  <c r="T35"/>
  <c r="H15" i="6"/>
  <c r="R43" i="1"/>
  <c r="AC43" s="1"/>
  <c r="S15" i="6"/>
  <c r="S16" i="1"/>
  <c r="S17" s="1"/>
  <c r="R17" s="1"/>
  <c r="T14"/>
  <c r="S23"/>
  <c r="S24" s="1"/>
  <c r="R24" s="1"/>
  <c r="Q24" s="1"/>
  <c r="T21"/>
  <c r="O43"/>
  <c r="S42"/>
  <c r="R44"/>
  <c r="Q44" s="1"/>
  <c r="T9"/>
  <c r="T10" s="1"/>
  <c r="U7"/>
  <c r="R38"/>
  <c r="T42" l="1"/>
  <c r="R15" i="6"/>
  <c r="AC15" s="1"/>
  <c r="U9" i="1"/>
  <c r="V7"/>
  <c r="S14" i="6"/>
  <c r="T14"/>
  <c r="Q45" i="1"/>
  <c r="O45" s="1"/>
  <c r="U21"/>
  <c r="T23"/>
  <c r="T24" s="1"/>
  <c r="U14"/>
  <c r="T16"/>
  <c r="U35"/>
  <c r="T37"/>
  <c r="J15" i="6"/>
  <c r="W28" i="1"/>
  <c r="V30"/>
  <c r="S44"/>
  <c r="S45" s="1"/>
  <c r="R45"/>
  <c r="U37" l="1"/>
  <c r="U38" s="1"/>
  <c r="V35"/>
  <c r="T44"/>
  <c r="U16"/>
  <c r="U17" s="1"/>
  <c r="T17" s="1"/>
  <c r="V14"/>
  <c r="U23"/>
  <c r="V21"/>
  <c r="T38"/>
  <c r="U42"/>
  <c r="W30"/>
  <c r="X28"/>
  <c r="V9"/>
  <c r="V10" s="1"/>
  <c r="U10" s="1"/>
  <c r="W7"/>
  <c r="V42" l="1"/>
  <c r="V14" i="6" s="1"/>
  <c r="U14"/>
  <c r="W21" i="1"/>
  <c r="V23"/>
  <c r="W9"/>
  <c r="W10" s="1"/>
  <c r="X7"/>
  <c r="W14"/>
  <c r="V16"/>
  <c r="T45"/>
  <c r="W35"/>
  <c r="V37"/>
  <c r="U44"/>
  <c r="U45" s="1"/>
  <c r="Y28"/>
  <c r="X30"/>
  <c r="W37" l="1"/>
  <c r="X35"/>
  <c r="W16"/>
  <c r="X14"/>
  <c r="X9"/>
  <c r="Y7"/>
  <c r="W23"/>
  <c r="X21"/>
  <c r="Y30"/>
  <c r="Z28"/>
  <c r="W42"/>
  <c r="W44" l="1"/>
  <c r="V44" s="1"/>
  <c r="Y9"/>
  <c r="Z7"/>
  <c r="AA28"/>
  <c r="Z30"/>
  <c r="Z31" s="1"/>
  <c r="Y31" s="1"/>
  <c r="X31" s="1"/>
  <c r="W31" s="1"/>
  <c r="V31" s="1"/>
  <c r="Y35"/>
  <c r="X37"/>
  <c r="W14" i="6"/>
  <c r="W45" i="1"/>
  <c r="V45" s="1"/>
  <c r="Y21"/>
  <c r="X23"/>
  <c r="X24" s="1"/>
  <c r="W24" s="1"/>
  <c r="V24" s="1"/>
  <c r="U24" s="1"/>
  <c r="Y14"/>
  <c r="X16"/>
  <c r="X17" s="1"/>
  <c r="W17" s="1"/>
  <c r="V17" s="1"/>
  <c r="X42"/>
  <c r="Y23" l="1"/>
  <c r="Z21"/>
  <c r="X14" i="6"/>
  <c r="Y16" i="1"/>
  <c r="Y17" s="1"/>
  <c r="Z14"/>
  <c r="AA30"/>
  <c r="AA31" s="1"/>
  <c r="AB28"/>
  <c r="Z9"/>
  <c r="AA7"/>
  <c r="X44"/>
  <c r="X38"/>
  <c r="W38" s="1"/>
  <c r="V38" s="1"/>
  <c r="Y37"/>
  <c r="Y38" s="1"/>
  <c r="Z35"/>
  <c r="Y42"/>
  <c r="Y14" i="6" s="1"/>
  <c r="Z42" i="1" l="1"/>
  <c r="Y44"/>
  <c r="Y16" i="6" s="1"/>
  <c r="Z14"/>
  <c r="AA35" i="1"/>
  <c r="Z37"/>
  <c r="AA9"/>
  <c r="AB7"/>
  <c r="AC7" s="1"/>
  <c r="AA14"/>
  <c r="Z16"/>
  <c r="Z17" s="1"/>
  <c r="X16" i="6"/>
  <c r="W16" s="1"/>
  <c r="V16" s="1"/>
  <c r="U16" s="1"/>
  <c r="AB30" i="1"/>
  <c r="AB31" s="1"/>
  <c r="AE28"/>
  <c r="AC28"/>
  <c r="AA21"/>
  <c r="Z23"/>
  <c r="X45"/>
  <c r="AA42" l="1"/>
  <c r="AA14" i="6" s="1"/>
  <c r="T16"/>
  <c r="S16" s="1"/>
  <c r="AA23" i="1"/>
  <c r="AB21"/>
  <c r="AC21" s="1"/>
  <c r="AE30"/>
  <c r="AF28"/>
  <c r="AE31"/>
  <c r="AA16"/>
  <c r="AA17" s="1"/>
  <c r="AB14"/>
  <c r="AC14" s="1"/>
  <c r="AE7"/>
  <c r="AB9"/>
  <c r="AB10" s="1"/>
  <c r="AA10" s="1"/>
  <c r="Z10" s="1"/>
  <c r="Y10" s="1"/>
  <c r="X10" s="1"/>
  <c r="Z44"/>
  <c r="Z45" s="1"/>
  <c r="Y45" s="1"/>
  <c r="Z38"/>
  <c r="AA37"/>
  <c r="AB35"/>
  <c r="AC35" s="1"/>
  <c r="AA44" l="1"/>
  <c r="AA45" s="1"/>
  <c r="AB37"/>
  <c r="AB38" s="1"/>
  <c r="AA38" s="1"/>
  <c r="AE35"/>
  <c r="AB16"/>
  <c r="AB17" s="1"/>
  <c r="AE14"/>
  <c r="AF30"/>
  <c r="AG28"/>
  <c r="R16" i="6"/>
  <c r="Q16" s="1"/>
  <c r="AB42" i="1"/>
  <c r="AE9"/>
  <c r="AC9" s="1"/>
  <c r="AF7"/>
  <c r="AC30"/>
  <c r="AC31" s="1"/>
  <c r="AB23"/>
  <c r="AB24" s="1"/>
  <c r="AA24" s="1"/>
  <c r="Z24" s="1"/>
  <c r="Y24" s="1"/>
  <c r="AE21"/>
  <c r="AE10" l="1"/>
  <c r="AC10" s="1"/>
  <c r="AE42"/>
  <c r="AE14" i="6" s="1"/>
  <c r="AB14"/>
  <c r="AC42" i="1"/>
  <c r="AG7"/>
  <c r="AF9"/>
  <c r="AF10" s="1"/>
  <c r="AF35"/>
  <c r="AE37"/>
  <c r="AE38" s="1"/>
  <c r="AE23"/>
  <c r="AF21"/>
  <c r="AG30"/>
  <c r="AG31" s="1"/>
  <c r="AF31" s="1"/>
  <c r="AH28"/>
  <c r="AE16"/>
  <c r="AC16" s="1"/>
  <c r="AC17" s="1"/>
  <c r="AF14"/>
  <c r="AB44"/>
  <c r="AC37"/>
  <c r="AC38" s="1"/>
  <c r="AC23" l="1"/>
  <c r="AB16" i="6"/>
  <c r="AA16" s="1"/>
  <c r="AC44" i="1"/>
  <c r="AF16"/>
  <c r="AG14"/>
  <c r="AH30"/>
  <c r="AH31" s="1"/>
  <c r="AK28"/>
  <c r="AF23"/>
  <c r="AG21"/>
  <c r="AC14" i="6"/>
  <c r="AF42" i="1"/>
  <c r="AF37"/>
  <c r="AF44" s="1"/>
  <c r="AE44" s="1"/>
  <c r="AG35"/>
  <c r="AG9"/>
  <c r="AH7"/>
  <c r="AI7" s="1"/>
  <c r="AB45"/>
  <c r="AG42" l="1"/>
  <c r="AG14" i="6" s="1"/>
  <c r="AI30" i="1"/>
  <c r="AE16" i="6"/>
  <c r="AI28" i="1"/>
  <c r="AL28"/>
  <c r="AK30"/>
  <c r="AK31" s="1"/>
  <c r="AI31" s="1"/>
  <c r="AH35"/>
  <c r="AG37"/>
  <c r="AF14" i="6"/>
  <c r="AF45" i="1"/>
  <c r="AE45" s="1"/>
  <c r="AC45" s="1"/>
  <c r="AG23"/>
  <c r="AG24" s="1"/>
  <c r="AH21"/>
  <c r="AI21" s="1"/>
  <c r="AG16"/>
  <c r="AG17" s="1"/>
  <c r="AF17" s="1"/>
  <c r="AE17" s="1"/>
  <c r="AH14"/>
  <c r="AF38"/>
  <c r="AF24"/>
  <c r="AE24" s="1"/>
  <c r="AC24" s="1"/>
  <c r="AI35"/>
  <c r="AH9"/>
  <c r="AH10" s="1"/>
  <c r="AG10" s="1"/>
  <c r="AK7"/>
  <c r="Z16" i="6"/>
  <c r="AH42" i="1" l="1"/>
  <c r="AI42" s="1"/>
  <c r="AG44"/>
  <c r="AK9"/>
  <c r="AL7"/>
  <c r="AK10"/>
  <c r="AK14"/>
  <c r="AH16"/>
  <c r="AH17" s="1"/>
  <c r="AH37"/>
  <c r="AK35"/>
  <c r="AI37"/>
  <c r="AI14"/>
  <c r="AH14" i="6"/>
  <c r="AI14" s="1"/>
  <c r="AK21" i="1"/>
  <c r="AH23"/>
  <c r="AI23" s="1"/>
  <c r="AL30"/>
  <c r="AM28"/>
  <c r="AC16" i="6"/>
  <c r="AK42" i="1" l="1"/>
  <c r="AK14" i="6" s="1"/>
  <c r="AN28" i="1"/>
  <c r="AO28" s="1"/>
  <c r="AM30"/>
  <c r="AM31" s="1"/>
  <c r="AL31" s="1"/>
  <c r="AK23"/>
  <c r="AL21"/>
  <c r="AI9"/>
  <c r="AI10" s="1"/>
  <c r="AH44"/>
  <c r="AI44" s="1"/>
  <c r="AK37"/>
  <c r="AK38" s="1"/>
  <c r="AI38" s="1"/>
  <c r="AH38" s="1"/>
  <c r="AG38" s="1"/>
  <c r="AL35"/>
  <c r="AK16"/>
  <c r="AI16" s="1"/>
  <c r="AI17" s="1"/>
  <c r="AL14"/>
  <c r="AL42" s="1"/>
  <c r="AL9"/>
  <c r="AM7"/>
  <c r="AK17" l="1"/>
  <c r="AL14" i="6"/>
  <c r="AM9" i="1"/>
  <c r="AN7"/>
  <c r="AO7" s="1"/>
  <c r="AM14"/>
  <c r="AL16"/>
  <c r="AL17" s="1"/>
  <c r="AM35"/>
  <c r="AL37"/>
  <c r="AL38" s="1"/>
  <c r="AN30"/>
  <c r="AN31" s="1"/>
  <c r="AQ28"/>
  <c r="AL10"/>
  <c r="AK44"/>
  <c r="AL23"/>
  <c r="AM21"/>
  <c r="AM42" l="1"/>
  <c r="AM14" i="6" s="1"/>
  <c r="AM23" i="1"/>
  <c r="AN21"/>
  <c r="AK16" i="6"/>
  <c r="AK45" i="1"/>
  <c r="AM16"/>
  <c r="AM17" s="1"/>
  <c r="AN14"/>
  <c r="AQ7"/>
  <c r="AN9"/>
  <c r="AO9" s="1"/>
  <c r="AM10"/>
  <c r="AQ30"/>
  <c r="AO30" s="1"/>
  <c r="AM37"/>
  <c r="AM38" s="1"/>
  <c r="AN35"/>
  <c r="AQ9" l="1"/>
  <c r="AQ10" s="1"/>
  <c r="AN16"/>
  <c r="AN17" s="1"/>
  <c r="AQ14"/>
  <c r="AO14"/>
  <c r="AQ35"/>
  <c r="AN37"/>
  <c r="AM44"/>
  <c r="AQ31"/>
  <c r="AO31" s="1"/>
  <c r="AN42"/>
  <c r="AN23"/>
  <c r="AN24" s="1"/>
  <c r="AM24" s="1"/>
  <c r="AL24" s="1"/>
  <c r="AK24" s="1"/>
  <c r="AI24" s="1"/>
  <c r="AH24" s="1"/>
  <c r="AQ21"/>
  <c r="AO10" l="1"/>
  <c r="AN10" s="1"/>
  <c r="AL44"/>
  <c r="AM16" i="6"/>
  <c r="AM45" i="1"/>
  <c r="AO21"/>
  <c r="AQ23"/>
  <c r="AO23" s="1"/>
  <c r="AQ16"/>
  <c r="AO16" s="1"/>
  <c r="AN44"/>
  <c r="AN38"/>
  <c r="AN14" i="6"/>
  <c r="AO14" s="1"/>
  <c r="AO42" i="1"/>
  <c r="AO35"/>
  <c r="AQ37"/>
  <c r="AQ38" s="1"/>
  <c r="AQ17" l="1"/>
  <c r="AO17" s="1"/>
  <c r="AQ24"/>
  <c r="AQ45" s="1"/>
  <c r="AL16" i="6"/>
  <c r="AO37" i="1"/>
  <c r="AO38" s="1"/>
  <c r="AQ44"/>
  <c r="AQ16" i="6" s="1"/>
  <c r="AL45" i="1"/>
  <c r="AO44"/>
  <c r="AO24"/>
  <c r="C83" i="39"/>
  <c r="D82"/>
  <c r="D81"/>
  <c r="D80"/>
  <c r="D79"/>
  <c r="B77"/>
  <c r="C75"/>
  <c r="D74"/>
  <c r="D73"/>
  <c r="D72"/>
  <c r="D71"/>
  <c r="B69"/>
  <c r="C67"/>
  <c r="D66"/>
  <c r="D65"/>
  <c r="D64"/>
  <c r="D63"/>
  <c r="B61"/>
  <c r="C59"/>
  <c r="D58"/>
  <c r="D57"/>
  <c r="D56"/>
  <c r="D55"/>
  <c r="B53"/>
  <c r="C51"/>
  <c r="D50"/>
  <c r="D49"/>
  <c r="D48"/>
  <c r="E48" s="1"/>
  <c r="D47"/>
  <c r="E47" s="1"/>
  <c r="F47" s="1"/>
  <c r="B45"/>
  <c r="C43"/>
  <c r="D42"/>
  <c r="D41"/>
  <c r="D40"/>
  <c r="D39"/>
  <c r="B37"/>
  <c r="C35"/>
  <c r="D34"/>
  <c r="D33"/>
  <c r="D32"/>
  <c r="D31"/>
  <c r="B29"/>
  <c r="C27"/>
  <c r="D26"/>
  <c r="D25"/>
  <c r="D24"/>
  <c r="D23"/>
  <c r="B21"/>
  <c r="C19"/>
  <c r="D18"/>
  <c r="D17"/>
  <c r="D16"/>
  <c r="D15"/>
  <c r="B13"/>
  <c r="C11"/>
  <c r="D10"/>
  <c r="D9"/>
  <c r="D8"/>
  <c r="D7"/>
  <c r="B5"/>
  <c r="AQ2"/>
  <c r="AK2"/>
  <c r="AE2"/>
  <c r="E106" i="11"/>
  <c r="E98"/>
  <c r="F97"/>
  <c r="F96"/>
  <c r="E88"/>
  <c r="F87"/>
  <c r="F86"/>
  <c r="G86" s="1"/>
  <c r="AQ42" i="1" l="1"/>
  <c r="AQ14" i="6" s="1"/>
  <c r="D19" i="39"/>
  <c r="D27"/>
  <c r="D35"/>
  <c r="D59"/>
  <c r="D43"/>
  <c r="D75"/>
  <c r="E49"/>
  <c r="D11"/>
  <c r="E50"/>
  <c r="D51"/>
  <c r="D67"/>
  <c r="D83"/>
  <c r="F98" i="11"/>
  <c r="F100" s="1"/>
  <c r="E100"/>
  <c r="E90"/>
  <c r="E89"/>
  <c r="E92"/>
  <c r="E99"/>
  <c r="E102"/>
  <c r="H86"/>
  <c r="F88"/>
  <c r="G96"/>
  <c r="E78"/>
  <c r="E82" s="1"/>
  <c r="F77"/>
  <c r="F76"/>
  <c r="E68"/>
  <c r="E72" s="1"/>
  <c r="F67"/>
  <c r="F102" l="1"/>
  <c r="F78"/>
  <c r="F82" s="1"/>
  <c r="E51" i="39"/>
  <c r="E69" i="11"/>
  <c r="F99"/>
  <c r="F101" s="1"/>
  <c r="G76"/>
  <c r="H76" s="1"/>
  <c r="E80"/>
  <c r="E70"/>
  <c r="E101"/>
  <c r="E103" s="1"/>
  <c r="E91"/>
  <c r="E93" s="1"/>
  <c r="H96"/>
  <c r="F90"/>
  <c r="F89"/>
  <c r="F92"/>
  <c r="I86"/>
  <c r="F80"/>
  <c r="F66"/>
  <c r="G66" s="1"/>
  <c r="E58"/>
  <c r="E60" s="1"/>
  <c r="F57"/>
  <c r="G57" s="1"/>
  <c r="H57" s="1"/>
  <c r="I57" s="1"/>
  <c r="J57" s="1"/>
  <c r="K57" s="1"/>
  <c r="L57" s="1"/>
  <c r="F56"/>
  <c r="E48"/>
  <c r="E50" s="1"/>
  <c r="F47"/>
  <c r="G47" s="1"/>
  <c r="H47" s="1"/>
  <c r="I47" s="1"/>
  <c r="J47" s="1"/>
  <c r="K47" s="1"/>
  <c r="L47" s="1"/>
  <c r="M47" s="1"/>
  <c r="N47" s="1"/>
  <c r="O47" s="1"/>
  <c r="P47" s="1"/>
  <c r="S47" s="1"/>
  <c r="T47" s="1"/>
  <c r="U47" s="1"/>
  <c r="V47" s="1"/>
  <c r="W47" s="1"/>
  <c r="X47" s="1"/>
  <c r="Y47" s="1"/>
  <c r="Z47" s="1"/>
  <c r="AA47" s="1"/>
  <c r="AB47" s="1"/>
  <c r="AC47" s="1"/>
  <c r="AD47" s="1"/>
  <c r="AG47" s="1"/>
  <c r="AH47" s="1"/>
  <c r="AI47" s="1"/>
  <c r="AJ47" s="1"/>
  <c r="AM47" s="1"/>
  <c r="AN47" s="1"/>
  <c r="AO47" s="1"/>
  <c r="AP47" s="1"/>
  <c r="AS47" s="1"/>
  <c r="F46"/>
  <c r="G46" s="1"/>
  <c r="E38"/>
  <c r="E42" s="1"/>
  <c r="F37"/>
  <c r="F36"/>
  <c r="E28"/>
  <c r="E29" s="1"/>
  <c r="F27"/>
  <c r="F26"/>
  <c r="E18"/>
  <c r="E20" s="1"/>
  <c r="F17"/>
  <c r="F16"/>
  <c r="E8"/>
  <c r="E10" s="1"/>
  <c r="F7"/>
  <c r="F6"/>
  <c r="G6" s="1"/>
  <c r="F79" l="1"/>
  <c r="E79" s="1"/>
  <c r="F28"/>
  <c r="G48"/>
  <c r="G50" s="1"/>
  <c r="F8"/>
  <c r="F12" s="1"/>
  <c r="G26"/>
  <c r="E32"/>
  <c r="E40"/>
  <c r="F91"/>
  <c r="E52"/>
  <c r="E49"/>
  <c r="E22"/>
  <c r="E9"/>
  <c r="E12"/>
  <c r="F38"/>
  <c r="F40" s="1"/>
  <c r="E62"/>
  <c r="C46" i="39" s="1"/>
  <c r="F42" i="11"/>
  <c r="G52"/>
  <c r="G49"/>
  <c r="E81"/>
  <c r="F68"/>
  <c r="F29"/>
  <c r="F30"/>
  <c r="E30" s="1"/>
  <c r="E31" s="1"/>
  <c r="F32"/>
  <c r="D22" i="39" s="1"/>
  <c r="C22" s="1"/>
  <c r="G16" i="11"/>
  <c r="F18"/>
  <c r="H26"/>
  <c r="F48"/>
  <c r="E51"/>
  <c r="F58"/>
  <c r="F81"/>
  <c r="F83" s="1"/>
  <c r="D62" i="39"/>
  <c r="C62" s="1"/>
  <c r="F10" i="11" l="1"/>
  <c r="F9"/>
  <c r="F11" s="1"/>
  <c r="E11" s="1"/>
  <c r="E13" s="1"/>
  <c r="E111"/>
  <c r="E109"/>
  <c r="G51"/>
  <c r="F39"/>
  <c r="E39" s="1"/>
  <c r="F31"/>
  <c r="F33" s="1"/>
  <c r="E33" s="1"/>
  <c r="F62"/>
  <c r="F60"/>
  <c r="F59"/>
  <c r="E59" s="1"/>
  <c r="F52"/>
  <c r="F50"/>
  <c r="F49"/>
  <c r="F20"/>
  <c r="F19"/>
  <c r="E19" s="1"/>
  <c r="F22"/>
  <c r="H16"/>
  <c r="F72"/>
  <c r="F70"/>
  <c r="F69"/>
  <c r="E83"/>
  <c r="F41" l="1"/>
  <c r="F21"/>
  <c r="F51"/>
  <c r="F53" s="1"/>
  <c r="E53" s="1"/>
  <c r="F111"/>
  <c r="F71"/>
  <c r="E71" s="1"/>
  <c r="E73" s="1"/>
  <c r="E21"/>
  <c r="D46" i="39"/>
  <c r="E41" i="11"/>
  <c r="F43"/>
  <c r="I16"/>
  <c r="D38" i="39"/>
  <c r="C38" s="1"/>
  <c r="E61" i="11"/>
  <c r="F61"/>
  <c r="F110" l="1"/>
  <c r="E110"/>
  <c r="E43"/>
  <c r="E23"/>
  <c r="J16" l="1"/>
  <c r="G36"/>
  <c r="H36" s="1"/>
  <c r="I26"/>
  <c r="J26" s="1"/>
  <c r="I96"/>
  <c r="J96" s="1"/>
  <c r="K96" s="1"/>
  <c r="L96" s="1"/>
  <c r="M96" s="1"/>
  <c r="N96" s="1"/>
  <c r="O96" s="1"/>
  <c r="P96" s="1"/>
  <c r="S96" s="1"/>
  <c r="T96" s="1"/>
  <c r="U96" s="1"/>
  <c r="V96" s="1"/>
  <c r="W96" s="1"/>
  <c r="X96" s="1"/>
  <c r="Y96" s="1"/>
  <c r="Z96" s="1"/>
  <c r="AA96" s="1"/>
  <c r="AB96" s="1"/>
  <c r="AC96" s="1"/>
  <c r="AD96" s="1"/>
  <c r="J86"/>
  <c r="K86" s="1"/>
  <c r="L86" s="1"/>
  <c r="M86" s="1"/>
  <c r="N86" s="1"/>
  <c r="O86" s="1"/>
  <c r="P86" s="1"/>
  <c r="S86" s="1"/>
  <c r="T86" s="1"/>
  <c r="U86" s="1"/>
  <c r="V86" s="1"/>
  <c r="W86" s="1"/>
  <c r="X86" s="1"/>
  <c r="Y86" s="1"/>
  <c r="Z86" s="1"/>
  <c r="AA86" s="1"/>
  <c r="AB86" s="1"/>
  <c r="AC86" s="1"/>
  <c r="AD86" s="1"/>
  <c r="I76"/>
  <c r="J76" s="1"/>
  <c r="K76" s="1"/>
  <c r="H66"/>
  <c r="I66" s="1"/>
  <c r="J66" s="1"/>
  <c r="K66" s="1"/>
  <c r="L66" s="1"/>
  <c r="M66" s="1"/>
  <c r="N66" s="1"/>
  <c r="O66" s="1"/>
  <c r="P66" s="1"/>
  <c r="S66" s="1"/>
  <c r="T66" s="1"/>
  <c r="U66" s="1"/>
  <c r="V66" s="1"/>
  <c r="W66" s="1"/>
  <c r="X66" s="1"/>
  <c r="Y66" s="1"/>
  <c r="Z66" s="1"/>
  <c r="AA66" s="1"/>
  <c r="AB66" s="1"/>
  <c r="AC66" s="1"/>
  <c r="AD66" s="1"/>
  <c r="G56"/>
  <c r="H56" s="1"/>
  <c r="I56" s="1"/>
  <c r="J56" s="1"/>
  <c r="K56" s="1"/>
  <c r="L56" s="1"/>
  <c r="M56" s="1"/>
  <c r="N56" s="1"/>
  <c r="O56" s="1"/>
  <c r="P56" s="1"/>
  <c r="S56" s="1"/>
  <c r="T56" s="1"/>
  <c r="U56" s="1"/>
  <c r="V56" s="1"/>
  <c r="W56" s="1"/>
  <c r="X56" s="1"/>
  <c r="Y56" s="1"/>
  <c r="Z56" s="1"/>
  <c r="AA56" s="1"/>
  <c r="AB56" s="1"/>
  <c r="AC56" s="1"/>
  <c r="AD56" s="1"/>
  <c r="H46"/>
  <c r="I46" s="1"/>
  <c r="H6"/>
  <c r="I6" s="1"/>
  <c r="J6" s="1"/>
  <c r="K6" s="1"/>
  <c r="L6" s="1"/>
  <c r="M6" s="1"/>
  <c r="N6" s="1"/>
  <c r="O6" s="1"/>
  <c r="P6" s="1"/>
  <c r="S6" s="1"/>
  <c r="T6" s="1"/>
  <c r="U6" s="1"/>
  <c r="V6" s="1"/>
  <c r="G53"/>
  <c r="H48"/>
  <c r="F109"/>
  <c r="D8" i="6" s="1"/>
  <c r="AC79" i="18"/>
  <c r="BA79" s="1"/>
  <c r="AC81"/>
  <c r="AC104" s="1"/>
  <c r="AC83"/>
  <c r="BA83" s="1"/>
  <c r="AC86"/>
  <c r="AC109" s="1"/>
  <c r="AC87"/>
  <c r="BA179" s="1"/>
  <c r="AC88"/>
  <c r="AC111" s="1"/>
  <c r="AC90"/>
  <c r="BD90" s="1"/>
  <c r="AC91"/>
  <c r="AC114" s="1"/>
  <c r="AC94"/>
  <c r="BB94" s="1"/>
  <c r="AC95"/>
  <c r="AC118" s="1"/>
  <c r="AC96"/>
  <c r="BA188" s="1"/>
  <c r="AC5"/>
  <c r="AJ5" s="1"/>
  <c r="AC6"/>
  <c r="BB6" s="1"/>
  <c r="AC7"/>
  <c r="AH7" s="1"/>
  <c r="AC8"/>
  <c r="BB8" s="1"/>
  <c r="AC9"/>
  <c r="AE9" s="1"/>
  <c r="AC10"/>
  <c r="BB10" s="1"/>
  <c r="AC11"/>
  <c r="AM11" s="1"/>
  <c r="AC12"/>
  <c r="BB12" s="1"/>
  <c r="AC13"/>
  <c r="AC14"/>
  <c r="BE14" s="1"/>
  <c r="AC15"/>
  <c r="AV15" s="1"/>
  <c r="AC16"/>
  <c r="AP16" s="1"/>
  <c r="AC17"/>
  <c r="AF17" s="1"/>
  <c r="AC18"/>
  <c r="AQ18" s="1"/>
  <c r="AC19"/>
  <c r="AH19" s="1"/>
  <c r="AC20"/>
  <c r="BI20" s="1"/>
  <c r="AC21"/>
  <c r="AE21" s="1"/>
  <c r="AC22"/>
  <c r="BI22" s="1"/>
  <c r="AC23"/>
  <c r="AH23" s="1"/>
  <c r="AC24"/>
  <c r="BJ24" s="1"/>
  <c r="AC25"/>
  <c r="AG25" s="1"/>
  <c r="AC26"/>
  <c r="AV26" s="1"/>
  <c r="AC27"/>
  <c r="AF27" s="1"/>
  <c r="AC28"/>
  <c r="AR28" s="1"/>
  <c r="AC29"/>
  <c r="AL29" s="1"/>
  <c r="AC30"/>
  <c r="AV30" s="1"/>
  <c r="AC31"/>
  <c r="AF31" s="1"/>
  <c r="AC32"/>
  <c r="AV32" s="1"/>
  <c r="AC33"/>
  <c r="AI33" s="1"/>
  <c r="AC34"/>
  <c r="AV34" s="1"/>
  <c r="AC35"/>
  <c r="AG35" s="1"/>
  <c r="AC36"/>
  <c r="BK36" s="1"/>
  <c r="AC37"/>
  <c r="AG37" s="1"/>
  <c r="AC38"/>
  <c r="CD38" s="1"/>
  <c r="AC39"/>
  <c r="AI39" s="1"/>
  <c r="AC40"/>
  <c r="AW40" s="1"/>
  <c r="AC41"/>
  <c r="AJ41" s="1"/>
  <c r="AC42"/>
  <c r="CD42" s="1"/>
  <c r="AC43"/>
  <c r="AO43" s="1"/>
  <c r="AC44"/>
  <c r="BE44" s="1"/>
  <c r="AC45"/>
  <c r="AF45" s="1"/>
  <c r="AC46"/>
  <c r="BE46" s="1"/>
  <c r="AC47"/>
  <c r="AF47" s="1"/>
  <c r="AC48"/>
  <c r="BE48" s="1"/>
  <c r="AC50"/>
  <c r="AG50" s="1"/>
  <c r="AC51"/>
  <c r="BE51" s="1"/>
  <c r="AC52"/>
  <c r="AJ52" s="1"/>
  <c r="AC53"/>
  <c r="BE53" s="1"/>
  <c r="E108" i="11"/>
  <c r="C7" i="6" s="1"/>
  <c r="C8"/>
  <c r="AC63" i="18"/>
  <c r="AJ66" s="1"/>
  <c r="AC125"/>
  <c r="AU125" s="1"/>
  <c r="AC126"/>
  <c r="AD126" s="1"/>
  <c r="AC127"/>
  <c r="AU127" s="1"/>
  <c r="AC128"/>
  <c r="AD128" s="1"/>
  <c r="AC129"/>
  <c r="AU129" s="1"/>
  <c r="AC130"/>
  <c r="AD130" s="1"/>
  <c r="AC131"/>
  <c r="AU131" s="1"/>
  <c r="AC132"/>
  <c r="AD132" s="1"/>
  <c r="AC133"/>
  <c r="AU133" s="1"/>
  <c r="AC134"/>
  <c r="AD134" s="1"/>
  <c r="AC135"/>
  <c r="AU135" s="1"/>
  <c r="AC136"/>
  <c r="AD136" s="1"/>
  <c r="AC137"/>
  <c r="AP137" s="1"/>
  <c r="AC138"/>
  <c r="AD138" s="1"/>
  <c r="AC139"/>
  <c r="AP139" s="1"/>
  <c r="F107" i="11"/>
  <c r="D6" i="6" s="1"/>
  <c r="F108" i="11"/>
  <c r="D7" i="6" s="1"/>
  <c r="AE66" i="18"/>
  <c r="AF21"/>
  <c r="AF37"/>
  <c r="AF95"/>
  <c r="G16" i="6"/>
  <c r="H16"/>
  <c r="H18"/>
  <c r="AI29" i="18"/>
  <c r="AI180"/>
  <c r="AI187"/>
  <c r="AI86"/>
  <c r="AI95"/>
  <c r="I16" i="6"/>
  <c r="I18"/>
  <c r="AJ37" i="18"/>
  <c r="AJ39"/>
  <c r="AJ173"/>
  <c r="AJ187"/>
  <c r="AJ81"/>
  <c r="AJ91"/>
  <c r="AJ95"/>
  <c r="J16" i="6"/>
  <c r="J18"/>
  <c r="AK17" i="18"/>
  <c r="AK39"/>
  <c r="AK41"/>
  <c r="AK45"/>
  <c r="AK173"/>
  <c r="AK183"/>
  <c r="AK187"/>
  <c r="AK81"/>
  <c r="AK95"/>
  <c r="K16" i="6"/>
  <c r="K18"/>
  <c r="AL37" i="18"/>
  <c r="AL39"/>
  <c r="AL41"/>
  <c r="AL43"/>
  <c r="AL45"/>
  <c r="AL47"/>
  <c r="AL173"/>
  <c r="AL178"/>
  <c r="AL187"/>
  <c r="AL66"/>
  <c r="AL81"/>
  <c r="AL86"/>
  <c r="AL95"/>
  <c r="AL126"/>
  <c r="L16" i="6"/>
  <c r="L18"/>
  <c r="AM7" i="18"/>
  <c r="AM17"/>
  <c r="AM37"/>
  <c r="AM41"/>
  <c r="AM52"/>
  <c r="AM173"/>
  <c r="AM187"/>
  <c r="AM81"/>
  <c r="AM86"/>
  <c r="AM95"/>
  <c r="AM130"/>
  <c r="M16" i="6"/>
  <c r="M18"/>
  <c r="AN15" i="18"/>
  <c r="AN17"/>
  <c r="AN19"/>
  <c r="AN21"/>
  <c r="AN23"/>
  <c r="AN173"/>
  <c r="AN187"/>
  <c r="AN66"/>
  <c r="AN81"/>
  <c r="AN95"/>
  <c r="AN96"/>
  <c r="AN126"/>
  <c r="AN128"/>
  <c r="AN132"/>
  <c r="AN136"/>
  <c r="N15" i="6"/>
  <c r="N16"/>
  <c r="N18"/>
  <c r="AO17" i="18"/>
  <c r="AO21"/>
  <c r="AO23"/>
  <c r="AO25"/>
  <c r="AO37"/>
  <c r="AO39"/>
  <c r="AO41"/>
  <c r="AO47"/>
  <c r="AO173"/>
  <c r="AO178"/>
  <c r="AO187"/>
  <c r="AO66"/>
  <c r="AO81"/>
  <c r="AO86"/>
  <c r="AO91"/>
  <c r="AO95"/>
  <c r="AO126"/>
  <c r="AO136"/>
  <c r="AO138"/>
  <c r="Q18" i="6"/>
  <c r="AP23" i="18"/>
  <c r="AP25"/>
  <c r="AP33"/>
  <c r="AP35"/>
  <c r="AP37"/>
  <c r="AP39"/>
  <c r="AP41"/>
  <c r="AP173"/>
  <c r="AP187"/>
  <c r="AP81"/>
  <c r="AP86"/>
  <c r="AP95"/>
  <c r="AP126"/>
  <c r="AP130"/>
  <c r="AP132"/>
  <c r="AP134"/>
  <c r="AP138"/>
  <c r="R18" i="6"/>
  <c r="AQ17" i="18"/>
  <c r="AQ27"/>
  <c r="AQ29"/>
  <c r="AQ31"/>
  <c r="AQ33"/>
  <c r="AQ35"/>
  <c r="AQ37"/>
  <c r="AQ39"/>
  <c r="AQ41"/>
  <c r="AQ43"/>
  <c r="AQ45"/>
  <c r="AQ47"/>
  <c r="AQ173"/>
  <c r="AQ183"/>
  <c r="AQ187"/>
  <c r="AQ81"/>
  <c r="AQ91"/>
  <c r="AQ95"/>
  <c r="AQ126"/>
  <c r="AQ130"/>
  <c r="AQ132"/>
  <c r="AQ134"/>
  <c r="AQ138"/>
  <c r="S18" i="6"/>
  <c r="AR5" i="18"/>
  <c r="AR9"/>
  <c r="AR11"/>
  <c r="AR13"/>
  <c r="AR23"/>
  <c r="AR25"/>
  <c r="AR37"/>
  <c r="AR39"/>
  <c r="AR41"/>
  <c r="AR47"/>
  <c r="AR173"/>
  <c r="AR187"/>
  <c r="AR81"/>
  <c r="AR86"/>
  <c r="AR91"/>
  <c r="AR95"/>
  <c r="AR126"/>
  <c r="AR130"/>
  <c r="AR132"/>
  <c r="AR134"/>
  <c r="AR136"/>
  <c r="AR138"/>
  <c r="T18" i="6"/>
  <c r="AS7" i="18"/>
  <c r="AS9"/>
  <c r="AS11"/>
  <c r="AS13"/>
  <c r="AS37"/>
  <c r="AS39"/>
  <c r="AS41"/>
  <c r="AS173"/>
  <c r="AS178"/>
  <c r="AS187"/>
  <c r="AS81"/>
  <c r="AS91"/>
  <c r="AS95"/>
  <c r="AS126"/>
  <c r="AS130"/>
  <c r="AS132"/>
  <c r="AS134"/>
  <c r="AS138"/>
  <c r="U18" i="6"/>
  <c r="AT5" i="18"/>
  <c r="AT7"/>
  <c r="AT9"/>
  <c r="AT11"/>
  <c r="AT27"/>
  <c r="AT29"/>
  <c r="AT31"/>
  <c r="AT33"/>
  <c r="AT173"/>
  <c r="AT183"/>
  <c r="AT187"/>
  <c r="AT81"/>
  <c r="AT91"/>
  <c r="AT95"/>
  <c r="AT126"/>
  <c r="AT130"/>
  <c r="AT132"/>
  <c r="AT134"/>
  <c r="AT138"/>
  <c r="V18" i="6"/>
  <c r="AU17" i="18"/>
  <c r="AU21"/>
  <c r="AU23"/>
  <c r="AU25"/>
  <c r="AU27"/>
  <c r="AU29"/>
  <c r="AU31"/>
  <c r="AU33"/>
  <c r="AU35"/>
  <c r="AU37"/>
  <c r="AU39"/>
  <c r="AU41"/>
  <c r="AU45"/>
  <c r="AU47"/>
  <c r="AU173"/>
  <c r="AU183"/>
  <c r="AU187"/>
  <c r="AU66"/>
  <c r="AU81"/>
  <c r="AU86"/>
  <c r="AU95"/>
  <c r="AU126"/>
  <c r="AU128"/>
  <c r="AU130"/>
  <c r="AU132"/>
  <c r="AU134"/>
  <c r="AU138"/>
  <c r="W18" i="6"/>
  <c r="AV7" i="18"/>
  <c r="AV9"/>
  <c r="AV11"/>
  <c r="AV13"/>
  <c r="AV21"/>
  <c r="AV23"/>
  <c r="AV27"/>
  <c r="AV29"/>
  <c r="AV31"/>
  <c r="AV33"/>
  <c r="AV37"/>
  <c r="AV39"/>
  <c r="AV41"/>
  <c r="AV43"/>
  <c r="AV45"/>
  <c r="AV47"/>
  <c r="AV173"/>
  <c r="AV178"/>
  <c r="AV183"/>
  <c r="AV187"/>
  <c r="AV66"/>
  <c r="AV81"/>
  <c r="AV95"/>
  <c r="AV126"/>
  <c r="AV128"/>
  <c r="AV130"/>
  <c r="AV132"/>
  <c r="AV134"/>
  <c r="AV138"/>
  <c r="X18" i="6"/>
  <c r="AW7" i="18"/>
  <c r="AW9"/>
  <c r="AW11"/>
  <c r="AW13"/>
  <c r="AW17"/>
  <c r="AW21"/>
  <c r="AW23"/>
  <c r="AW25"/>
  <c r="AW27"/>
  <c r="AW29"/>
  <c r="AW31"/>
  <c r="AW33"/>
  <c r="AW37"/>
  <c r="AW39"/>
  <c r="AW41"/>
  <c r="AW43"/>
  <c r="AW45"/>
  <c r="AW52"/>
  <c r="AW173"/>
  <c r="AW183"/>
  <c r="AW187"/>
  <c r="AW66"/>
  <c r="AW81"/>
  <c r="AW86"/>
  <c r="AW91"/>
  <c r="AW95"/>
  <c r="AW126"/>
  <c r="AW130"/>
  <c r="AW132"/>
  <c r="AW134"/>
  <c r="AW136"/>
  <c r="AW138"/>
  <c r="Y18" i="6"/>
  <c r="AX9" i="18"/>
  <c r="AX11"/>
  <c r="AX17"/>
  <c r="AX21"/>
  <c r="AX23"/>
  <c r="AX27"/>
  <c r="AX29"/>
  <c r="AX31"/>
  <c r="AX33"/>
  <c r="AX37"/>
  <c r="AX39"/>
  <c r="AX41"/>
  <c r="AX42"/>
  <c r="AX45"/>
  <c r="AX47"/>
  <c r="AX50"/>
  <c r="AX173"/>
  <c r="AX183"/>
  <c r="AX187"/>
  <c r="AX66"/>
  <c r="AX81"/>
  <c r="AX86"/>
  <c r="AX95"/>
  <c r="AX126"/>
  <c r="AX130"/>
  <c r="AX132"/>
  <c r="AX134"/>
  <c r="AX138"/>
  <c r="AX139"/>
  <c r="Z18" i="6"/>
  <c r="AY9" i="18"/>
  <c r="AY11"/>
  <c r="AY13"/>
  <c r="AY21"/>
  <c r="AY23"/>
  <c r="AY25"/>
  <c r="AY27"/>
  <c r="AY29"/>
  <c r="AY31"/>
  <c r="AY33"/>
  <c r="AY37"/>
  <c r="AY39"/>
  <c r="AY41"/>
  <c r="AY52"/>
  <c r="AY173"/>
  <c r="AY178"/>
  <c r="AY183"/>
  <c r="AY187"/>
  <c r="AY66"/>
  <c r="AY81"/>
  <c r="AY95"/>
  <c r="AY126"/>
  <c r="AY130"/>
  <c r="AY132"/>
  <c r="AY134"/>
  <c r="AY136"/>
  <c r="AY138"/>
  <c r="AA18" i="6"/>
  <c r="AZ9" i="18"/>
  <c r="AZ11"/>
  <c r="AZ13"/>
  <c r="AZ21"/>
  <c r="AZ23"/>
  <c r="AZ25"/>
  <c r="AZ27"/>
  <c r="AZ29"/>
  <c r="AZ31"/>
  <c r="AZ33"/>
  <c r="AZ37"/>
  <c r="AZ39"/>
  <c r="AZ41"/>
  <c r="AZ45"/>
  <c r="AZ52"/>
  <c r="AZ173"/>
  <c r="AZ178"/>
  <c r="AZ183"/>
  <c r="AZ187"/>
  <c r="AZ66"/>
  <c r="AZ81"/>
  <c r="AZ95"/>
  <c r="AZ126"/>
  <c r="AZ130"/>
  <c r="AZ132"/>
  <c r="AZ134"/>
  <c r="AZ136"/>
  <c r="AZ138"/>
  <c r="AB18" i="6"/>
  <c r="BA7" i="18"/>
  <c r="BA9"/>
  <c r="BA11"/>
  <c r="BA13"/>
  <c r="BA21"/>
  <c r="BA23"/>
  <c r="BA27"/>
  <c r="BA29"/>
  <c r="BA31"/>
  <c r="BA33"/>
  <c r="BA35"/>
  <c r="BA37"/>
  <c r="BA39"/>
  <c r="BA41"/>
  <c r="BA43"/>
  <c r="BA45"/>
  <c r="BA173"/>
  <c r="BA183"/>
  <c r="BA187"/>
  <c r="BA66"/>
  <c r="BA81"/>
  <c r="BA86"/>
  <c r="BA91"/>
  <c r="BA95"/>
  <c r="BA126"/>
  <c r="BA130"/>
  <c r="BA132"/>
  <c r="BA134"/>
  <c r="BA136"/>
  <c r="BA138"/>
  <c r="BB7"/>
  <c r="BB9"/>
  <c r="BB11"/>
  <c r="BB17"/>
  <c r="BB21"/>
  <c r="BB23"/>
  <c r="BB27"/>
  <c r="BB28"/>
  <c r="BB29"/>
  <c r="BB30"/>
  <c r="BB31"/>
  <c r="BB32"/>
  <c r="BB33"/>
  <c r="BB34"/>
  <c r="BB35"/>
  <c r="BB36"/>
  <c r="BB37"/>
  <c r="BB39"/>
  <c r="BB41"/>
  <c r="BB44"/>
  <c r="BB45"/>
  <c r="BB46"/>
  <c r="BB47"/>
  <c r="BB48"/>
  <c r="BB52"/>
  <c r="BC5"/>
  <c r="BC7"/>
  <c r="BC9"/>
  <c r="BC11"/>
  <c r="BC13"/>
  <c r="BC17"/>
  <c r="BC21"/>
  <c r="BC23"/>
  <c r="BC25"/>
  <c r="BC27"/>
  <c r="BC29"/>
  <c r="BC30"/>
  <c r="BC31"/>
  <c r="BC32"/>
  <c r="BC33"/>
  <c r="BC34"/>
  <c r="BC37"/>
  <c r="BC39"/>
  <c r="BC41"/>
  <c r="BC45"/>
  <c r="BC47"/>
  <c r="BC51"/>
  <c r="BC52"/>
  <c r="BC53"/>
  <c r="BD7"/>
  <c r="BD9"/>
  <c r="BD11"/>
  <c r="BD21"/>
  <c r="BD23"/>
  <c r="BD25"/>
  <c r="BD27"/>
  <c r="BD29"/>
  <c r="BD31"/>
  <c r="BD33"/>
  <c r="BD35"/>
  <c r="BD37"/>
  <c r="BD39"/>
  <c r="BD41"/>
  <c r="BD45"/>
  <c r="BD47"/>
  <c r="BB173"/>
  <c r="BB183"/>
  <c r="BB187"/>
  <c r="BC173"/>
  <c r="BC180"/>
  <c r="BC187"/>
  <c r="BD173"/>
  <c r="BD187"/>
  <c r="BB66"/>
  <c r="BC66"/>
  <c r="BD66"/>
  <c r="BB81"/>
  <c r="BB91"/>
  <c r="BB95"/>
  <c r="BC81"/>
  <c r="BC95"/>
  <c r="BD81"/>
  <c r="BD95"/>
  <c r="BB126"/>
  <c r="BB130"/>
  <c r="BB132"/>
  <c r="BB134"/>
  <c r="BB136"/>
  <c r="BB138"/>
  <c r="BC126"/>
  <c r="BC128"/>
  <c r="BC130"/>
  <c r="BC132"/>
  <c r="BC134"/>
  <c r="BC136"/>
  <c r="BC138"/>
  <c r="BD126"/>
  <c r="BD128"/>
  <c r="BD130"/>
  <c r="BD132"/>
  <c r="BD134"/>
  <c r="BD138"/>
  <c r="AF16" i="6"/>
  <c r="BE9" i="18"/>
  <c r="BE11"/>
  <c r="BE13"/>
  <c r="BE19"/>
  <c r="BE21"/>
  <c r="BE23"/>
  <c r="BE25"/>
  <c r="BE27"/>
  <c r="BE29"/>
  <c r="BE31"/>
  <c r="BE33"/>
  <c r="BE35"/>
  <c r="BE37"/>
  <c r="BE39"/>
  <c r="BE41"/>
  <c r="BE45"/>
  <c r="BE50"/>
  <c r="BE52"/>
  <c r="BF9"/>
  <c r="BF11"/>
  <c r="BF19"/>
  <c r="BF21"/>
  <c r="BF23"/>
  <c r="BF27"/>
  <c r="BF29"/>
  <c r="BF31"/>
  <c r="BF33"/>
  <c r="BF34"/>
  <c r="BF37"/>
  <c r="BF39"/>
  <c r="BF41"/>
  <c r="BF43"/>
  <c r="BF45"/>
  <c r="BF52"/>
  <c r="BG9"/>
  <c r="BG11"/>
  <c r="BG13"/>
  <c r="BG19"/>
  <c r="BG21"/>
  <c r="BG23"/>
  <c r="BG27"/>
  <c r="BG29"/>
  <c r="BG31"/>
  <c r="BG33"/>
  <c r="BG34"/>
  <c r="BG37"/>
  <c r="BG39"/>
  <c r="BG41"/>
  <c r="BG43"/>
  <c r="BG45"/>
  <c r="BE173"/>
  <c r="BE178"/>
  <c r="BE179"/>
  <c r="BE182"/>
  <c r="BE187"/>
  <c r="BF173"/>
  <c r="BF187"/>
  <c r="BG173"/>
  <c r="BG178"/>
  <c r="BG183"/>
  <c r="BG187"/>
  <c r="BE66"/>
  <c r="BF66"/>
  <c r="BG66"/>
  <c r="BE81"/>
  <c r="BE91"/>
  <c r="BE95"/>
  <c r="BF81"/>
  <c r="BF91"/>
  <c r="BF95"/>
  <c r="BG81"/>
  <c r="BG88"/>
  <c r="BG95"/>
  <c r="BE126"/>
  <c r="BE128"/>
  <c r="BE130"/>
  <c r="BE132"/>
  <c r="BE134"/>
  <c r="BE136"/>
  <c r="BE138"/>
  <c r="BF126"/>
  <c r="BF128"/>
  <c r="BF130"/>
  <c r="BF132"/>
  <c r="BF134"/>
  <c r="BF138"/>
  <c r="BG126"/>
  <c r="BG128"/>
  <c r="BG130"/>
  <c r="BG132"/>
  <c r="BG134"/>
  <c r="BG136"/>
  <c r="BG138"/>
  <c r="AG16" i="6"/>
  <c r="BH5" i="18"/>
  <c r="BH9"/>
  <c r="BH11"/>
  <c r="BH14"/>
  <c r="BH17"/>
  <c r="BH18"/>
  <c r="BH19"/>
  <c r="BH21"/>
  <c r="BH23"/>
  <c r="BH27"/>
  <c r="BH29"/>
  <c r="BH31"/>
  <c r="BH33"/>
  <c r="BH35"/>
  <c r="BH37"/>
  <c r="BH39"/>
  <c r="BH41"/>
  <c r="BH43"/>
  <c r="BH45"/>
  <c r="BH50"/>
  <c r="BH52"/>
  <c r="BI7"/>
  <c r="BI9"/>
  <c r="BI11"/>
  <c r="BI13"/>
  <c r="BI19"/>
  <c r="BI21"/>
  <c r="BI23"/>
  <c r="BI25"/>
  <c r="BI27"/>
  <c r="BI29"/>
  <c r="BI31"/>
  <c r="BI33"/>
  <c r="BI34"/>
  <c r="BI37"/>
  <c r="BI39"/>
  <c r="BI41"/>
  <c r="BI45"/>
  <c r="BI46"/>
  <c r="BI47"/>
  <c r="BI48"/>
  <c r="BJ5"/>
  <c r="BJ7"/>
  <c r="BJ9"/>
  <c r="BJ10"/>
  <c r="BJ11"/>
  <c r="BJ12"/>
  <c r="BJ15"/>
  <c r="BJ17"/>
  <c r="BJ19"/>
  <c r="BJ21"/>
  <c r="BJ23"/>
  <c r="BJ27"/>
  <c r="BJ29"/>
  <c r="BJ31"/>
  <c r="BJ33"/>
  <c r="BJ37"/>
  <c r="BJ39"/>
  <c r="BJ41"/>
  <c r="BJ45"/>
  <c r="BJ47"/>
  <c r="BJ50"/>
  <c r="BH171"/>
  <c r="BH173"/>
  <c r="BH187"/>
  <c r="BI173"/>
  <c r="BI178"/>
  <c r="BI179"/>
  <c r="BI187"/>
  <c r="BI188"/>
  <c r="BJ173"/>
  <c r="BJ178"/>
  <c r="BJ187"/>
  <c r="BH66"/>
  <c r="BI66"/>
  <c r="BJ66"/>
  <c r="BH81"/>
  <c r="BH86"/>
  <c r="BH88"/>
  <c r="BH95"/>
  <c r="BI79"/>
  <c r="BI81"/>
  <c r="BI87"/>
  <c r="BI95"/>
  <c r="BJ81"/>
  <c r="BJ86"/>
  <c r="BJ95"/>
  <c r="BH125"/>
  <c r="BH126"/>
  <c r="BH127"/>
  <c r="BH128"/>
  <c r="BH129"/>
  <c r="BH130"/>
  <c r="BH131"/>
  <c r="BH132"/>
  <c r="BH133"/>
  <c r="BH134"/>
  <c r="BH135"/>
  <c r="BH138"/>
  <c r="BI125"/>
  <c r="BI126"/>
  <c r="BI127"/>
  <c r="BI128"/>
  <c r="BI129"/>
  <c r="BI130"/>
  <c r="BI131"/>
  <c r="BI132"/>
  <c r="BI133"/>
  <c r="BI134"/>
  <c r="BI135"/>
  <c r="BI136"/>
  <c r="BI138"/>
  <c r="BI139"/>
  <c r="BJ126"/>
  <c r="BJ128"/>
  <c r="BJ130"/>
  <c r="BJ132"/>
  <c r="BJ134"/>
  <c r="BJ138"/>
  <c r="BJ139"/>
  <c r="AH43" i="1"/>
  <c r="AH15" i="6" s="1"/>
  <c r="AI15" s="1"/>
  <c r="AH16"/>
  <c r="AH18"/>
  <c r="BK5" i="18"/>
  <c r="BK7"/>
  <c r="BK9"/>
  <c r="BK10"/>
  <c r="BK11"/>
  <c r="BK12"/>
  <c r="BK13"/>
  <c r="BK17"/>
  <c r="BK18"/>
  <c r="BK19"/>
  <c r="BK21"/>
  <c r="BK23"/>
  <c r="BK24"/>
  <c r="BK25"/>
  <c r="BK26"/>
  <c r="BK27"/>
  <c r="BK28"/>
  <c r="BK29"/>
  <c r="BK31"/>
  <c r="BK33"/>
  <c r="BK37"/>
  <c r="BK39"/>
  <c r="BK41"/>
  <c r="BK43"/>
  <c r="BK45"/>
  <c r="BK46"/>
  <c r="BK48"/>
  <c r="BL5"/>
  <c r="BL7"/>
  <c r="BL9"/>
  <c r="BL10"/>
  <c r="BL11"/>
  <c r="BL12"/>
  <c r="BL19"/>
  <c r="BL21"/>
  <c r="BL23"/>
  <c r="BL25"/>
  <c r="BL27"/>
  <c r="BL29"/>
  <c r="BL31"/>
  <c r="BL33"/>
  <c r="BL36"/>
  <c r="BL37"/>
  <c r="BL38"/>
  <c r="BL39"/>
  <c r="BL40"/>
  <c r="BL41"/>
  <c r="BL45"/>
  <c r="BL46"/>
  <c r="BL52"/>
  <c r="BM5"/>
  <c r="BM9"/>
  <c r="BM10"/>
  <c r="BM11"/>
  <c r="BM12"/>
  <c r="BM13"/>
  <c r="BM18"/>
  <c r="BM19"/>
  <c r="BM20"/>
  <c r="BM21"/>
  <c r="BM22"/>
  <c r="BM23"/>
  <c r="BM25"/>
  <c r="BM27"/>
  <c r="BM29"/>
  <c r="BM31"/>
  <c r="BM33"/>
  <c r="BM35"/>
  <c r="BM37"/>
  <c r="BM39"/>
  <c r="BM41"/>
  <c r="BM45"/>
  <c r="BM47"/>
  <c r="BM50"/>
  <c r="BK173"/>
  <c r="BK178"/>
  <c r="BK187"/>
  <c r="BL173"/>
  <c r="BL179"/>
  <c r="BL183"/>
  <c r="BL187"/>
  <c r="BL188"/>
  <c r="BM173"/>
  <c r="BM187"/>
  <c r="BK66"/>
  <c r="BL66"/>
  <c r="BM66"/>
  <c r="BK81"/>
  <c r="BK91"/>
  <c r="BK95"/>
  <c r="BL81"/>
  <c r="BL94"/>
  <c r="BL95"/>
  <c r="BL96"/>
  <c r="BM81"/>
  <c r="BM86"/>
  <c r="BM95"/>
  <c r="BM96"/>
  <c r="BK126"/>
  <c r="BK128"/>
  <c r="BK130"/>
  <c r="BK132"/>
  <c r="BK134"/>
  <c r="BK136"/>
  <c r="BK138"/>
  <c r="BL125"/>
  <c r="BL126"/>
  <c r="BL127"/>
  <c r="BL128"/>
  <c r="BL129"/>
  <c r="BL130"/>
  <c r="BL131"/>
  <c r="BL132"/>
  <c r="BL133"/>
  <c r="BL134"/>
  <c r="BL135"/>
  <c r="BL138"/>
  <c r="BM125"/>
  <c r="BM126"/>
  <c r="BM127"/>
  <c r="BM128"/>
  <c r="BM129"/>
  <c r="BM130"/>
  <c r="BM131"/>
  <c r="BM132"/>
  <c r="BM133"/>
  <c r="BM134"/>
  <c r="BM135"/>
  <c r="BM136"/>
  <c r="BM138"/>
  <c r="BM139"/>
  <c r="BN9"/>
  <c r="BN11"/>
  <c r="BN13"/>
  <c r="BN19"/>
  <c r="BN21"/>
  <c r="BN23"/>
  <c r="BN25"/>
  <c r="BN27"/>
  <c r="BN29"/>
  <c r="BN31"/>
  <c r="BN33"/>
  <c r="BN37"/>
  <c r="BN39"/>
  <c r="BN41"/>
  <c r="BN43"/>
  <c r="BN45"/>
  <c r="BN53"/>
  <c r="BO5"/>
  <c r="BO6"/>
  <c r="BO7"/>
  <c r="BO9"/>
  <c r="BO10"/>
  <c r="BO11"/>
  <c r="BO12"/>
  <c r="BO17"/>
  <c r="BO19"/>
  <c r="BO21"/>
  <c r="BO23"/>
  <c r="BO25"/>
  <c r="BO27"/>
  <c r="BO29"/>
  <c r="BO31"/>
  <c r="BO33"/>
  <c r="BO37"/>
  <c r="BO39"/>
  <c r="BO41"/>
  <c r="BO43"/>
  <c r="BO45"/>
  <c r="BO50"/>
  <c r="BP6"/>
  <c r="BP9"/>
  <c r="BP10"/>
  <c r="BP11"/>
  <c r="BP12"/>
  <c r="BP13"/>
  <c r="BP15"/>
  <c r="BP19"/>
  <c r="BP21"/>
  <c r="BP23"/>
  <c r="BP25"/>
  <c r="BP27"/>
  <c r="BP29"/>
  <c r="BP31"/>
  <c r="BP33"/>
  <c r="BP35"/>
  <c r="BP37"/>
  <c r="BP39"/>
  <c r="BP41"/>
  <c r="BP43"/>
  <c r="BP45"/>
  <c r="BN173"/>
  <c r="BN183"/>
  <c r="BN186"/>
  <c r="BN187"/>
  <c r="BN188"/>
  <c r="BO173"/>
  <c r="BO183"/>
  <c r="BO187"/>
  <c r="BP173"/>
  <c r="BP187"/>
  <c r="BN66"/>
  <c r="BO66"/>
  <c r="BP66"/>
  <c r="BN81"/>
  <c r="BN91"/>
  <c r="BN95"/>
  <c r="BO81"/>
  <c r="BO95"/>
  <c r="BP81"/>
  <c r="BP95"/>
  <c r="BN126"/>
  <c r="BN128"/>
  <c r="BN130"/>
  <c r="BN132"/>
  <c r="BN134"/>
  <c r="BN136"/>
  <c r="BN138"/>
  <c r="BO126"/>
  <c r="BO128"/>
  <c r="BO130"/>
  <c r="BO132"/>
  <c r="BO134"/>
  <c r="BO138"/>
  <c r="BP126"/>
  <c r="BP128"/>
  <c r="BP130"/>
  <c r="BP132"/>
  <c r="BP134"/>
  <c r="BP136"/>
  <c r="BP138"/>
  <c r="BQ7"/>
  <c r="BQ9"/>
  <c r="BQ11"/>
  <c r="BQ19"/>
  <c r="BQ21"/>
  <c r="BQ23"/>
  <c r="BQ25"/>
  <c r="BQ27"/>
  <c r="BQ29"/>
  <c r="BQ31"/>
  <c r="BQ33"/>
  <c r="BQ37"/>
  <c r="BQ39"/>
  <c r="BQ41"/>
  <c r="BQ43"/>
  <c r="BQ45"/>
  <c r="BQ47"/>
  <c r="BQ51"/>
  <c r="BQ53"/>
  <c r="BR5"/>
  <c r="BR7"/>
  <c r="BR9"/>
  <c r="BR11"/>
  <c r="BR13"/>
  <c r="BR16"/>
  <c r="BR18"/>
  <c r="BR19"/>
  <c r="BR21"/>
  <c r="BR23"/>
  <c r="BR25"/>
  <c r="BR27"/>
  <c r="BR29"/>
  <c r="BR31"/>
  <c r="BR33"/>
  <c r="BR35"/>
  <c r="BR36"/>
  <c r="BR37"/>
  <c r="BR38"/>
  <c r="BR39"/>
  <c r="BR41"/>
  <c r="BR42"/>
  <c r="BR43"/>
  <c r="BR45"/>
  <c r="BR46"/>
  <c r="BR47"/>
  <c r="BS6"/>
  <c r="BS8"/>
  <c r="BS9"/>
  <c r="BS10"/>
  <c r="BS11"/>
  <c r="BS12"/>
  <c r="BS19"/>
  <c r="BS21"/>
  <c r="BS23"/>
  <c r="BS25"/>
  <c r="BS27"/>
  <c r="BS29"/>
  <c r="BS31"/>
  <c r="BS33"/>
  <c r="BS35"/>
  <c r="BS37"/>
  <c r="BS39"/>
  <c r="BS41"/>
  <c r="BS42"/>
  <c r="BS43"/>
  <c r="BS44"/>
  <c r="BS45"/>
  <c r="BS46"/>
  <c r="BQ173"/>
  <c r="BQ178"/>
  <c r="BQ183"/>
  <c r="BQ187"/>
  <c r="BQ188"/>
  <c r="BR173"/>
  <c r="BR183"/>
  <c r="BR187"/>
  <c r="BS173"/>
  <c r="BS179"/>
  <c r="BS182"/>
  <c r="BS186"/>
  <c r="BS187"/>
  <c r="BQ66"/>
  <c r="BR66"/>
  <c r="BS66"/>
  <c r="BQ81"/>
  <c r="BQ86"/>
  <c r="BQ87"/>
  <c r="BQ88"/>
  <c r="BQ95"/>
  <c r="BR81"/>
  <c r="BR95"/>
  <c r="BS81"/>
  <c r="BS95"/>
  <c r="BQ125"/>
  <c r="BQ126"/>
  <c r="BQ127"/>
  <c r="BQ128"/>
  <c r="BQ129"/>
  <c r="BQ130"/>
  <c r="BQ131"/>
  <c r="BQ132"/>
  <c r="BQ133"/>
  <c r="BQ134"/>
  <c r="BQ135"/>
  <c r="BQ138"/>
  <c r="BR125"/>
  <c r="BR126"/>
  <c r="BR127"/>
  <c r="BR128"/>
  <c r="BR129"/>
  <c r="BR130"/>
  <c r="BR131"/>
  <c r="BR132"/>
  <c r="BR133"/>
  <c r="BR134"/>
  <c r="BR135"/>
  <c r="BR136"/>
  <c r="BR138"/>
  <c r="BR139"/>
  <c r="BS126"/>
  <c r="BS128"/>
  <c r="BS130"/>
  <c r="BS132"/>
  <c r="BS134"/>
  <c r="BS138"/>
  <c r="BS139"/>
  <c r="BT9"/>
  <c r="BT11"/>
  <c r="BT19"/>
  <c r="BT21"/>
  <c r="BT23"/>
  <c r="BT25"/>
  <c r="BT26"/>
  <c r="BT27"/>
  <c r="BT28"/>
  <c r="BT29"/>
  <c r="BT31"/>
  <c r="BT32"/>
  <c r="BT33"/>
  <c r="BT35"/>
  <c r="BT36"/>
  <c r="BT37"/>
  <c r="BT38"/>
  <c r="BT39"/>
  <c r="BT40"/>
  <c r="BT41"/>
  <c r="BT42"/>
  <c r="BT43"/>
  <c r="BT45"/>
  <c r="BT46"/>
  <c r="BU9"/>
  <c r="BU11"/>
  <c r="BU13"/>
  <c r="BU17"/>
  <c r="BU19"/>
  <c r="BU21"/>
  <c r="BU23"/>
  <c r="BU25"/>
  <c r="BU27"/>
  <c r="BU29"/>
  <c r="BU31"/>
  <c r="BU33"/>
  <c r="BU37"/>
  <c r="BU39"/>
  <c r="BU41"/>
  <c r="BU43"/>
  <c r="BU45"/>
  <c r="BU47"/>
  <c r="BU50"/>
  <c r="BV5"/>
  <c r="BV9"/>
  <c r="BV10"/>
  <c r="BV11"/>
  <c r="BV12"/>
  <c r="BV17"/>
  <c r="BV19"/>
  <c r="BV21"/>
  <c r="BV23"/>
  <c r="BV25"/>
  <c r="BV27"/>
  <c r="BV29"/>
  <c r="BV31"/>
  <c r="BV33"/>
  <c r="BV36"/>
  <c r="BV37"/>
  <c r="BV39"/>
  <c r="BV41"/>
  <c r="BV43"/>
  <c r="BV45"/>
  <c r="BV50"/>
  <c r="BT173"/>
  <c r="BT183"/>
  <c r="BT187"/>
  <c r="BU173"/>
  <c r="BU179"/>
  <c r="BU182"/>
  <c r="BU183"/>
  <c r="BU186"/>
  <c r="BU187"/>
  <c r="BV173"/>
  <c r="BV178"/>
  <c r="BV183"/>
  <c r="BV187"/>
  <c r="BV188"/>
  <c r="BT66"/>
  <c r="BU66"/>
  <c r="BV66"/>
  <c r="BT81"/>
  <c r="BT86"/>
  <c r="BT95"/>
  <c r="BT96"/>
  <c r="BU81"/>
  <c r="BU86"/>
  <c r="BU95"/>
  <c r="BV79"/>
  <c r="BV81"/>
  <c r="BV83"/>
  <c r="BV86"/>
  <c r="BV87"/>
  <c r="BV90"/>
  <c r="BV91"/>
  <c r="BV94"/>
  <c r="BV95"/>
  <c r="BT126"/>
  <c r="BT128"/>
  <c r="BT130"/>
  <c r="BT132"/>
  <c r="BT134"/>
  <c r="BT138"/>
  <c r="BT139"/>
  <c r="BU126"/>
  <c r="BU128"/>
  <c r="BU130"/>
  <c r="BU132"/>
  <c r="BU134"/>
  <c r="BU136"/>
  <c r="BU138"/>
  <c r="BV125"/>
  <c r="BV126"/>
  <c r="BV127"/>
  <c r="BV128"/>
  <c r="BV129"/>
  <c r="BV130"/>
  <c r="BV131"/>
  <c r="BV132"/>
  <c r="BV133"/>
  <c r="BV134"/>
  <c r="BV135"/>
  <c r="BV138"/>
  <c r="AN43" i="1"/>
  <c r="AN15" i="6" s="1"/>
  <c r="AO15" s="1"/>
  <c r="AN16"/>
  <c r="BW5" i="18"/>
  <c r="BW8"/>
  <c r="BW9"/>
  <c r="BW10"/>
  <c r="BW11"/>
  <c r="BW12"/>
  <c r="BW19"/>
  <c r="BW21"/>
  <c r="BW23"/>
  <c r="BW25"/>
  <c r="BW27"/>
  <c r="BW29"/>
  <c r="BW31"/>
  <c r="BW33"/>
  <c r="BW35"/>
  <c r="BW37"/>
  <c r="BW39"/>
  <c r="BW41"/>
  <c r="BW43"/>
  <c r="BW45"/>
  <c r="BW50"/>
  <c r="BX5"/>
  <c r="BX9"/>
  <c r="BX10"/>
  <c r="BX11"/>
  <c r="BX12"/>
  <c r="BX13"/>
  <c r="BX17"/>
  <c r="BX19"/>
  <c r="BX21"/>
  <c r="BX23"/>
  <c r="BX25"/>
  <c r="BX27"/>
  <c r="BX28"/>
  <c r="BX29"/>
  <c r="BX31"/>
  <c r="BX32"/>
  <c r="BX33"/>
  <c r="BX34"/>
  <c r="BX37"/>
  <c r="BX39"/>
  <c r="BX41"/>
  <c r="BX43"/>
  <c r="BX45"/>
  <c r="BX47"/>
  <c r="BX50"/>
  <c r="BY5"/>
  <c r="BY7"/>
  <c r="BY9"/>
  <c r="BY11"/>
  <c r="BY17"/>
  <c r="BY19"/>
  <c r="BY21"/>
  <c r="BY23"/>
  <c r="BY25"/>
  <c r="BY27"/>
  <c r="BY29"/>
  <c r="BY31"/>
  <c r="BY33"/>
  <c r="BY37"/>
  <c r="BY39"/>
  <c r="BY41"/>
  <c r="BY43"/>
  <c r="BY45"/>
  <c r="BY50"/>
  <c r="BW173"/>
  <c r="BW175"/>
  <c r="BW178"/>
  <c r="BW179"/>
  <c r="BW182"/>
  <c r="BW183"/>
  <c r="BW187"/>
  <c r="BX173"/>
  <c r="BX178"/>
  <c r="BX187"/>
  <c r="BY173"/>
  <c r="BY178"/>
  <c r="BY187"/>
  <c r="BW66"/>
  <c r="BX66"/>
  <c r="BY66"/>
  <c r="BW81"/>
  <c r="BW86"/>
  <c r="BW91"/>
  <c r="BW95"/>
  <c r="BX81"/>
  <c r="BX83"/>
  <c r="BX86"/>
  <c r="BX87"/>
  <c r="BX90"/>
  <c r="BX91"/>
  <c r="BX95"/>
  <c r="BY81"/>
  <c r="BY86"/>
  <c r="BY95"/>
  <c r="BW126"/>
  <c r="BW128"/>
  <c r="BW130"/>
  <c r="BW132"/>
  <c r="BW134"/>
  <c r="BW138"/>
  <c r="BX126"/>
  <c r="BX128"/>
  <c r="BX130"/>
  <c r="BX132"/>
  <c r="BX134"/>
  <c r="BX136"/>
  <c r="BX138"/>
  <c r="BY126"/>
  <c r="BY128"/>
  <c r="BY130"/>
  <c r="BY132"/>
  <c r="BY134"/>
  <c r="BY138"/>
  <c r="BZ5"/>
  <c r="BZ9"/>
  <c r="BZ11"/>
  <c r="BZ13"/>
  <c r="BZ19"/>
  <c r="BZ21"/>
  <c r="BZ23"/>
  <c r="BZ25"/>
  <c r="BZ26"/>
  <c r="BZ27"/>
  <c r="BZ29"/>
  <c r="BZ31"/>
  <c r="BZ33"/>
  <c r="BZ35"/>
  <c r="BZ37"/>
  <c r="BZ39"/>
  <c r="BZ41"/>
  <c r="BZ43"/>
  <c r="BZ45"/>
  <c r="BZ52"/>
  <c r="BZ53"/>
  <c r="CA9"/>
  <c r="CA10"/>
  <c r="CA11"/>
  <c r="CA12"/>
  <c r="CA19"/>
  <c r="CA21"/>
  <c r="CA23"/>
  <c r="CA25"/>
  <c r="CA27"/>
  <c r="CA29"/>
  <c r="CA31"/>
  <c r="CA33"/>
  <c r="CA35"/>
  <c r="CA37"/>
  <c r="CA39"/>
  <c r="CA41"/>
  <c r="CA43"/>
  <c r="CA45"/>
  <c r="CA47"/>
  <c r="CA51"/>
  <c r="CA52"/>
  <c r="CA53"/>
  <c r="CB5"/>
  <c r="CB6"/>
  <c r="CB7"/>
  <c r="CB8"/>
  <c r="CB9"/>
  <c r="CB10"/>
  <c r="CB11"/>
  <c r="CB12"/>
  <c r="CB13"/>
  <c r="CB19"/>
  <c r="CB21"/>
  <c r="CB23"/>
  <c r="CB25"/>
  <c r="CB27"/>
  <c r="CB29"/>
  <c r="CB30"/>
  <c r="CB31"/>
  <c r="CB32"/>
  <c r="CB33"/>
  <c r="CB34"/>
  <c r="CB37"/>
  <c r="CB39"/>
  <c r="CB41"/>
  <c r="CB43"/>
  <c r="CB45"/>
  <c r="CB50"/>
  <c r="CB52"/>
  <c r="CC9"/>
  <c r="CC11"/>
  <c r="CC15"/>
  <c r="CC18"/>
  <c r="CC19"/>
  <c r="CC20"/>
  <c r="CC21"/>
  <c r="CC23"/>
  <c r="CC25"/>
  <c r="CC27"/>
  <c r="CC28"/>
  <c r="CC29"/>
  <c r="CC31"/>
  <c r="CC32"/>
  <c r="CC33"/>
  <c r="CC34"/>
  <c r="CC37"/>
  <c r="CC39"/>
  <c r="CC41"/>
  <c r="CC43"/>
  <c r="CC45"/>
  <c r="CC52"/>
  <c r="CD9"/>
  <c r="CD11"/>
  <c r="CD13"/>
  <c r="CD15"/>
  <c r="CD19"/>
  <c r="CD21"/>
  <c r="CD23"/>
  <c r="CD25"/>
  <c r="CD27"/>
  <c r="CD29"/>
  <c r="CD31"/>
  <c r="CD33"/>
  <c r="CD35"/>
  <c r="CD37"/>
  <c r="CD39"/>
  <c r="CD41"/>
  <c r="CD43"/>
  <c r="CD45"/>
  <c r="CD50"/>
  <c r="CD52"/>
  <c r="CE5"/>
  <c r="CE7"/>
  <c r="CE9"/>
  <c r="CE11"/>
  <c r="CE15"/>
  <c r="CE19"/>
  <c r="CE21"/>
  <c r="CE23"/>
  <c r="CE25"/>
  <c r="CE27"/>
  <c r="CE29"/>
  <c r="CE31"/>
  <c r="CE32"/>
  <c r="CE33"/>
  <c r="CE35"/>
  <c r="CE36"/>
  <c r="CE37"/>
  <c r="CE38"/>
  <c r="CE39"/>
  <c r="CE41"/>
  <c r="CE42"/>
  <c r="CE43"/>
  <c r="CE45"/>
  <c r="CE46"/>
  <c r="CE48"/>
  <c r="CE50"/>
  <c r="CE51"/>
  <c r="CE52"/>
  <c r="CE53"/>
  <c r="CF5"/>
  <c r="CF7"/>
  <c r="CF9"/>
  <c r="CF11"/>
  <c r="CF13"/>
  <c r="CF19"/>
  <c r="CF21"/>
  <c r="CF23"/>
  <c r="CF25"/>
  <c r="CF27"/>
  <c r="CF29"/>
  <c r="CF31"/>
  <c r="CF33"/>
  <c r="CF36"/>
  <c r="CF37"/>
  <c r="CF38"/>
  <c r="CF39"/>
  <c r="CF41"/>
  <c r="CF42"/>
  <c r="CF43"/>
  <c r="CF44"/>
  <c r="CF45"/>
  <c r="CF46"/>
  <c r="CF47"/>
  <c r="CF48"/>
  <c r="CF50"/>
  <c r="CF51"/>
  <c r="CF53"/>
  <c r="CG5"/>
  <c r="CG9"/>
  <c r="CG11"/>
  <c r="CG19"/>
  <c r="CG21"/>
  <c r="CG23"/>
  <c r="CG24"/>
  <c r="CG25"/>
  <c r="CG27"/>
  <c r="CG28"/>
  <c r="CG29"/>
  <c r="CG30"/>
  <c r="CG31"/>
  <c r="CG32"/>
  <c r="CG33"/>
  <c r="CG34"/>
  <c r="CG37"/>
  <c r="CG39"/>
  <c r="CG41"/>
  <c r="CG43"/>
  <c r="CG45"/>
  <c r="CG52"/>
  <c r="CG53"/>
  <c r="CH5"/>
  <c r="CH9"/>
  <c r="CH11"/>
  <c r="CH13"/>
  <c r="CH15"/>
  <c r="CH18"/>
  <c r="CH19"/>
  <c r="CH21"/>
  <c r="CH23"/>
  <c r="CH25"/>
  <c r="CH27"/>
  <c r="CH29"/>
  <c r="CH31"/>
  <c r="CH33"/>
  <c r="CH34"/>
  <c r="CH35"/>
  <c r="CH36"/>
  <c r="CH37"/>
  <c r="CH38"/>
  <c r="CH39"/>
  <c r="CH40"/>
  <c r="CH41"/>
  <c r="CH42"/>
  <c r="CH43"/>
  <c r="CH45"/>
  <c r="CH46"/>
  <c r="CH48"/>
  <c r="CI7"/>
  <c r="CI9"/>
  <c r="CI11"/>
  <c r="CI17"/>
  <c r="CI18"/>
  <c r="CI19"/>
  <c r="CI20"/>
  <c r="CI21"/>
  <c r="CI23"/>
  <c r="CI25"/>
  <c r="CI27"/>
  <c r="CI29"/>
  <c r="CI31"/>
  <c r="CI33"/>
  <c r="CI35"/>
  <c r="CI37"/>
  <c r="CI39"/>
  <c r="CI41"/>
  <c r="CI43"/>
  <c r="CI45"/>
  <c r="CI50"/>
  <c r="CJ5"/>
  <c r="CJ7"/>
  <c r="CJ9"/>
  <c r="CJ11"/>
  <c r="CJ13"/>
  <c r="CJ17"/>
  <c r="CJ19"/>
  <c r="CJ21"/>
  <c r="CJ23"/>
  <c r="CJ25"/>
  <c r="CJ26"/>
  <c r="CJ27"/>
  <c r="CJ29"/>
  <c r="CJ30"/>
  <c r="CJ31"/>
  <c r="CJ32"/>
  <c r="CJ33"/>
  <c r="CJ34"/>
  <c r="CJ37"/>
  <c r="CJ39"/>
  <c r="CJ41"/>
  <c r="CJ43"/>
  <c r="CJ45"/>
  <c r="CJ47"/>
  <c r="CJ50"/>
  <c r="CK5"/>
  <c r="CK9"/>
  <c r="CK11"/>
  <c r="CK15"/>
  <c r="CK16"/>
  <c r="CK17"/>
  <c r="CK18"/>
  <c r="CK19"/>
  <c r="CK21"/>
  <c r="CK23"/>
  <c r="CK25"/>
  <c r="CK26"/>
  <c r="CK27"/>
  <c r="CK29"/>
  <c r="CK31"/>
  <c r="CK32"/>
  <c r="CK33"/>
  <c r="CK34"/>
  <c r="CK37"/>
  <c r="CK39"/>
  <c r="CK41"/>
  <c r="CK43"/>
  <c r="CK45"/>
  <c r="CK50"/>
  <c r="CK52"/>
  <c r="BZ173"/>
  <c r="BZ175"/>
  <c r="BZ178"/>
  <c r="BZ179"/>
  <c r="BZ182"/>
  <c r="BZ183"/>
  <c r="BZ186"/>
  <c r="BZ187"/>
  <c r="BZ188"/>
  <c r="CA173"/>
  <c r="CA178"/>
  <c r="CA179"/>
  <c r="CA182"/>
  <c r="CA186"/>
  <c r="CA187"/>
  <c r="CA188"/>
  <c r="CB173"/>
  <c r="CB178"/>
  <c r="CB180"/>
  <c r="CB183"/>
  <c r="CB187"/>
  <c r="CB188"/>
  <c r="CC173"/>
  <c r="CC178"/>
  <c r="CC179"/>
  <c r="CC182"/>
  <c r="CC187"/>
  <c r="CD171"/>
  <c r="CD173"/>
  <c r="CD178"/>
  <c r="CD179"/>
  <c r="CD182"/>
  <c r="CD183"/>
  <c r="CD186"/>
  <c r="CD187"/>
  <c r="CD188"/>
  <c r="CE173"/>
  <c r="CE178"/>
  <c r="CE179"/>
  <c r="CE182"/>
  <c r="CE183"/>
  <c r="CE186"/>
  <c r="CE187"/>
  <c r="CE188"/>
  <c r="CF173"/>
  <c r="CF178"/>
  <c r="CF183"/>
  <c r="CF187"/>
  <c r="CG173"/>
  <c r="CG178"/>
  <c r="CG179"/>
  <c r="CG182"/>
  <c r="CG183"/>
  <c r="CG187"/>
  <c r="CH173"/>
  <c r="CH175"/>
  <c r="CH178"/>
  <c r="CH179"/>
  <c r="CH182"/>
  <c r="CH183"/>
  <c r="CH186"/>
  <c r="CH187"/>
  <c r="CH188"/>
  <c r="CI173"/>
  <c r="CI178"/>
  <c r="CI179"/>
  <c r="CI182"/>
  <c r="CI183"/>
  <c r="CI186"/>
  <c r="CI187"/>
  <c r="CI188"/>
  <c r="CJ173"/>
  <c r="CJ178"/>
  <c r="CJ183"/>
  <c r="CJ187"/>
  <c r="CK173"/>
  <c r="CK178"/>
  <c r="CK179"/>
  <c r="CK182"/>
  <c r="CK183"/>
  <c r="CK187"/>
  <c r="BZ66"/>
  <c r="CA66"/>
  <c r="CB66"/>
  <c r="CC66"/>
  <c r="CD66"/>
  <c r="CE66"/>
  <c r="CF66"/>
  <c r="CG66"/>
  <c r="CH66"/>
  <c r="CI66"/>
  <c r="CJ66"/>
  <c r="CK66"/>
  <c r="BZ81"/>
  <c r="BZ86"/>
  <c r="BZ95"/>
  <c r="CA81"/>
  <c r="CA86"/>
  <c r="CA95"/>
  <c r="CB81"/>
  <c r="CB83"/>
  <c r="CB86"/>
  <c r="CB87"/>
  <c r="CB90"/>
  <c r="CB95"/>
  <c r="CC79"/>
  <c r="CC81"/>
  <c r="CC86"/>
  <c r="CC91"/>
  <c r="CC95"/>
  <c r="CC96"/>
  <c r="CD81"/>
  <c r="CD86"/>
  <c r="CD95"/>
  <c r="CE79"/>
  <c r="CE81"/>
  <c r="CE86"/>
  <c r="CE91"/>
  <c r="CE95"/>
  <c r="CF79"/>
  <c r="CF81"/>
  <c r="CF83"/>
  <c r="CF86"/>
  <c r="CF87"/>
  <c r="CF90"/>
  <c r="CF91"/>
  <c r="CF95"/>
  <c r="CG81"/>
  <c r="CG86"/>
  <c r="CG91"/>
  <c r="CG95"/>
  <c r="CH81"/>
  <c r="CH86"/>
  <c r="CH95"/>
  <c r="CI81"/>
  <c r="CI86"/>
  <c r="CI91"/>
  <c r="CI95"/>
  <c r="CJ81"/>
  <c r="CJ86"/>
  <c r="CJ87"/>
  <c r="CJ90"/>
  <c r="CJ95"/>
  <c r="CK79"/>
  <c r="CK81"/>
  <c r="CK86"/>
  <c r="CK95"/>
  <c r="BZ126"/>
  <c r="BZ128"/>
  <c r="BZ130"/>
  <c r="BZ132"/>
  <c r="BZ134"/>
  <c r="BZ136"/>
  <c r="BZ138"/>
  <c r="CA125"/>
  <c r="CA126"/>
  <c r="CA127"/>
  <c r="CA128"/>
  <c r="CA129"/>
  <c r="CA130"/>
  <c r="CA131"/>
  <c r="CA132"/>
  <c r="CA133"/>
  <c r="CA134"/>
  <c r="CA135"/>
  <c r="CA136"/>
  <c r="CA138"/>
  <c r="CA139"/>
  <c r="CB126"/>
  <c r="CB128"/>
  <c r="CB130"/>
  <c r="CB132"/>
  <c r="CB134"/>
  <c r="CB136"/>
  <c r="CB138"/>
  <c r="CC125"/>
  <c r="CC126"/>
  <c r="CC127"/>
  <c r="CC128"/>
  <c r="CC129"/>
  <c r="CC130"/>
  <c r="CC131"/>
  <c r="CC132"/>
  <c r="CC133"/>
  <c r="CC134"/>
  <c r="CC135"/>
  <c r="CC136"/>
  <c r="CC138"/>
  <c r="CC139"/>
  <c r="CD126"/>
  <c r="CD128"/>
  <c r="CD130"/>
  <c r="CD132"/>
  <c r="CD134"/>
  <c r="CD136"/>
  <c r="CD138"/>
  <c r="CE125"/>
  <c r="CE126"/>
  <c r="CE127"/>
  <c r="CE128"/>
  <c r="CE129"/>
  <c r="CE130"/>
  <c r="CE131"/>
  <c r="CE132"/>
  <c r="CE133"/>
  <c r="CE134"/>
  <c r="CE135"/>
  <c r="CE136"/>
  <c r="CE138"/>
  <c r="CE139"/>
  <c r="CF126"/>
  <c r="CF128"/>
  <c r="CF130"/>
  <c r="CF132"/>
  <c r="CF134"/>
  <c r="CF136"/>
  <c r="CF138"/>
  <c r="CG125"/>
  <c r="CG126"/>
  <c r="CG127"/>
  <c r="CG128"/>
  <c r="CG129"/>
  <c r="CG130"/>
  <c r="CG131"/>
  <c r="CG132"/>
  <c r="CG133"/>
  <c r="CG134"/>
  <c r="CG135"/>
  <c r="CG136"/>
  <c r="CG138"/>
  <c r="CG139"/>
  <c r="CH126"/>
  <c r="CH128"/>
  <c r="CH130"/>
  <c r="CH132"/>
  <c r="CH134"/>
  <c r="CH136"/>
  <c r="CH138"/>
  <c r="CI125"/>
  <c r="CI126"/>
  <c r="CI127"/>
  <c r="CI128"/>
  <c r="CI129"/>
  <c r="CI130"/>
  <c r="CI131"/>
  <c r="CI132"/>
  <c r="CI133"/>
  <c r="CI134"/>
  <c r="CI135"/>
  <c r="CI136"/>
  <c r="CI138"/>
  <c r="CI139"/>
  <c r="CJ126"/>
  <c r="CJ128"/>
  <c r="CJ130"/>
  <c r="CJ132"/>
  <c r="CJ134"/>
  <c r="CJ136"/>
  <c r="CJ138"/>
  <c r="CK125"/>
  <c r="CK126"/>
  <c r="CK127"/>
  <c r="CK128"/>
  <c r="CK129"/>
  <c r="CK130"/>
  <c r="CK131"/>
  <c r="CK132"/>
  <c r="CK133"/>
  <c r="CK134"/>
  <c r="CK135"/>
  <c r="CK136"/>
  <c r="CK138"/>
  <c r="CK139"/>
  <c r="CO79"/>
  <c r="CS79"/>
  <c r="CW79"/>
  <c r="CO171"/>
  <c r="CS171"/>
  <c r="CW171"/>
  <c r="CL81"/>
  <c r="CM81"/>
  <c r="CN81"/>
  <c r="CO81"/>
  <c r="CP81"/>
  <c r="CQ81"/>
  <c r="CR81"/>
  <c r="CS81"/>
  <c r="CT81"/>
  <c r="CU81"/>
  <c r="CV81"/>
  <c r="CW81"/>
  <c r="CL173"/>
  <c r="CM173"/>
  <c r="CN173"/>
  <c r="CO173"/>
  <c r="CP173"/>
  <c r="CQ173"/>
  <c r="CR173"/>
  <c r="CS173"/>
  <c r="CT173"/>
  <c r="CU173"/>
  <c r="CV173"/>
  <c r="CW173"/>
  <c r="CR83"/>
  <c r="CN175"/>
  <c r="CV175"/>
  <c r="CL86"/>
  <c r="CM86"/>
  <c r="CN86"/>
  <c r="CO86"/>
  <c r="CP86"/>
  <c r="CQ86"/>
  <c r="CR86"/>
  <c r="CS86"/>
  <c r="CT86"/>
  <c r="CU86"/>
  <c r="CV86"/>
  <c r="CW86"/>
  <c r="CL178"/>
  <c r="CM178"/>
  <c r="CN178"/>
  <c r="CO178"/>
  <c r="CP178"/>
  <c r="CQ178"/>
  <c r="CR178"/>
  <c r="CS178"/>
  <c r="CT178"/>
  <c r="CU178"/>
  <c r="CV178"/>
  <c r="CW178"/>
  <c r="CM87"/>
  <c r="CO87"/>
  <c r="CQ87"/>
  <c r="CS87"/>
  <c r="CU87"/>
  <c r="CW87"/>
  <c r="CM179"/>
  <c r="CO179"/>
  <c r="CQ179"/>
  <c r="CS179"/>
  <c r="CU179"/>
  <c r="CW179"/>
  <c r="CL88"/>
  <c r="CT88"/>
  <c r="CP180"/>
  <c r="AZ157"/>
  <c r="BA157" s="1"/>
  <c r="CL90"/>
  <c r="CN90"/>
  <c r="CP90"/>
  <c r="CR90"/>
  <c r="CT90"/>
  <c r="CV90"/>
  <c r="CL182"/>
  <c r="CN182"/>
  <c r="CP182"/>
  <c r="CR182"/>
  <c r="CT182"/>
  <c r="CV182"/>
  <c r="CM91"/>
  <c r="CO91"/>
  <c r="CQ91"/>
  <c r="CS91"/>
  <c r="CU91"/>
  <c r="CW91"/>
  <c r="CM183"/>
  <c r="CO183"/>
  <c r="CQ183"/>
  <c r="CS183"/>
  <c r="CU183"/>
  <c r="CW183"/>
  <c r="CM94"/>
  <c r="CQ94"/>
  <c r="CU94"/>
  <c r="CM186"/>
  <c r="CQ186"/>
  <c r="CU186"/>
  <c r="CL95"/>
  <c r="CM95"/>
  <c r="CN95"/>
  <c r="CO95"/>
  <c r="CP95"/>
  <c r="CQ95"/>
  <c r="CR95"/>
  <c r="CS95"/>
  <c r="CT95"/>
  <c r="CU95"/>
  <c r="CV95"/>
  <c r="CW95"/>
  <c r="CL187"/>
  <c r="CM187"/>
  <c r="CN187"/>
  <c r="CO187"/>
  <c r="CP187"/>
  <c r="CQ187"/>
  <c r="CR187"/>
  <c r="CS187"/>
  <c r="CT187"/>
  <c r="CU187"/>
  <c r="CV187"/>
  <c r="CW187"/>
  <c r="CN96"/>
  <c r="CR96"/>
  <c r="CV96"/>
  <c r="CN188"/>
  <c r="CR188"/>
  <c r="CV188"/>
  <c r="C10" i="6"/>
  <c r="D10"/>
  <c r="O15"/>
  <c r="O16"/>
  <c r="O18"/>
  <c r="AC18"/>
  <c r="AI16"/>
  <c r="AI18"/>
  <c r="AO16"/>
  <c r="AT157" i="18"/>
  <c r="AU157" s="1"/>
  <c r="AQ165"/>
  <c r="AR165" s="1"/>
  <c r="BA165"/>
  <c r="F13" i="11"/>
  <c r="E63"/>
  <c r="E112" s="1"/>
  <c r="F63"/>
  <c r="AH163" i="18"/>
  <c r="AN149"/>
  <c r="Q6" i="11"/>
  <c r="AE56"/>
  <c r="Q56"/>
  <c r="Q66"/>
  <c r="F73"/>
  <c r="F106"/>
  <c r="G106"/>
  <c r="AE66"/>
  <c r="Q86"/>
  <c r="E38" i="39"/>
  <c r="C54"/>
  <c r="D54"/>
  <c r="D78"/>
  <c r="C78"/>
  <c r="AE86" i="11"/>
  <c r="Q96"/>
  <c r="AE96"/>
  <c r="E107"/>
  <c r="C6" i="6" s="1"/>
  <c r="D30" i="39"/>
  <c r="C30"/>
  <c r="D70"/>
  <c r="C70"/>
  <c r="AO43" i="1"/>
  <c r="AO45" s="1"/>
  <c r="AI43"/>
  <c r="AI45" s="1"/>
  <c r="AH45"/>
  <c r="AG45"/>
  <c r="AN45"/>
  <c r="AQ29" i="6"/>
  <c r="AQ26" i="9"/>
  <c r="AQ32" i="6"/>
  <c r="AQ21"/>
  <c r="CT180" i="18" l="1"/>
  <c r="CL180"/>
  <c r="CP88"/>
  <c r="CI88"/>
  <c r="CB88"/>
  <c r="CH180"/>
  <c r="CG180"/>
  <c r="BU88"/>
  <c r="BR88"/>
  <c r="BO88"/>
  <c r="BJ88"/>
  <c r="BI88"/>
  <c r="BI180"/>
  <c r="BC88"/>
  <c r="BU178"/>
  <c r="BT178"/>
  <c r="BS86"/>
  <c r="BR86"/>
  <c r="BS178"/>
  <c r="BR178"/>
  <c r="BP86"/>
  <c r="BO86"/>
  <c r="BN86"/>
  <c r="BP178"/>
  <c r="BO178"/>
  <c r="BN178"/>
  <c r="BL86"/>
  <c r="BK86"/>
  <c r="BM178"/>
  <c r="BL178"/>
  <c r="BI86"/>
  <c r="BH178"/>
  <c r="BG86"/>
  <c r="BF86"/>
  <c r="BE86"/>
  <c r="BF178"/>
  <c r="BD86"/>
  <c r="BC86"/>
  <c r="BB86"/>
  <c r="BD178"/>
  <c r="BC178"/>
  <c r="BB178"/>
  <c r="BA178"/>
  <c r="AZ86"/>
  <c r="AY86"/>
  <c r="AX178"/>
  <c r="AW178"/>
  <c r="AV86"/>
  <c r="AU178"/>
  <c r="AT86"/>
  <c r="AT178"/>
  <c r="AS86"/>
  <c r="AR178"/>
  <c r="AQ86"/>
  <c r="AQ178"/>
  <c r="AP178"/>
  <c r="AN86"/>
  <c r="AN178"/>
  <c r="AM178"/>
  <c r="AK86"/>
  <c r="AK178"/>
  <c r="AJ178"/>
  <c r="BD19"/>
  <c r="BC19"/>
  <c r="BB19"/>
  <c r="BA19"/>
  <c r="AU19"/>
  <c r="AO19"/>
  <c r="AL19"/>
  <c r="CJ52"/>
  <c r="CI52"/>
  <c r="CH52"/>
  <c r="CF52"/>
  <c r="BY52"/>
  <c r="BX52"/>
  <c r="BW52"/>
  <c r="BV52"/>
  <c r="BU52"/>
  <c r="BT52"/>
  <c r="BS52"/>
  <c r="BR52"/>
  <c r="BQ52"/>
  <c r="BP52"/>
  <c r="BO52"/>
  <c r="BN52"/>
  <c r="BM52"/>
  <c r="BK52"/>
  <c r="BJ52"/>
  <c r="BI52"/>
  <c r="BG52"/>
  <c r="BD52"/>
  <c r="BA52"/>
  <c r="AX52"/>
  <c r="AV52"/>
  <c r="AU52"/>
  <c r="AR52"/>
  <c r="AN52"/>
  <c r="CH17"/>
  <c r="CG17"/>
  <c r="CF17"/>
  <c r="CE17"/>
  <c r="CD17"/>
  <c r="CC17"/>
  <c r="CB17"/>
  <c r="CA17"/>
  <c r="BZ17"/>
  <c r="BW17"/>
  <c r="BT17"/>
  <c r="BS17"/>
  <c r="BR17"/>
  <c r="BQ17"/>
  <c r="BP17"/>
  <c r="BN17"/>
  <c r="BM17"/>
  <c r="BL17"/>
  <c r="BI17"/>
  <c r="BG17"/>
  <c r="BF17"/>
  <c r="BE17"/>
  <c r="BD17"/>
  <c r="BA17"/>
  <c r="AZ17"/>
  <c r="AY17"/>
  <c r="AV17"/>
  <c r="AT17"/>
  <c r="AL17"/>
  <c r="CV180"/>
  <c r="CR180"/>
  <c r="CN180"/>
  <c r="CV88"/>
  <c r="CR88"/>
  <c r="CN88"/>
  <c r="CK88"/>
  <c r="BZ88"/>
  <c r="CK180"/>
  <c r="CD180"/>
  <c r="CA180"/>
  <c r="BY88"/>
  <c r="BX88"/>
  <c r="BX180"/>
  <c r="BW180"/>
  <c r="BV88"/>
  <c r="BT88"/>
  <c r="BR180"/>
  <c r="BQ180"/>
  <c r="BN180"/>
  <c r="BL88"/>
  <c r="BJ180"/>
  <c r="BH180"/>
  <c r="BE88"/>
  <c r="BG180"/>
  <c r="BA88"/>
  <c r="BA180"/>
  <c r="AW88"/>
  <c r="AT180"/>
  <c r="AS88"/>
  <c r="AQ180"/>
  <c r="AN88"/>
  <c r="AO132"/>
  <c r="AN42"/>
  <c r="CR175"/>
  <c r="CV83"/>
  <c r="CN83"/>
  <c r="CJ83"/>
  <c r="CD175"/>
  <c r="BQ83"/>
  <c r="BS175"/>
  <c r="BI83"/>
  <c r="CK137"/>
  <c r="CI137"/>
  <c r="CG137"/>
  <c r="CE137"/>
  <c r="CC137"/>
  <c r="CA137"/>
  <c r="BT137"/>
  <c r="BS137"/>
  <c r="BR137"/>
  <c r="BM137"/>
  <c r="BJ137"/>
  <c r="BI137"/>
  <c r="AX137"/>
  <c r="AN127"/>
  <c r="AN53"/>
  <c r="CT188"/>
  <c r="CP188"/>
  <c r="CL188"/>
  <c r="CT96"/>
  <c r="CP96"/>
  <c r="CL96"/>
  <c r="CK96"/>
  <c r="CG96"/>
  <c r="CJ188"/>
  <c r="CF188"/>
  <c r="BV96"/>
  <c r="BU188"/>
  <c r="BQ96"/>
  <c r="BS188"/>
  <c r="BO188"/>
  <c r="BI96"/>
  <c r="CV183"/>
  <c r="CT183"/>
  <c r="CR183"/>
  <c r="CP183"/>
  <c r="CN183"/>
  <c r="CL183"/>
  <c r="CV91"/>
  <c r="CT91"/>
  <c r="CR91"/>
  <c r="CP91"/>
  <c r="CN91"/>
  <c r="CL91"/>
  <c r="CK91"/>
  <c r="CJ91"/>
  <c r="CH91"/>
  <c r="CD91"/>
  <c r="CB91"/>
  <c r="CA91"/>
  <c r="BZ91"/>
  <c r="CC183"/>
  <c r="CA183"/>
  <c r="BY91"/>
  <c r="BY183"/>
  <c r="BX183"/>
  <c r="BU91"/>
  <c r="BT91"/>
  <c r="BS91"/>
  <c r="BR91"/>
  <c r="BQ91"/>
  <c r="BS183"/>
  <c r="BP91"/>
  <c r="BO91"/>
  <c r="BP183"/>
  <c r="BM91"/>
  <c r="BL91"/>
  <c r="BM183"/>
  <c r="BK183"/>
  <c r="BJ91"/>
  <c r="BI91"/>
  <c r="BH91"/>
  <c r="BJ183"/>
  <c r="BI183"/>
  <c r="BH183"/>
  <c r="BG91"/>
  <c r="BF183"/>
  <c r="BE183"/>
  <c r="BD91"/>
  <c r="BC91"/>
  <c r="BD183"/>
  <c r="BC183"/>
  <c r="AZ91"/>
  <c r="AY91"/>
  <c r="AX91"/>
  <c r="AV91"/>
  <c r="AU91"/>
  <c r="AP91"/>
  <c r="AL183"/>
  <c r="CW180"/>
  <c r="CU180"/>
  <c r="CS180"/>
  <c r="CQ180"/>
  <c r="CO180"/>
  <c r="CM180"/>
  <c r="CW88"/>
  <c r="CU88"/>
  <c r="CS88"/>
  <c r="CQ88"/>
  <c r="CO88"/>
  <c r="CM88"/>
  <c r="CJ88"/>
  <c r="CH88"/>
  <c r="CG88"/>
  <c r="CF88"/>
  <c r="CE88"/>
  <c r="CD88"/>
  <c r="CC88"/>
  <c r="CA88"/>
  <c r="CJ180"/>
  <c r="CI180"/>
  <c r="CF180"/>
  <c r="CE180"/>
  <c r="CC180"/>
  <c r="BZ180"/>
  <c r="BW88"/>
  <c r="BY180"/>
  <c r="BV180"/>
  <c r="BU180"/>
  <c r="BT180"/>
  <c r="BS88"/>
  <c r="BS180"/>
  <c r="BP88"/>
  <c r="BN88"/>
  <c r="BP180"/>
  <c r="BO180"/>
  <c r="BM88"/>
  <c r="BK88"/>
  <c r="BM180"/>
  <c r="BL180"/>
  <c r="BK180"/>
  <c r="BF88"/>
  <c r="BF180"/>
  <c r="BE180"/>
  <c r="BD88"/>
  <c r="BB88"/>
  <c r="BD180"/>
  <c r="BB180"/>
  <c r="AZ88"/>
  <c r="AZ180"/>
  <c r="AY88"/>
  <c r="AY180"/>
  <c r="AX88"/>
  <c r="AX180"/>
  <c r="AU88"/>
  <c r="AU180"/>
  <c r="AP88"/>
  <c r="AN180"/>
  <c r="AM180"/>
  <c r="CU171"/>
  <c r="CQ171"/>
  <c r="CM171"/>
  <c r="CU79"/>
  <c r="CQ79"/>
  <c r="CM79"/>
  <c r="CJ79"/>
  <c r="CI79"/>
  <c r="CG79"/>
  <c r="CB79"/>
  <c r="CA79"/>
  <c r="CH171"/>
  <c r="BZ171"/>
  <c r="BX79"/>
  <c r="BW79"/>
  <c r="BW171"/>
  <c r="BS79"/>
  <c r="BQ79"/>
  <c r="BS171"/>
  <c r="BQ171"/>
  <c r="CG51"/>
  <c r="BZ51"/>
  <c r="BN51"/>
  <c r="BT48"/>
  <c r="BS48"/>
  <c r="BR48"/>
  <c r="BL48"/>
  <c r="CH44"/>
  <c r="CE44"/>
  <c r="BT44"/>
  <c r="BR44"/>
  <c r="BL44"/>
  <c r="BK44"/>
  <c r="BI44"/>
  <c r="CF40"/>
  <c r="CE40"/>
  <c r="BS40"/>
  <c r="BR40"/>
  <c r="BH40"/>
  <c r="AX40"/>
  <c r="AT40"/>
  <c r="CI69"/>
  <c r="CE34"/>
  <c r="BT34"/>
  <c r="BR34"/>
  <c r="BJ34"/>
  <c r="CK30"/>
  <c r="CE30"/>
  <c r="CC30"/>
  <c r="BZ30"/>
  <c r="BX30"/>
  <c r="BT30"/>
  <c r="BK30"/>
  <c r="CK28"/>
  <c r="CJ28"/>
  <c r="CE28"/>
  <c r="CB28"/>
  <c r="BZ28"/>
  <c r="BC28"/>
  <c r="CG26"/>
  <c r="CE26"/>
  <c r="CC26"/>
  <c r="CB26"/>
  <c r="BX26"/>
  <c r="BC26"/>
  <c r="BB26"/>
  <c r="BZ24"/>
  <c r="BK22"/>
  <c r="CK20"/>
  <c r="CH20"/>
  <c r="BR20"/>
  <c r="BK20"/>
  <c r="BH20"/>
  <c r="CK14"/>
  <c r="CI14"/>
  <c r="CG14"/>
  <c r="CB14"/>
  <c r="BX14"/>
  <c r="BT14"/>
  <c r="BP14"/>
  <c r="BM14"/>
  <c r="BK14"/>
  <c r="BD14"/>
  <c r="CA8"/>
  <c r="BX8"/>
  <c r="BV8"/>
  <c r="BP8"/>
  <c r="BO8"/>
  <c r="BM8"/>
  <c r="BL8"/>
  <c r="BK8"/>
  <c r="BJ8"/>
  <c r="CK7"/>
  <c r="CH7"/>
  <c r="CG7"/>
  <c r="CD7"/>
  <c r="CC7"/>
  <c r="CA7"/>
  <c r="BZ7"/>
  <c r="BX7"/>
  <c r="BW7"/>
  <c r="BV7"/>
  <c r="BU7"/>
  <c r="BT7"/>
  <c r="BS7"/>
  <c r="BP7"/>
  <c r="BN7"/>
  <c r="BM7"/>
  <c r="BH7"/>
  <c r="BG7"/>
  <c r="BF7"/>
  <c r="BE7"/>
  <c r="AZ7"/>
  <c r="AY7"/>
  <c r="AX7"/>
  <c r="AR7"/>
  <c r="AN7"/>
  <c r="AQ163"/>
  <c r="AK163"/>
  <c r="AK149"/>
  <c r="CA69"/>
  <c r="CK47"/>
  <c r="CI47"/>
  <c r="CH47"/>
  <c r="CG47"/>
  <c r="CE47"/>
  <c r="CD47"/>
  <c r="CC47"/>
  <c r="CB47"/>
  <c r="BZ47"/>
  <c r="BY47"/>
  <c r="BW47"/>
  <c r="BT69"/>
  <c r="BV47"/>
  <c r="BT47"/>
  <c r="BS47"/>
  <c r="BP47"/>
  <c r="BO47"/>
  <c r="BN47"/>
  <c r="BL47"/>
  <c r="BK47"/>
  <c r="BH47"/>
  <c r="BG47"/>
  <c r="BF47"/>
  <c r="BE47"/>
  <c r="BA47"/>
  <c r="AZ47"/>
  <c r="AY47"/>
  <c r="AW47"/>
  <c r="AH149"/>
  <c r="CW188"/>
  <c r="CU188"/>
  <c r="CS188"/>
  <c r="CQ188"/>
  <c r="CO188"/>
  <c r="CM188"/>
  <c r="CW96"/>
  <c r="CU96"/>
  <c r="CS96"/>
  <c r="CQ96"/>
  <c r="CO96"/>
  <c r="CM96"/>
  <c r="CW186"/>
  <c r="CS186"/>
  <c r="CO186"/>
  <c r="CW94"/>
  <c r="CS94"/>
  <c r="CO94"/>
  <c r="CW182"/>
  <c r="CU182"/>
  <c r="CS182"/>
  <c r="CQ182"/>
  <c r="CO182"/>
  <c r="CM182"/>
  <c r="CW90"/>
  <c r="CU90"/>
  <c r="CS90"/>
  <c r="CQ90"/>
  <c r="CO90"/>
  <c r="CM90"/>
  <c r="CV179"/>
  <c r="CT179"/>
  <c r="CR179"/>
  <c r="CP179"/>
  <c r="CN179"/>
  <c r="CL179"/>
  <c r="CV87"/>
  <c r="CT87"/>
  <c r="CR87"/>
  <c r="CP87"/>
  <c r="CN87"/>
  <c r="CL87"/>
  <c r="CT175"/>
  <c r="CP175"/>
  <c r="CL175"/>
  <c r="CT83"/>
  <c r="CP83"/>
  <c r="CL83"/>
  <c r="CV171"/>
  <c r="CT171"/>
  <c r="CR171"/>
  <c r="CP171"/>
  <c r="CN171"/>
  <c r="CL171"/>
  <c r="CV79"/>
  <c r="CT79"/>
  <c r="CR79"/>
  <c r="CP79"/>
  <c r="CN79"/>
  <c r="CL79"/>
  <c r="CJ139"/>
  <c r="CJ137"/>
  <c r="CJ135"/>
  <c r="CJ133"/>
  <c r="CJ131"/>
  <c r="CJ129"/>
  <c r="CJ127"/>
  <c r="CJ125"/>
  <c r="CH139"/>
  <c r="CH137"/>
  <c r="CH135"/>
  <c r="CH133"/>
  <c r="CH131"/>
  <c r="CH129"/>
  <c r="CH127"/>
  <c r="CH125"/>
  <c r="CF139"/>
  <c r="CF137"/>
  <c r="CF135"/>
  <c r="CF133"/>
  <c r="CF131"/>
  <c r="CF129"/>
  <c r="CF127"/>
  <c r="CF125"/>
  <c r="CD139"/>
  <c r="CD137"/>
  <c r="CD135"/>
  <c r="CD133"/>
  <c r="CD131"/>
  <c r="CD129"/>
  <c r="CD127"/>
  <c r="CD125"/>
  <c r="CB139"/>
  <c r="CB137"/>
  <c r="CB135"/>
  <c r="CB133"/>
  <c r="CB131"/>
  <c r="CB129"/>
  <c r="CB127"/>
  <c r="CB125"/>
  <c r="BZ139"/>
  <c r="BZ137"/>
  <c r="BZ135"/>
  <c r="BZ133"/>
  <c r="BZ131"/>
  <c r="BZ129"/>
  <c r="BZ127"/>
  <c r="BZ125"/>
  <c r="CK90"/>
  <c r="CK87"/>
  <c r="CJ96"/>
  <c r="CI96"/>
  <c r="CI94"/>
  <c r="CI90"/>
  <c r="CI87"/>
  <c r="CH96"/>
  <c r="CH94"/>
  <c r="CH90"/>
  <c r="CH87"/>
  <c r="CH83"/>
  <c r="CH79"/>
  <c r="CG90"/>
  <c r="CG87"/>
  <c r="CF96"/>
  <c r="CE96"/>
  <c r="CE94"/>
  <c r="CE90"/>
  <c r="CE87"/>
  <c r="CD96"/>
  <c r="CD94"/>
  <c r="CD90"/>
  <c r="CD87"/>
  <c r="CD83"/>
  <c r="CD79"/>
  <c r="CC90"/>
  <c r="CC87"/>
  <c r="CB96"/>
  <c r="CA96"/>
  <c r="CA94"/>
  <c r="CA90"/>
  <c r="CA87"/>
  <c r="BZ96"/>
  <c r="BZ94"/>
  <c r="BZ90"/>
  <c r="BZ87"/>
  <c r="BZ83"/>
  <c r="BZ79"/>
  <c r="CE69"/>
  <c r="CK188"/>
  <c r="CK171"/>
  <c r="CJ182"/>
  <c r="CJ179"/>
  <c r="CJ175"/>
  <c r="CJ171"/>
  <c r="CI171"/>
  <c r="CG188"/>
  <c r="CG171"/>
  <c r="CF182"/>
  <c r="CF179"/>
  <c r="CF175"/>
  <c r="CF171"/>
  <c r="CE171"/>
  <c r="CC188"/>
  <c r="CC171"/>
  <c r="CB182"/>
  <c r="CB179"/>
  <c r="CB175"/>
  <c r="CB171"/>
  <c r="CA171"/>
  <c r="CK53"/>
  <c r="CK51"/>
  <c r="CK48"/>
  <c r="CK46"/>
  <c r="CK44"/>
  <c r="CK42"/>
  <c r="CK40"/>
  <c r="CK38"/>
  <c r="CK36"/>
  <c r="CK12"/>
  <c r="CK10"/>
  <c r="CK8"/>
  <c r="CK6"/>
  <c r="CJ53"/>
  <c r="CJ51"/>
  <c r="CJ48"/>
  <c r="CJ46"/>
  <c r="CJ44"/>
  <c r="CJ42"/>
  <c r="CJ40"/>
  <c r="CJ38"/>
  <c r="CJ36"/>
  <c r="CJ22"/>
  <c r="CJ20"/>
  <c r="CJ18"/>
  <c r="CJ14"/>
  <c r="CJ12"/>
  <c r="CJ10"/>
  <c r="CJ8"/>
  <c r="CJ6"/>
  <c r="CI53"/>
  <c r="CI51"/>
  <c r="CI48"/>
  <c r="CI46"/>
  <c r="CI44"/>
  <c r="CI42"/>
  <c r="CI40"/>
  <c r="CI38"/>
  <c r="CI36"/>
  <c r="CI34"/>
  <c r="CI32"/>
  <c r="CI30"/>
  <c r="CI28"/>
  <c r="CI26"/>
  <c r="CI24"/>
  <c r="CI12"/>
  <c r="CI10"/>
  <c r="CI8"/>
  <c r="CH53"/>
  <c r="CH51"/>
  <c r="CH30"/>
  <c r="CH28"/>
  <c r="CH26"/>
  <c r="CH24"/>
  <c r="CH14"/>
  <c r="CH12"/>
  <c r="CH10"/>
  <c r="CH8"/>
  <c r="CG48"/>
  <c r="CG46"/>
  <c r="CG44"/>
  <c r="CG42"/>
  <c r="CG40"/>
  <c r="CG38"/>
  <c r="CG36"/>
  <c r="CG20"/>
  <c r="CG18"/>
  <c r="CG16"/>
  <c r="CG12"/>
  <c r="CG10"/>
  <c r="CG8"/>
  <c r="CF34"/>
  <c r="CE12"/>
  <c r="CE10"/>
  <c r="CE8"/>
  <c r="CE6"/>
  <c r="CD53"/>
  <c r="CD51"/>
  <c r="CD48"/>
  <c r="CD46"/>
  <c r="CD44"/>
  <c r="CD40"/>
  <c r="CD36"/>
  <c r="CD34"/>
  <c r="CD32"/>
  <c r="CD30"/>
  <c r="CD28"/>
  <c r="CD26"/>
  <c r="CD24"/>
  <c r="CC53"/>
  <c r="CC51"/>
  <c r="CC12"/>
  <c r="CC10"/>
  <c r="CC8"/>
  <c r="CC6"/>
  <c r="CA20"/>
  <c r="CA18"/>
  <c r="CA16"/>
  <c r="BZ14"/>
  <c r="BZ12"/>
  <c r="BZ10"/>
  <c r="BZ8"/>
  <c r="BY135"/>
  <c r="BY133"/>
  <c r="BY131"/>
  <c r="BY129"/>
  <c r="BY127"/>
  <c r="BY125"/>
  <c r="BW139"/>
  <c r="BW137"/>
  <c r="BY96"/>
  <c r="BY79"/>
  <c r="BX188"/>
  <c r="BX171"/>
  <c r="BY34"/>
  <c r="BY14"/>
  <c r="BW20"/>
  <c r="BW18"/>
  <c r="BW16"/>
  <c r="BU90"/>
  <c r="BU87"/>
  <c r="BT188"/>
  <c r="BT186"/>
  <c r="BT182"/>
  <c r="BT179"/>
  <c r="BT175"/>
  <c r="BT171"/>
  <c r="BV30"/>
  <c r="BV28"/>
  <c r="BV26"/>
  <c r="BV24"/>
  <c r="BU36"/>
  <c r="BS20"/>
  <c r="BS18"/>
  <c r="BS16"/>
  <c r="BQ36"/>
  <c r="BQ14"/>
  <c r="BP139"/>
  <c r="BP137"/>
  <c r="BP135"/>
  <c r="BP133"/>
  <c r="BP131"/>
  <c r="BP129"/>
  <c r="BP127"/>
  <c r="BP125"/>
  <c r="BO135"/>
  <c r="BO133"/>
  <c r="BO131"/>
  <c r="BO129"/>
  <c r="BO127"/>
  <c r="BO125"/>
  <c r="BP96"/>
  <c r="BP79"/>
  <c r="BO79"/>
  <c r="BP179"/>
  <c r="BP53"/>
  <c r="BP51"/>
  <c r="BP30"/>
  <c r="BP28"/>
  <c r="BP26"/>
  <c r="BO36"/>
  <c r="BO20"/>
  <c r="BO18"/>
  <c r="BO16"/>
  <c r="BN34"/>
  <c r="BN20"/>
  <c r="BN18"/>
  <c r="BN16"/>
  <c r="BK96"/>
  <c r="BK94"/>
  <c r="BK90"/>
  <c r="BK87"/>
  <c r="BM182"/>
  <c r="BM179"/>
  <c r="BK188"/>
  <c r="BK186"/>
  <c r="BK182"/>
  <c r="BK179"/>
  <c r="BK175"/>
  <c r="BK171"/>
  <c r="BL30"/>
  <c r="BL28"/>
  <c r="BL26"/>
  <c r="BL20"/>
  <c r="BL18"/>
  <c r="BL16"/>
  <c r="BH90"/>
  <c r="BH87"/>
  <c r="BJ182"/>
  <c r="BJ179"/>
  <c r="BH188"/>
  <c r="BH186"/>
  <c r="BJ22"/>
  <c r="BJ20"/>
  <c r="BJ18"/>
  <c r="BI18"/>
  <c r="BI16"/>
  <c r="BF12"/>
  <c r="BF10"/>
  <c r="BF8"/>
  <c r="BE12"/>
  <c r="BE10"/>
  <c r="BE8"/>
  <c r="BD135"/>
  <c r="BD133"/>
  <c r="BD131"/>
  <c r="BD129"/>
  <c r="BD127"/>
  <c r="BD125"/>
  <c r="BD87"/>
  <c r="BB96"/>
  <c r="BA127"/>
  <c r="BA125"/>
  <c r="BA87"/>
  <c r="BA40"/>
  <c r="BA30"/>
  <c r="BA28"/>
  <c r="BA26"/>
  <c r="AV28"/>
  <c r="AS16"/>
  <c r="AQ16"/>
  <c r="AK139"/>
  <c r="AU139"/>
  <c r="AZ139"/>
  <c r="BA139"/>
  <c r="BB139"/>
  <c r="BC139"/>
  <c r="BD139"/>
  <c r="BG139"/>
  <c r="BE139"/>
  <c r="BF139"/>
  <c r="BH139"/>
  <c r="BK139"/>
  <c r="BL139"/>
  <c r="BN139"/>
  <c r="BO139"/>
  <c r="BQ139"/>
  <c r="BU139"/>
  <c r="BV139"/>
  <c r="BX139"/>
  <c r="BY139"/>
  <c r="AK137"/>
  <c r="AO137"/>
  <c r="AU137"/>
  <c r="AZ137"/>
  <c r="BA137"/>
  <c r="BB137"/>
  <c r="BC137"/>
  <c r="BD137"/>
  <c r="BG137"/>
  <c r="BE137"/>
  <c r="BF137"/>
  <c r="BH137"/>
  <c r="BK137"/>
  <c r="BL137"/>
  <c r="BN137"/>
  <c r="BO137"/>
  <c r="BQ137"/>
  <c r="BU137"/>
  <c r="BV137"/>
  <c r="BX137"/>
  <c r="BY137"/>
  <c r="AX135"/>
  <c r="AZ135"/>
  <c r="BA135"/>
  <c r="BB135"/>
  <c r="BC135"/>
  <c r="BF135"/>
  <c r="BG135"/>
  <c r="BE135"/>
  <c r="BJ135"/>
  <c r="BK135"/>
  <c r="BN135"/>
  <c r="BS135"/>
  <c r="BT135"/>
  <c r="BU135"/>
  <c r="BW135"/>
  <c r="BX135"/>
  <c r="AM133"/>
  <c r="AZ133"/>
  <c r="BA133"/>
  <c r="BB133"/>
  <c r="BF133"/>
  <c r="BG133"/>
  <c r="BE133"/>
  <c r="BJ133"/>
  <c r="BK133"/>
  <c r="BN133"/>
  <c r="BS133"/>
  <c r="BT133"/>
  <c r="BU133"/>
  <c r="BW133"/>
  <c r="BX133"/>
  <c r="AN131"/>
  <c r="AZ131"/>
  <c r="BA131"/>
  <c r="BB131"/>
  <c r="BF131"/>
  <c r="BG131"/>
  <c r="AX131"/>
  <c r="BC131"/>
  <c r="BE131"/>
  <c r="BJ131"/>
  <c r="BK131"/>
  <c r="BN131"/>
  <c r="BS131"/>
  <c r="BT131"/>
  <c r="BU131"/>
  <c r="BW131"/>
  <c r="BX131"/>
  <c r="AM129"/>
  <c r="AZ129"/>
  <c r="BA129"/>
  <c r="BB129"/>
  <c r="BF129"/>
  <c r="BG129"/>
  <c r="AX129"/>
  <c r="BC129"/>
  <c r="BE129"/>
  <c r="BJ129"/>
  <c r="BK129"/>
  <c r="BN129"/>
  <c r="BS129"/>
  <c r="BT129"/>
  <c r="BU129"/>
  <c r="BW129"/>
  <c r="BX129"/>
  <c r="AJ127"/>
  <c r="AX127"/>
  <c r="BF127"/>
  <c r="BG127"/>
  <c r="AZ127"/>
  <c r="BB127"/>
  <c r="BC127"/>
  <c r="BE127"/>
  <c r="BJ127"/>
  <c r="BK127"/>
  <c r="BN127"/>
  <c r="BS127"/>
  <c r="BT127"/>
  <c r="BU127"/>
  <c r="BW127"/>
  <c r="BX127"/>
  <c r="AH125"/>
  <c r="AX125"/>
  <c r="BF125"/>
  <c r="BG125"/>
  <c r="AZ125"/>
  <c r="BB125"/>
  <c r="BC125"/>
  <c r="BE125"/>
  <c r="BJ125"/>
  <c r="BK125"/>
  <c r="BN125"/>
  <c r="BS125"/>
  <c r="BT125"/>
  <c r="BU125"/>
  <c r="BW125"/>
  <c r="BX125"/>
  <c r="AI53"/>
  <c r="AT53"/>
  <c r="AV53"/>
  <c r="AW53"/>
  <c r="AX53"/>
  <c r="AY53"/>
  <c r="BB53"/>
  <c r="BD53"/>
  <c r="BH53"/>
  <c r="BA53"/>
  <c r="BF53"/>
  <c r="BG53"/>
  <c r="BI53"/>
  <c r="BJ53"/>
  <c r="BK53"/>
  <c r="BL53"/>
  <c r="BM53"/>
  <c r="BO53"/>
  <c r="BR53"/>
  <c r="BS53"/>
  <c r="BT53"/>
  <c r="BU53"/>
  <c r="BV53"/>
  <c r="BW53"/>
  <c r="BX53"/>
  <c r="BY53"/>
  <c r="CB53"/>
  <c r="AK51"/>
  <c r="AP51"/>
  <c r="AQ51"/>
  <c r="AS51"/>
  <c r="AV51"/>
  <c r="AW51"/>
  <c r="AX51"/>
  <c r="AY51"/>
  <c r="BB51"/>
  <c r="BD51"/>
  <c r="BH51"/>
  <c r="BA51"/>
  <c r="BF51"/>
  <c r="BG51"/>
  <c r="BI51"/>
  <c r="BJ51"/>
  <c r="BK51"/>
  <c r="BL51"/>
  <c r="BM51"/>
  <c r="BO51"/>
  <c r="BR51"/>
  <c r="BS51"/>
  <c r="BT51"/>
  <c r="BU51"/>
  <c r="BV51"/>
  <c r="BW51"/>
  <c r="BX51"/>
  <c r="BY51"/>
  <c r="CB51"/>
  <c r="AM48"/>
  <c r="AL48"/>
  <c r="AO48"/>
  <c r="AX48"/>
  <c r="AZ48"/>
  <c r="BA48"/>
  <c r="BC48"/>
  <c r="BF48"/>
  <c r="BG48"/>
  <c r="BH48"/>
  <c r="AT48"/>
  <c r="AY48"/>
  <c r="BD48"/>
  <c r="BJ48"/>
  <c r="BM48"/>
  <c r="BN48"/>
  <c r="BO48"/>
  <c r="BP48"/>
  <c r="BQ48"/>
  <c r="BU48"/>
  <c r="BV48"/>
  <c r="BW48"/>
  <c r="BX48"/>
  <c r="BY48"/>
  <c r="BZ48"/>
  <c r="CA48"/>
  <c r="CB48"/>
  <c r="CC48"/>
  <c r="AN46"/>
  <c r="AK46"/>
  <c r="AL46"/>
  <c r="AO46"/>
  <c r="AX46"/>
  <c r="AZ46"/>
  <c r="BA46"/>
  <c r="BC46"/>
  <c r="BF46"/>
  <c r="BG46"/>
  <c r="BH46"/>
  <c r="AP46"/>
  <c r="AS46"/>
  <c r="AY46"/>
  <c r="BD46"/>
  <c r="BJ46"/>
  <c r="BM46"/>
  <c r="BN46"/>
  <c r="BO46"/>
  <c r="BP46"/>
  <c r="BQ46"/>
  <c r="BU46"/>
  <c r="BV46"/>
  <c r="BW46"/>
  <c r="BX46"/>
  <c r="BY46"/>
  <c r="BZ46"/>
  <c r="CA46"/>
  <c r="CB46"/>
  <c r="CC46"/>
  <c r="AM44"/>
  <c r="AK44"/>
  <c r="AL44"/>
  <c r="AT44"/>
  <c r="AX44"/>
  <c r="AY44"/>
  <c r="AZ44"/>
  <c r="BA44"/>
  <c r="BC44"/>
  <c r="BF44"/>
  <c r="BG44"/>
  <c r="BH44"/>
  <c r="AO44"/>
  <c r="BD44"/>
  <c r="BJ44"/>
  <c r="BM44"/>
  <c r="BN44"/>
  <c r="BO44"/>
  <c r="BP44"/>
  <c r="BQ44"/>
  <c r="BU44"/>
  <c r="BV44"/>
  <c r="BW44"/>
  <c r="BX44"/>
  <c r="BY44"/>
  <c r="BZ44"/>
  <c r="CA44"/>
  <c r="CB44"/>
  <c r="CC44"/>
  <c r="AL42"/>
  <c r="BB42"/>
  <c r="BE42"/>
  <c r="BF42"/>
  <c r="BG42"/>
  <c r="AZ42"/>
  <c r="BC42"/>
  <c r="BI42"/>
  <c r="BN42"/>
  <c r="BO42"/>
  <c r="BP42"/>
  <c r="BQ42"/>
  <c r="BU42"/>
  <c r="BV42"/>
  <c r="BW42"/>
  <c r="BX42"/>
  <c r="BY42"/>
  <c r="BZ42"/>
  <c r="CA42"/>
  <c r="CB42"/>
  <c r="CC42"/>
  <c r="AM40"/>
  <c r="BB40"/>
  <c r="BE40"/>
  <c r="BF40"/>
  <c r="BG40"/>
  <c r="AL40"/>
  <c r="AZ40"/>
  <c r="BC40"/>
  <c r="BD40"/>
  <c r="BI40"/>
  <c r="BJ40"/>
  <c r="BK40"/>
  <c r="BM40"/>
  <c r="BN40"/>
  <c r="BO40"/>
  <c r="BP40"/>
  <c r="BQ40"/>
  <c r="BU40"/>
  <c r="BV40"/>
  <c r="BW40"/>
  <c r="BX40"/>
  <c r="BY40"/>
  <c r="BZ40"/>
  <c r="CA40"/>
  <c r="CB40"/>
  <c r="CC40"/>
  <c r="AK38"/>
  <c r="BE38"/>
  <c r="BF38"/>
  <c r="BG38"/>
  <c r="AL38"/>
  <c r="BI38"/>
  <c r="BJ38"/>
  <c r="BM38"/>
  <c r="BN38"/>
  <c r="BP38"/>
  <c r="BW38"/>
  <c r="BX38"/>
  <c r="BY38"/>
  <c r="BZ38"/>
  <c r="CA38"/>
  <c r="CB38"/>
  <c r="CC38"/>
  <c r="AL36"/>
  <c r="AY36"/>
  <c r="BA36"/>
  <c r="BC36"/>
  <c r="BD36"/>
  <c r="BE36"/>
  <c r="BF36"/>
  <c r="BG36"/>
  <c r="BH36"/>
  <c r="AP36"/>
  <c r="BI36"/>
  <c r="BJ36"/>
  <c r="BM36"/>
  <c r="BN36"/>
  <c r="BP36"/>
  <c r="BS36"/>
  <c r="BW36"/>
  <c r="BX36"/>
  <c r="BY36"/>
  <c r="BZ36"/>
  <c r="CA36"/>
  <c r="CB36"/>
  <c r="CC36"/>
  <c r="AK34"/>
  <c r="AJ34"/>
  <c r="AM34"/>
  <c r="AQ34"/>
  <c r="AR34"/>
  <c r="AT34"/>
  <c r="AW34"/>
  <c r="AX34"/>
  <c r="AZ34"/>
  <c r="BA34"/>
  <c r="BD34"/>
  <c r="BE34"/>
  <c r="BH34"/>
  <c r="AP34"/>
  <c r="BK34"/>
  <c r="BL34"/>
  <c r="BM34"/>
  <c r="BO34"/>
  <c r="BP34"/>
  <c r="BQ34"/>
  <c r="BS34"/>
  <c r="BU34"/>
  <c r="BV34"/>
  <c r="BW34"/>
  <c r="BY69"/>
  <c r="BZ34"/>
  <c r="CA34"/>
  <c r="AS32"/>
  <c r="BD32"/>
  <c r="BE32"/>
  <c r="BH32"/>
  <c r="AP32"/>
  <c r="BM32"/>
  <c r="BO32"/>
  <c r="BQ32"/>
  <c r="BS32"/>
  <c r="BU32"/>
  <c r="BW32"/>
  <c r="CA32"/>
  <c r="CF32"/>
  <c r="AM30"/>
  <c r="AU30"/>
  <c r="BD30"/>
  <c r="BE30"/>
  <c r="BF30"/>
  <c r="BG30"/>
  <c r="BH30"/>
  <c r="BI30"/>
  <c r="BJ30"/>
  <c r="BM30"/>
  <c r="BN30"/>
  <c r="BO30"/>
  <c r="BQ30"/>
  <c r="BR30"/>
  <c r="BS30"/>
  <c r="BU30"/>
  <c r="BW30"/>
  <c r="BY30"/>
  <c r="CA30"/>
  <c r="CF30"/>
  <c r="AK28"/>
  <c r="AN28"/>
  <c r="AP28"/>
  <c r="AU28"/>
  <c r="BD28"/>
  <c r="BE28"/>
  <c r="BF28"/>
  <c r="BG28"/>
  <c r="BH28"/>
  <c r="AS28"/>
  <c r="BI28"/>
  <c r="BJ28"/>
  <c r="BM28"/>
  <c r="BN28"/>
  <c r="BO28"/>
  <c r="BQ28"/>
  <c r="BR28"/>
  <c r="BS28"/>
  <c r="BU28"/>
  <c r="BW28"/>
  <c r="BY28"/>
  <c r="CA28"/>
  <c r="CF28"/>
  <c r="AO26"/>
  <c r="AU26"/>
  <c r="BD26"/>
  <c r="BE26"/>
  <c r="BF26"/>
  <c r="BG26"/>
  <c r="BH26"/>
  <c r="BI26"/>
  <c r="BJ26"/>
  <c r="BM26"/>
  <c r="BN26"/>
  <c r="BO26"/>
  <c r="BQ26"/>
  <c r="BR26"/>
  <c r="BS26"/>
  <c r="BU26"/>
  <c r="BW26"/>
  <c r="BY26"/>
  <c r="CA26"/>
  <c r="CF26"/>
  <c r="AN24"/>
  <c r="AS24"/>
  <c r="AU24"/>
  <c r="BB24"/>
  <c r="BD24"/>
  <c r="AX24"/>
  <c r="BF24"/>
  <c r="BN24"/>
  <c r="BO24"/>
  <c r="BR24"/>
  <c r="BS24"/>
  <c r="BW24"/>
  <c r="BY24"/>
  <c r="CA24"/>
  <c r="AJ22"/>
  <c r="BC22"/>
  <c r="BD22"/>
  <c r="BG22"/>
  <c r="AT22"/>
  <c r="BP22"/>
  <c r="BT22"/>
  <c r="BX22"/>
  <c r="BY22"/>
  <c r="CB22"/>
  <c r="CE22"/>
  <c r="AI20"/>
  <c r="AO20"/>
  <c r="AW20"/>
  <c r="AY20"/>
  <c r="AZ20"/>
  <c r="BA20"/>
  <c r="BC20"/>
  <c r="BD20"/>
  <c r="BE20"/>
  <c r="BF20"/>
  <c r="BG20"/>
  <c r="BB20"/>
  <c r="BP20"/>
  <c r="BQ20"/>
  <c r="BT20"/>
  <c r="BU20"/>
  <c r="BV20"/>
  <c r="BX20"/>
  <c r="BY20"/>
  <c r="BZ20"/>
  <c r="CB20"/>
  <c r="CD20"/>
  <c r="CE20"/>
  <c r="CF20"/>
  <c r="AL18"/>
  <c r="AN18"/>
  <c r="AO18"/>
  <c r="AT18"/>
  <c r="AV18"/>
  <c r="AX18"/>
  <c r="BA18"/>
  <c r="BC18"/>
  <c r="BD18"/>
  <c r="BE18"/>
  <c r="BF18"/>
  <c r="BG18"/>
  <c r="BB18"/>
  <c r="BP18"/>
  <c r="BQ18"/>
  <c r="BT18"/>
  <c r="BU18"/>
  <c r="BV18"/>
  <c r="BX18"/>
  <c r="BY18"/>
  <c r="BZ18"/>
  <c r="CB18"/>
  <c r="CD18"/>
  <c r="CE18"/>
  <c r="CF18"/>
  <c r="AK16"/>
  <c r="AN16"/>
  <c r="AO16"/>
  <c r="AR16"/>
  <c r="AV16"/>
  <c r="BD16"/>
  <c r="BE16"/>
  <c r="BG16"/>
  <c r="BB16"/>
  <c r="BQ16"/>
  <c r="BT16"/>
  <c r="BX16"/>
  <c r="BY16"/>
  <c r="BZ16"/>
  <c r="CB16"/>
  <c r="CD16"/>
  <c r="CE16"/>
  <c r="AN14"/>
  <c r="AW14"/>
  <c r="AY14"/>
  <c r="AZ14"/>
  <c r="BA14"/>
  <c r="BB14"/>
  <c r="BC14"/>
  <c r="BF14"/>
  <c r="BG14"/>
  <c r="BI14"/>
  <c r="BJ14"/>
  <c r="BL14"/>
  <c r="BN14"/>
  <c r="BO14"/>
  <c r="BR14"/>
  <c r="BS14"/>
  <c r="BU14"/>
  <c r="BV14"/>
  <c r="BW14"/>
  <c r="CA14"/>
  <c r="CC14"/>
  <c r="CD14"/>
  <c r="CE14"/>
  <c r="CF14"/>
  <c r="AL12"/>
  <c r="AR12"/>
  <c r="AW12"/>
  <c r="AX12"/>
  <c r="AY12"/>
  <c r="AZ12"/>
  <c r="BA12"/>
  <c r="BC12"/>
  <c r="BD12"/>
  <c r="BH12"/>
  <c r="BG12"/>
  <c r="BI12"/>
  <c r="BN12"/>
  <c r="BQ12"/>
  <c r="BR12"/>
  <c r="BT12"/>
  <c r="BU12"/>
  <c r="BY12"/>
  <c r="CD12"/>
  <c r="CF12"/>
  <c r="AK10"/>
  <c r="AW10"/>
  <c r="AX10"/>
  <c r="AY10"/>
  <c r="AZ10"/>
  <c r="BA10"/>
  <c r="BC10"/>
  <c r="BD10"/>
  <c r="BH10"/>
  <c r="BG10"/>
  <c r="BI10"/>
  <c r="BN10"/>
  <c r="BQ10"/>
  <c r="BR10"/>
  <c r="BT10"/>
  <c r="BU10"/>
  <c r="BY10"/>
  <c r="CD10"/>
  <c r="CF10"/>
  <c r="AS8"/>
  <c r="AN8"/>
  <c r="AW8"/>
  <c r="AY8"/>
  <c r="AZ8"/>
  <c r="BA8"/>
  <c r="BC8"/>
  <c r="BD8"/>
  <c r="BH8"/>
  <c r="BI8"/>
  <c r="BG8"/>
  <c r="BN8"/>
  <c r="BQ8"/>
  <c r="BR8"/>
  <c r="BT8"/>
  <c r="BU8"/>
  <c r="BY8"/>
  <c r="CD8"/>
  <c r="CF8"/>
  <c r="AN6"/>
  <c r="BA6"/>
  <c r="BC6"/>
  <c r="BD6"/>
  <c r="BN6"/>
  <c r="BQ6"/>
  <c r="BT6"/>
  <c r="BY6"/>
  <c r="CD6"/>
  <c r="AR188"/>
  <c r="AM188"/>
  <c r="AZ96"/>
  <c r="BA96"/>
  <c r="BC188"/>
  <c r="BD96"/>
  <c r="BE188"/>
  <c r="BG188"/>
  <c r="BE96"/>
  <c r="BG96"/>
  <c r="BB188"/>
  <c r="BD188"/>
  <c r="BC96"/>
  <c r="BF188"/>
  <c r="BF96"/>
  <c r="BJ188"/>
  <c r="BH96"/>
  <c r="BJ96"/>
  <c r="BM188"/>
  <c r="BP188"/>
  <c r="BN96"/>
  <c r="BO96"/>
  <c r="BR188"/>
  <c r="BR96"/>
  <c r="BS96"/>
  <c r="BU96"/>
  <c r="BW188"/>
  <c r="BY188"/>
  <c r="BW96"/>
  <c r="BX96"/>
  <c r="BA94"/>
  <c r="BG94"/>
  <c r="BD186"/>
  <c r="BJ94"/>
  <c r="BP186"/>
  <c r="BN94"/>
  <c r="BR94"/>
  <c r="BY186"/>
  <c r="BW94"/>
  <c r="BG90"/>
  <c r="BD182"/>
  <c r="BJ90"/>
  <c r="BM90"/>
  <c r="BO182"/>
  <c r="BN90"/>
  <c r="BP90"/>
  <c r="BQ182"/>
  <c r="BR90"/>
  <c r="BV182"/>
  <c r="BT90"/>
  <c r="BX182"/>
  <c r="BY182"/>
  <c r="BW90"/>
  <c r="BY90"/>
  <c r="AK179"/>
  <c r="AK87"/>
  <c r="AN87"/>
  <c r="AR179"/>
  <c r="AZ87"/>
  <c r="BC179"/>
  <c r="BB87"/>
  <c r="BG179"/>
  <c r="BE87"/>
  <c r="BG87"/>
  <c r="BB179"/>
  <c r="BD179"/>
  <c r="BC87"/>
  <c r="BF179"/>
  <c r="BF87"/>
  <c r="BH179"/>
  <c r="BJ87"/>
  <c r="BL87"/>
  <c r="BM87"/>
  <c r="BN179"/>
  <c r="BO179"/>
  <c r="BN87"/>
  <c r="BO87"/>
  <c r="BP87"/>
  <c r="BQ179"/>
  <c r="BR179"/>
  <c r="BR87"/>
  <c r="BS87"/>
  <c r="BV179"/>
  <c r="BT87"/>
  <c r="BX179"/>
  <c r="BY179"/>
  <c r="BW87"/>
  <c r="BY87"/>
  <c r="AJ83"/>
  <c r="AK175"/>
  <c r="AM175"/>
  <c r="AN83"/>
  <c r="AR175"/>
  <c r="BC175"/>
  <c r="BG175"/>
  <c r="BE83"/>
  <c r="BG83"/>
  <c r="BB175"/>
  <c r="BD175"/>
  <c r="BF175"/>
  <c r="BF83"/>
  <c r="BJ83"/>
  <c r="BL83"/>
  <c r="BM83"/>
  <c r="BN175"/>
  <c r="BO175"/>
  <c r="BN83"/>
  <c r="BR175"/>
  <c r="BR83"/>
  <c r="BV175"/>
  <c r="BT83"/>
  <c r="BY175"/>
  <c r="AK171"/>
  <c r="AM171"/>
  <c r="AR171"/>
  <c r="AZ171"/>
  <c r="BA171"/>
  <c r="BC171"/>
  <c r="BC79"/>
  <c r="BD79"/>
  <c r="BE171"/>
  <c r="BG171"/>
  <c r="BE79"/>
  <c r="BG79"/>
  <c r="AZ79"/>
  <c r="BB171"/>
  <c r="BD171"/>
  <c r="BB79"/>
  <c r="BF171"/>
  <c r="BF79"/>
  <c r="BI171"/>
  <c r="BJ171"/>
  <c r="BH79"/>
  <c r="BJ79"/>
  <c r="BL171"/>
  <c r="BM171"/>
  <c r="BK79"/>
  <c r="BL79"/>
  <c r="BM79"/>
  <c r="BN171"/>
  <c r="BO171"/>
  <c r="BP171"/>
  <c r="BN79"/>
  <c r="BR171"/>
  <c r="BR79"/>
  <c r="BU171"/>
  <c r="BV171"/>
  <c r="BT79"/>
  <c r="BU79"/>
  <c r="BY171"/>
  <c r="AG48"/>
  <c r="AH46"/>
  <c r="AI44"/>
  <c r="AK43"/>
  <c r="AL30"/>
  <c r="AM134"/>
  <c r="AL136"/>
  <c r="AO134"/>
  <c r="AO130"/>
  <c r="AN138"/>
  <c r="AN134"/>
  <c r="AN130"/>
  <c r="AM132"/>
  <c r="AM126"/>
  <c r="AL130"/>
  <c r="CI5"/>
  <c r="CD5"/>
  <c r="CC5"/>
  <c r="CA5"/>
  <c r="BU5"/>
  <c r="BT5"/>
  <c r="BS5"/>
  <c r="BQ5"/>
  <c r="BP5"/>
  <c r="BN5"/>
  <c r="BI5"/>
  <c r="BE5"/>
  <c r="BB5"/>
  <c r="BA5"/>
  <c r="AY5"/>
  <c r="AV5"/>
  <c r="AS5"/>
  <c r="AM5"/>
  <c r="AK7"/>
  <c r="AJ7"/>
  <c r="AF7"/>
  <c r="AP6"/>
  <c r="AK83"/>
  <c r="AM131"/>
  <c r="AK42"/>
  <c r="AZ22"/>
  <c r="AN22"/>
  <c r="AU171"/>
  <c r="AO139"/>
  <c r="AN133"/>
  <c r="AN129"/>
  <c r="AM127"/>
  <c r="AJ125"/>
  <c r="AO53"/>
  <c r="AL53"/>
  <c r="AN51"/>
  <c r="BM43"/>
  <c r="BL43"/>
  <c r="BJ43"/>
  <c r="BI43"/>
  <c r="BE43"/>
  <c r="BD43"/>
  <c r="BC43"/>
  <c r="BB43"/>
  <c r="AZ43"/>
  <c r="AY43"/>
  <c r="AX43"/>
  <c r="AU43"/>
  <c r="AK40"/>
  <c r="AN34"/>
  <c r="AU14"/>
  <c r="AS12"/>
  <c r="AU10"/>
  <c r="AR10"/>
  <c r="AX8"/>
  <c r="H106" i="11"/>
  <c r="AN38" i="18"/>
  <c r="AS36"/>
  <c r="AQ36"/>
  <c r="AO36"/>
  <c r="AL28"/>
  <c r="AQ6"/>
  <c r="AI125"/>
  <c r="CK69"/>
  <c r="CG69"/>
  <c r="CC69"/>
  <c r="CH50"/>
  <c r="CG50"/>
  <c r="CC50"/>
  <c r="CA50"/>
  <c r="BZ50"/>
  <c r="BW69"/>
  <c r="BT50"/>
  <c r="BS50"/>
  <c r="BR50"/>
  <c r="BQ50"/>
  <c r="BP50"/>
  <c r="BN50"/>
  <c r="BL50"/>
  <c r="BK50"/>
  <c r="BI50"/>
  <c r="BF50"/>
  <c r="BD50"/>
  <c r="AY50"/>
  <c r="AU50"/>
  <c r="AR50"/>
  <c r="AJ48"/>
  <c r="AM26"/>
  <c r="AQ24"/>
  <c r="AL22"/>
  <c r="AS20"/>
  <c r="AN20"/>
  <c r="AS10"/>
  <c r="AQ10"/>
  <c r="AP10"/>
  <c r="AO10"/>
  <c r="AM10"/>
  <c r="AR8"/>
  <c r="AM138"/>
  <c r="AL134"/>
  <c r="AL128"/>
  <c r="AK138"/>
  <c r="AK126"/>
  <c r="AK66"/>
  <c r="AJ134"/>
  <c r="AJ126"/>
  <c r="AI81"/>
  <c r="BB128"/>
  <c r="BB140" s="1"/>
  <c r="BA128"/>
  <c r="AZ128"/>
  <c r="AZ140" s="1"/>
  <c r="AA13" i="9" s="1"/>
  <c r="AY128" i="18"/>
  <c r="AX128"/>
  <c r="AW128"/>
  <c r="AT128"/>
  <c r="AS128"/>
  <c r="AR128"/>
  <c r="AQ128"/>
  <c r="AP128"/>
  <c r="AO128"/>
  <c r="AM128"/>
  <c r="AY45"/>
  <c r="AR45"/>
  <c r="AO45"/>
  <c r="AM39"/>
  <c r="AR20"/>
  <c r="AP20"/>
  <c r="AM20"/>
  <c r="AK20"/>
  <c r="CI15"/>
  <c r="CG15"/>
  <c r="CA15"/>
  <c r="BZ15"/>
  <c r="BX15"/>
  <c r="BV15"/>
  <c r="BT15"/>
  <c r="BO15"/>
  <c r="BK15"/>
  <c r="BJ68"/>
  <c r="BI68"/>
  <c r="BF15"/>
  <c r="AS183"/>
  <c r="AR183"/>
  <c r="AP183"/>
  <c r="AO183"/>
  <c r="AN91"/>
  <c r="AN183"/>
  <c r="AL91"/>
  <c r="AK91"/>
  <c r="AW180"/>
  <c r="AV88"/>
  <c r="AV180"/>
  <c r="AT88"/>
  <c r="AS180"/>
  <c r="AR88"/>
  <c r="AR180"/>
  <c r="AQ88"/>
  <c r="AP180"/>
  <c r="AO88"/>
  <c r="AO180"/>
  <c r="AM88"/>
  <c r="AL88"/>
  <c r="AL180"/>
  <c r="AK88"/>
  <c r="AK180"/>
  <c r="AJ180"/>
  <c r="BY136"/>
  <c r="BW136"/>
  <c r="BV136"/>
  <c r="BT136"/>
  <c r="BS136"/>
  <c r="BQ136"/>
  <c r="BO136"/>
  <c r="BL136"/>
  <c r="BJ136"/>
  <c r="BH136"/>
  <c r="BF136"/>
  <c r="BD136"/>
  <c r="AX136"/>
  <c r="AV136"/>
  <c r="AU136"/>
  <c r="AT136"/>
  <c r="AS136"/>
  <c r="AQ136"/>
  <c r="AP136"/>
  <c r="AM136"/>
  <c r="BC133"/>
  <c r="AX133"/>
  <c r="AK130"/>
  <c r="AR43"/>
  <c r="AO30"/>
  <c r="AR22"/>
  <c r="AR21"/>
  <c r="AP21"/>
  <c r="CJ16"/>
  <c r="CI16"/>
  <c r="CH16"/>
  <c r="CF16"/>
  <c r="CC16"/>
  <c r="BV16"/>
  <c r="BU16"/>
  <c r="BP16"/>
  <c r="BM16"/>
  <c r="BK16"/>
  <c r="BJ16"/>
  <c r="BH16"/>
  <c r="BF16"/>
  <c r="BC16"/>
  <c r="BA16"/>
  <c r="AX16"/>
  <c r="AT16"/>
  <c r="AF39"/>
  <c r="AF35"/>
  <c r="D21" i="9"/>
  <c r="J58" i="11"/>
  <c r="K26"/>
  <c r="L26" s="1"/>
  <c r="M26" s="1"/>
  <c r="N26" s="1"/>
  <c r="O26" s="1"/>
  <c r="P26" s="1"/>
  <c r="S26" s="1"/>
  <c r="D7" i="9"/>
  <c r="D9" i="6"/>
  <c r="D11" s="1"/>
  <c r="L58" i="11"/>
  <c r="H58"/>
  <c r="AI139" i="18"/>
  <c r="AS139"/>
  <c r="AV139"/>
  <c r="AW139"/>
  <c r="AY139"/>
  <c r="AG137"/>
  <c r="AH137"/>
  <c r="AS137"/>
  <c r="AV137"/>
  <c r="AW137"/>
  <c r="AY137"/>
  <c r="AS135"/>
  <c r="AV135"/>
  <c r="AW135"/>
  <c r="AY135"/>
  <c r="AG133"/>
  <c r="AQ133"/>
  <c r="AS133"/>
  <c r="AV133"/>
  <c r="AW133"/>
  <c r="AY133"/>
  <c r="AQ131"/>
  <c r="AS131"/>
  <c r="AV131"/>
  <c r="AW131"/>
  <c r="AY131"/>
  <c r="AH129"/>
  <c r="AJ129"/>
  <c r="AQ129"/>
  <c r="AS129"/>
  <c r="AV129"/>
  <c r="AW129"/>
  <c r="AY129"/>
  <c r="AG127"/>
  <c r="AI127"/>
  <c r="AQ127"/>
  <c r="AS127"/>
  <c r="AV127"/>
  <c r="AW127"/>
  <c r="AY127"/>
  <c r="AQ125"/>
  <c r="AS125"/>
  <c r="AV125"/>
  <c r="AW125"/>
  <c r="AY125"/>
  <c r="AD53"/>
  <c r="AK53"/>
  <c r="AM53"/>
  <c r="AP53"/>
  <c r="AQ53"/>
  <c r="AR53"/>
  <c r="AS53"/>
  <c r="AU53"/>
  <c r="AZ53"/>
  <c r="AD51"/>
  <c r="AI51"/>
  <c r="AJ51"/>
  <c r="AL51"/>
  <c r="AM51"/>
  <c r="AO51"/>
  <c r="AR51"/>
  <c r="AT51"/>
  <c r="AU51"/>
  <c r="AZ51"/>
  <c r="AD48"/>
  <c r="AK48"/>
  <c r="AN48"/>
  <c r="AP48"/>
  <c r="AQ48"/>
  <c r="AR48"/>
  <c r="AS48"/>
  <c r="AU48"/>
  <c r="AV48"/>
  <c r="AW48"/>
  <c r="AD46"/>
  <c r="AG46"/>
  <c r="AI46"/>
  <c r="AJ46"/>
  <c r="AM46"/>
  <c r="AQ46"/>
  <c r="AR46"/>
  <c r="AT46"/>
  <c r="AU46"/>
  <c r="AV46"/>
  <c r="AW46"/>
  <c r="AD44"/>
  <c r="AN44"/>
  <c r="AP44"/>
  <c r="AQ44"/>
  <c r="AR44"/>
  <c r="AS44"/>
  <c r="AU44"/>
  <c r="AV44"/>
  <c r="AW44"/>
  <c r="AD42"/>
  <c r="AQ42"/>
  <c r="AR42"/>
  <c r="AT42"/>
  <c r="AU42"/>
  <c r="AV42"/>
  <c r="AD40"/>
  <c r="AJ40"/>
  <c r="AN40"/>
  <c r="AO40"/>
  <c r="AP40"/>
  <c r="AQ40"/>
  <c r="AR40"/>
  <c r="AS40"/>
  <c r="AU40"/>
  <c r="AV40"/>
  <c r="AY40"/>
  <c r="AD38"/>
  <c r="AJ38"/>
  <c r="AR38"/>
  <c r="AU38"/>
  <c r="AV38"/>
  <c r="AD36"/>
  <c r="AI36"/>
  <c r="AJ36"/>
  <c r="AK36"/>
  <c r="AM36"/>
  <c r="AN36"/>
  <c r="AR36"/>
  <c r="AT36"/>
  <c r="AU36"/>
  <c r="AV36"/>
  <c r="AW36"/>
  <c r="AX36"/>
  <c r="AZ36"/>
  <c r="AD34"/>
  <c r="AL34"/>
  <c r="AO34"/>
  <c r="AS34"/>
  <c r="AU34"/>
  <c r="AY34"/>
  <c r="AD32"/>
  <c r="AF32"/>
  <c r="AM32"/>
  <c r="AY32"/>
  <c r="AD30"/>
  <c r="AI30"/>
  <c r="AJ30"/>
  <c r="AK30"/>
  <c r="AN30"/>
  <c r="AP30"/>
  <c r="AQ30"/>
  <c r="AR30"/>
  <c r="AS30"/>
  <c r="AT30"/>
  <c r="AW30"/>
  <c r="AX30"/>
  <c r="AY30"/>
  <c r="AZ30"/>
  <c r="AD28"/>
  <c r="AI28"/>
  <c r="AM28"/>
  <c r="AO28"/>
  <c r="AQ28"/>
  <c r="AT28"/>
  <c r="AW28"/>
  <c r="AX28"/>
  <c r="AY28"/>
  <c r="AZ28"/>
  <c r="AD26"/>
  <c r="AJ26"/>
  <c r="AK26"/>
  <c r="AL26"/>
  <c r="AN26"/>
  <c r="AP26"/>
  <c r="AQ26"/>
  <c r="AR26"/>
  <c r="AS26"/>
  <c r="AT26"/>
  <c r="AW26"/>
  <c r="AX26"/>
  <c r="AY26"/>
  <c r="AZ26"/>
  <c r="AD24"/>
  <c r="AP24"/>
  <c r="AW24"/>
  <c r="AY24"/>
  <c r="AD22"/>
  <c r="AI22"/>
  <c r="AM22"/>
  <c r="AS22"/>
  <c r="AD20"/>
  <c r="AJ20"/>
  <c r="AQ20"/>
  <c r="AT20"/>
  <c r="AU20"/>
  <c r="AV20"/>
  <c r="AX20"/>
  <c r="AD18"/>
  <c r="AF18"/>
  <c r="AI18"/>
  <c r="AM18"/>
  <c r="AP18"/>
  <c r="AR18"/>
  <c r="AS18"/>
  <c r="AU18"/>
  <c r="AW18"/>
  <c r="AY18"/>
  <c r="AZ18"/>
  <c r="AD16"/>
  <c r="AM16"/>
  <c r="AU16"/>
  <c r="AW16"/>
  <c r="AY16"/>
  <c r="AZ16"/>
  <c r="AD14"/>
  <c r="AO14"/>
  <c r="AP14"/>
  <c r="AX14"/>
  <c r="AD12"/>
  <c r="AK12"/>
  <c r="AQ12"/>
  <c r="AT12"/>
  <c r="AU12"/>
  <c r="AV12"/>
  <c r="AD10"/>
  <c r="AJ10"/>
  <c r="AN10"/>
  <c r="AT10"/>
  <c r="AV10"/>
  <c r="AD8"/>
  <c r="AL8"/>
  <c r="AM8"/>
  <c r="AO8"/>
  <c r="AP8"/>
  <c r="AQ8"/>
  <c r="AT8"/>
  <c r="AU8"/>
  <c r="AV8"/>
  <c r="AD6"/>
  <c r="AJ6"/>
  <c r="AV6"/>
  <c r="AH188"/>
  <c r="AQ188"/>
  <c r="AV188"/>
  <c r="AX188"/>
  <c r="AY188"/>
  <c r="AZ188"/>
  <c r="AJ90"/>
  <c r="AX90"/>
  <c r="AL179"/>
  <c r="AS87"/>
  <c r="AV179"/>
  <c r="AV87"/>
  <c r="AX179"/>
  <c r="AX87"/>
  <c r="AY87"/>
  <c r="AZ179"/>
  <c r="AH175"/>
  <c r="AV83"/>
  <c r="AX83"/>
  <c r="AY83"/>
  <c r="AV79"/>
  <c r="AW79"/>
  <c r="AX79"/>
  <c r="AY171"/>
  <c r="AY79"/>
  <c r="H49" i="11"/>
  <c r="H50"/>
  <c r="J46"/>
  <c r="I48"/>
  <c r="AJ139" i="18"/>
  <c r="AJ131"/>
  <c r="AJ53"/>
  <c r="AJ44"/>
  <c r="AJ28"/>
  <c r="AJ18"/>
  <c r="AI137"/>
  <c r="AI48"/>
  <c r="AI34"/>
  <c r="AI26"/>
  <c r="AI16"/>
  <c r="AH179"/>
  <c r="AG36"/>
  <c r="AF46"/>
  <c r="AF38"/>
  <c r="AF36"/>
  <c r="AF34"/>
  <c r="H52" i="11"/>
  <c r="AM91" i="18"/>
  <c r="AM183"/>
  <c r="AJ183"/>
  <c r="AI91"/>
  <c r="AI183"/>
  <c r="AJ88"/>
  <c r="AH156" s="1"/>
  <c r="AM179"/>
  <c r="AI173"/>
  <c r="AH81"/>
  <c r="AL138"/>
  <c r="AK136"/>
  <c r="AK47"/>
  <c r="AY42"/>
  <c r="AW42"/>
  <c r="AO42"/>
  <c r="AM69"/>
  <c r="AI42"/>
  <c r="AF33"/>
  <c r="CH32"/>
  <c r="BZ32"/>
  <c r="BY32"/>
  <c r="BV32"/>
  <c r="BR32"/>
  <c r="BP32"/>
  <c r="BN32"/>
  <c r="BL32"/>
  <c r="BK32"/>
  <c r="BJ32"/>
  <c r="BI32"/>
  <c r="BG32"/>
  <c r="BF32"/>
  <c r="BA32"/>
  <c r="AZ32"/>
  <c r="AX32"/>
  <c r="AW32"/>
  <c r="AU32"/>
  <c r="AT32"/>
  <c r="AR32"/>
  <c r="AQ32"/>
  <c r="AO32"/>
  <c r="AN32"/>
  <c r="AL32"/>
  <c r="AK32"/>
  <c r="AJ32"/>
  <c r="AE32"/>
  <c r="AE39"/>
  <c r="AH91"/>
  <c r="AH86"/>
  <c r="AK134"/>
  <c r="AJ130"/>
  <c r="AG41"/>
  <c r="AG40"/>
  <c r="AE40"/>
  <c r="BV69"/>
  <c r="BV38"/>
  <c r="BU38"/>
  <c r="BS38"/>
  <c r="BQ38"/>
  <c r="BP69"/>
  <c r="BO69"/>
  <c r="BN69"/>
  <c r="BO38"/>
  <c r="BK38"/>
  <c r="BJ69"/>
  <c r="BH38"/>
  <c r="BF69"/>
  <c r="BD38"/>
  <c r="BC38"/>
  <c r="BB38"/>
  <c r="BA38"/>
  <c r="AZ38"/>
  <c r="AY38"/>
  <c r="AX38"/>
  <c r="AW69"/>
  <c r="AW38"/>
  <c r="AT38"/>
  <c r="AS38"/>
  <c r="AQ38"/>
  <c r="AP38"/>
  <c r="AO38"/>
  <c r="AM38"/>
  <c r="AI38"/>
  <c r="AH38"/>
  <c r="AG38"/>
  <c r="AK37"/>
  <c r="AJ35"/>
  <c r="CI68"/>
  <c r="CH68"/>
  <c r="CE68"/>
  <c r="CD68"/>
  <c r="CA68"/>
  <c r="BZ68"/>
  <c r="CK22"/>
  <c r="CI22"/>
  <c r="CH22"/>
  <c r="CG22"/>
  <c r="CF22"/>
  <c r="CD22"/>
  <c r="CC22"/>
  <c r="CA22"/>
  <c r="BZ22"/>
  <c r="BW22"/>
  <c r="BV68"/>
  <c r="BU68"/>
  <c r="BV22"/>
  <c r="BU22"/>
  <c r="BR68"/>
  <c r="BS22"/>
  <c r="BR22"/>
  <c r="BQ22"/>
  <c r="BO22"/>
  <c r="BN22"/>
  <c r="BL22"/>
  <c r="BH22"/>
  <c r="BF22"/>
  <c r="BE22"/>
  <c r="BB22"/>
  <c r="BA22"/>
  <c r="AY22"/>
  <c r="AX22"/>
  <c r="AW22"/>
  <c r="AV22"/>
  <c r="AU22"/>
  <c r="AQ22"/>
  <c r="AP22"/>
  <c r="AO22"/>
  <c r="AK22"/>
  <c r="AE22"/>
  <c r="AV14"/>
  <c r="AT14"/>
  <c r="AS14"/>
  <c r="AR14"/>
  <c r="AQ14"/>
  <c r="AM14"/>
  <c r="AH14"/>
  <c r="AN9"/>
  <c r="AM9"/>
  <c r="AH95"/>
  <c r="AH88"/>
  <c r="AH180"/>
  <c r="AG81"/>
  <c r="AI138"/>
  <c r="AJ136"/>
  <c r="AJ133"/>
  <c r="AL132"/>
  <c r="AK132"/>
  <c r="AJ128"/>
  <c r="AG39"/>
  <c r="AI37"/>
  <c r="AH37"/>
  <c r="AJ33"/>
  <c r="AG31"/>
  <c r="AG9"/>
  <c r="AI88"/>
  <c r="AH178"/>
  <c r="AH173"/>
  <c r="AG173"/>
  <c r="AI136"/>
  <c r="AI134"/>
  <c r="AJ132"/>
  <c r="AI130"/>
  <c r="AK128"/>
  <c r="AI126"/>
  <c r="AF126"/>
  <c r="AH45"/>
  <c r="AG45"/>
  <c r="AH39"/>
  <c r="AI35"/>
  <c r="AH31"/>
  <c r="AE31"/>
  <c r="CK24"/>
  <c r="CJ24"/>
  <c r="CF24"/>
  <c r="CE24"/>
  <c r="CC24"/>
  <c r="CB24"/>
  <c r="BW68"/>
  <c r="BX24"/>
  <c r="BU24"/>
  <c r="BT24"/>
  <c r="BQ24"/>
  <c r="BP24"/>
  <c r="BL68"/>
  <c r="BM24"/>
  <c r="BL24"/>
  <c r="BI24"/>
  <c r="BH24"/>
  <c r="BG24"/>
  <c r="BE24"/>
  <c r="BC24"/>
  <c r="BA24"/>
  <c r="AZ24"/>
  <c r="AV24"/>
  <c r="AT24"/>
  <c r="AR24"/>
  <c r="AO24"/>
  <c r="AM24"/>
  <c r="AL24"/>
  <c r="AK24"/>
  <c r="AJ24"/>
  <c r="AI24"/>
  <c r="AG21"/>
  <c r="AG17"/>
  <c r="AL7"/>
  <c r="CI6"/>
  <c r="CH6"/>
  <c r="CG6"/>
  <c r="CF6"/>
  <c r="CA6"/>
  <c r="BZ6"/>
  <c r="BX6"/>
  <c r="BW6"/>
  <c r="BV6"/>
  <c r="BU6"/>
  <c r="BR6"/>
  <c r="BM6"/>
  <c r="BL6"/>
  <c r="BK6"/>
  <c r="BJ6"/>
  <c r="BI6"/>
  <c r="BH6"/>
  <c r="BG6"/>
  <c r="BF6"/>
  <c r="BE6"/>
  <c r="AZ6"/>
  <c r="AY6"/>
  <c r="AX6"/>
  <c r="AW6"/>
  <c r="AU6"/>
  <c r="AT6"/>
  <c r="AS6"/>
  <c r="AR6"/>
  <c r="AO6"/>
  <c r="AM6"/>
  <c r="AL6"/>
  <c r="AK6"/>
  <c r="AH187"/>
  <c r="AH183"/>
  <c r="AD81"/>
  <c r="AH133"/>
  <c r="AI132"/>
  <c r="AH50"/>
  <c r="AG47"/>
  <c r="AN11"/>
  <c r="AL9"/>
  <c r="AI9"/>
  <c r="AC119"/>
  <c r="AE96"/>
  <c r="AH96"/>
  <c r="AI96"/>
  <c r="AJ188"/>
  <c r="AJ96"/>
  <c r="AK188"/>
  <c r="AK96"/>
  <c r="AL188"/>
  <c r="AL96"/>
  <c r="AN188"/>
  <c r="AO188"/>
  <c r="AO96"/>
  <c r="AP96"/>
  <c r="AQ96"/>
  <c r="AR96"/>
  <c r="AS96"/>
  <c r="AC117"/>
  <c r="AI94"/>
  <c r="AJ186"/>
  <c r="AK186"/>
  <c r="AK94"/>
  <c r="AL186"/>
  <c r="AL94"/>
  <c r="AP94"/>
  <c r="AS94"/>
  <c r="AC113"/>
  <c r="BH113" s="1"/>
  <c r="AI90"/>
  <c r="AJ182"/>
  <c r="AL90"/>
  <c r="AP90"/>
  <c r="AQ182"/>
  <c r="AT90"/>
  <c r="AC110"/>
  <c r="AE110" s="1"/>
  <c r="AH87"/>
  <c r="AI87"/>
  <c r="AL87"/>
  <c r="AO179"/>
  <c r="AP87"/>
  <c r="AQ179"/>
  <c r="AQ87"/>
  <c r="AR87"/>
  <c r="AT179"/>
  <c r="AT87"/>
  <c r="AC106"/>
  <c r="AI83"/>
  <c r="AL83"/>
  <c r="AO175"/>
  <c r="AP83"/>
  <c r="AQ83"/>
  <c r="AR83"/>
  <c r="AT175"/>
  <c r="AT83"/>
  <c r="AC102"/>
  <c r="AL79"/>
  <c r="AO171"/>
  <c r="AS171"/>
  <c r="AT171"/>
  <c r="AD139"/>
  <c r="AH139"/>
  <c r="AL139"/>
  <c r="AM139"/>
  <c r="AN139"/>
  <c r="AQ139"/>
  <c r="AR139"/>
  <c r="AT139"/>
  <c r="AD137"/>
  <c r="AJ137"/>
  <c r="AL137"/>
  <c r="AM137"/>
  <c r="AN137"/>
  <c r="AQ137"/>
  <c r="AR137"/>
  <c r="AT137"/>
  <c r="AD135"/>
  <c r="AG135"/>
  <c r="AH135"/>
  <c r="AL135"/>
  <c r="AR135"/>
  <c r="AT135"/>
  <c r="AD133"/>
  <c r="AI133"/>
  <c r="AK133"/>
  <c r="AL133"/>
  <c r="AO133"/>
  <c r="AP133"/>
  <c r="AR133"/>
  <c r="AT133"/>
  <c r="AD131"/>
  <c r="AH131"/>
  <c r="AI131"/>
  <c r="AK131"/>
  <c r="AL131"/>
  <c r="AO131"/>
  <c r="AP131"/>
  <c r="AR131"/>
  <c r="AT131"/>
  <c r="AD129"/>
  <c r="AG129"/>
  <c r="AI129"/>
  <c r="AK129"/>
  <c r="AL129"/>
  <c r="AO129"/>
  <c r="AP129"/>
  <c r="AR129"/>
  <c r="AT129"/>
  <c r="AD127"/>
  <c r="AH127"/>
  <c r="AK127"/>
  <c r="AL127"/>
  <c r="AO127"/>
  <c r="AP127"/>
  <c r="AR127"/>
  <c r="AT127"/>
  <c r="AD125"/>
  <c r="AG125"/>
  <c r="AT125"/>
  <c r="AD66"/>
  <c r="AF66"/>
  <c r="AI66"/>
  <c r="AM66"/>
  <c r="AP66"/>
  <c r="AQ66"/>
  <c r="AR66"/>
  <c r="AS66"/>
  <c r="AT66"/>
  <c r="AD52"/>
  <c r="AO52"/>
  <c r="AQ52"/>
  <c r="AS52"/>
  <c r="AT52"/>
  <c r="AD50"/>
  <c r="AS50"/>
  <c r="AT50"/>
  <c r="AD47"/>
  <c r="AJ47"/>
  <c r="AM47"/>
  <c r="AN47"/>
  <c r="AP47"/>
  <c r="AS47"/>
  <c r="AT47"/>
  <c r="AD45"/>
  <c r="AI45"/>
  <c r="AJ45"/>
  <c r="AM45"/>
  <c r="AN45"/>
  <c r="AP45"/>
  <c r="AS45"/>
  <c r="AT45"/>
  <c r="AD43"/>
  <c r="AF43"/>
  <c r="AG43"/>
  <c r="AI43"/>
  <c r="AJ43"/>
  <c r="AM43"/>
  <c r="AN43"/>
  <c r="AP43"/>
  <c r="AS43"/>
  <c r="AT43"/>
  <c r="AD41"/>
  <c r="AH41"/>
  <c r="AI41"/>
  <c r="AN41"/>
  <c r="AT41"/>
  <c r="AD39"/>
  <c r="AN39"/>
  <c r="AT39"/>
  <c r="AD37"/>
  <c r="AN37"/>
  <c r="AT37"/>
  <c r="AD35"/>
  <c r="AN35"/>
  <c r="AD33"/>
  <c r="AG33"/>
  <c r="AH33"/>
  <c r="AK33"/>
  <c r="AL33"/>
  <c r="AM33"/>
  <c r="AN33"/>
  <c r="AO33"/>
  <c r="AR33"/>
  <c r="AS33"/>
  <c r="AD31"/>
  <c r="AK31"/>
  <c r="AM31"/>
  <c r="AN31"/>
  <c r="AO31"/>
  <c r="AR31"/>
  <c r="AS31"/>
  <c r="AD29"/>
  <c r="AF29"/>
  <c r="AG29"/>
  <c r="AJ29"/>
  <c r="AK29"/>
  <c r="AM29"/>
  <c r="AN29"/>
  <c r="AO29"/>
  <c r="AP29"/>
  <c r="AR29"/>
  <c r="AS29"/>
  <c r="AD27"/>
  <c r="AJ27"/>
  <c r="AM27"/>
  <c r="AN27"/>
  <c r="AD25"/>
  <c r="AF25"/>
  <c r="AH25"/>
  <c r="AI25"/>
  <c r="AJ25"/>
  <c r="AL25"/>
  <c r="AM25"/>
  <c r="AD23"/>
  <c r="AG23"/>
  <c r="AI23"/>
  <c r="AJ23"/>
  <c r="AK23"/>
  <c r="AL23"/>
  <c r="AM23"/>
  <c r="AQ23"/>
  <c r="AS23"/>
  <c r="AT23"/>
  <c r="AD21"/>
  <c r="AH21"/>
  <c r="AI21"/>
  <c r="AJ21"/>
  <c r="AK21"/>
  <c r="AL21"/>
  <c r="AM21"/>
  <c r="AQ21"/>
  <c r="AS21"/>
  <c r="AT21"/>
  <c r="AD19"/>
  <c r="AG19"/>
  <c r="AI19"/>
  <c r="AJ19"/>
  <c r="AK19"/>
  <c r="AS19"/>
  <c r="AD17"/>
  <c r="AH17"/>
  <c r="AI17"/>
  <c r="AJ17"/>
  <c r="AP17"/>
  <c r="AR17"/>
  <c r="AS17"/>
  <c r="AD15"/>
  <c r="AG15"/>
  <c r="AP15"/>
  <c r="AD13"/>
  <c r="AL13"/>
  <c r="AM13"/>
  <c r="AQ13"/>
  <c r="AU13"/>
  <c r="AD11"/>
  <c r="AE11"/>
  <c r="AI11"/>
  <c r="AK11"/>
  <c r="AL11"/>
  <c r="AO11"/>
  <c r="AP11"/>
  <c r="AQ11"/>
  <c r="AU11"/>
  <c r="AD9"/>
  <c r="AF9"/>
  <c r="AH9"/>
  <c r="AJ9"/>
  <c r="AK9"/>
  <c r="AO9"/>
  <c r="AP9"/>
  <c r="AQ9"/>
  <c r="AU9"/>
  <c r="AD7"/>
  <c r="AE7"/>
  <c r="AO7"/>
  <c r="AP7"/>
  <c r="AQ7"/>
  <c r="AU7"/>
  <c r="AD5"/>
  <c r="AP5"/>
  <c r="AY96"/>
  <c r="AY94"/>
  <c r="AY182"/>
  <c r="AY179"/>
  <c r="AX96"/>
  <c r="AX171"/>
  <c r="AW96"/>
  <c r="AW87"/>
  <c r="AW188"/>
  <c r="AW179"/>
  <c r="AW175"/>
  <c r="AW171"/>
  <c r="AV96"/>
  <c r="AV94"/>
  <c r="AV171"/>
  <c r="AU96"/>
  <c r="AU87"/>
  <c r="AU83"/>
  <c r="AU79"/>
  <c r="AU188"/>
  <c r="AU186"/>
  <c r="AU182"/>
  <c r="AU179"/>
  <c r="AT96"/>
  <c r="AT188"/>
  <c r="AT186"/>
  <c r="AS188"/>
  <c r="AS179"/>
  <c r="AP188"/>
  <c r="AP179"/>
  <c r="AP175"/>
  <c r="AO90"/>
  <c r="AO87"/>
  <c r="AO83"/>
  <c r="AN182"/>
  <c r="AN179"/>
  <c r="AN175"/>
  <c r="AN171"/>
  <c r="AM96"/>
  <c r="AM87"/>
  <c r="AM83"/>
  <c r="AJ175"/>
  <c r="AJ171"/>
  <c r="AI188"/>
  <c r="AF96"/>
  <c r="AF94"/>
  <c r="CV186"/>
  <c r="CT186"/>
  <c r="CR186"/>
  <c r="CP186"/>
  <c r="CN186"/>
  <c r="CL186"/>
  <c r="CV94"/>
  <c r="CT94"/>
  <c r="CR94"/>
  <c r="CP94"/>
  <c r="CN94"/>
  <c r="CL94"/>
  <c r="CK94"/>
  <c r="CJ94"/>
  <c r="CG94"/>
  <c r="CF94"/>
  <c r="CC94"/>
  <c r="CB94"/>
  <c r="CK186"/>
  <c r="CJ186"/>
  <c r="CG186"/>
  <c r="CF186"/>
  <c r="CC186"/>
  <c r="CB186"/>
  <c r="CK117"/>
  <c r="CJ117"/>
  <c r="CI117"/>
  <c r="CH117"/>
  <c r="CG117"/>
  <c r="CF117"/>
  <c r="CE117"/>
  <c r="CD117"/>
  <c r="CC117"/>
  <c r="CB117"/>
  <c r="CA117"/>
  <c r="BZ117"/>
  <c r="BY94"/>
  <c r="BX94"/>
  <c r="BX186"/>
  <c r="BW186"/>
  <c r="BY117"/>
  <c r="BW117"/>
  <c r="BU94"/>
  <c r="BT94"/>
  <c r="BV186"/>
  <c r="BU117"/>
  <c r="BT117"/>
  <c r="BS94"/>
  <c r="BQ94"/>
  <c r="BR186"/>
  <c r="BQ186"/>
  <c r="BS117"/>
  <c r="BQ117"/>
  <c r="BP94"/>
  <c r="BO94"/>
  <c r="BO186"/>
  <c r="BM94"/>
  <c r="BM186"/>
  <c r="BL186"/>
  <c r="BM117"/>
  <c r="BI94"/>
  <c r="BH94"/>
  <c r="BJ186"/>
  <c r="BI186"/>
  <c r="BI117"/>
  <c r="BF94"/>
  <c r="BE94"/>
  <c r="BG186"/>
  <c r="BF186"/>
  <c r="BE186"/>
  <c r="BD94"/>
  <c r="BC94"/>
  <c r="BC186"/>
  <c r="BB186"/>
  <c r="BB117"/>
  <c r="BA186"/>
  <c r="BA117"/>
  <c r="AZ94"/>
  <c r="AZ186"/>
  <c r="AY186"/>
  <c r="AY117"/>
  <c r="AX94"/>
  <c r="AX186"/>
  <c r="AX117"/>
  <c r="AW94"/>
  <c r="AW186"/>
  <c r="AW117"/>
  <c r="AV186"/>
  <c r="AV117"/>
  <c r="AU94"/>
  <c r="AS117"/>
  <c r="AQ94"/>
  <c r="AQ186"/>
  <c r="AO186"/>
  <c r="AO117"/>
  <c r="AN94"/>
  <c r="AH94"/>
  <c r="AH186"/>
  <c r="AG183"/>
  <c r="AG88"/>
  <c r="AI128"/>
  <c r="AF44"/>
  <c r="AF41"/>
  <c r="AH34"/>
  <c r="AG30"/>
  <c r="AH24"/>
  <c r="AL10"/>
  <c r="AG95"/>
  <c r="AP52"/>
  <c r="AL52"/>
  <c r="AK52"/>
  <c r="AI52"/>
  <c r="AH52"/>
  <c r="AG52"/>
  <c r="AF52"/>
  <c r="AN50"/>
  <c r="AG34"/>
  <c r="AH30"/>
  <c r="AH26"/>
  <c r="AL20"/>
  <c r="AF6"/>
  <c r="AN163"/>
  <c r="AF88"/>
  <c r="AJ87"/>
  <c r="AJ179"/>
  <c r="AI179"/>
  <c r="AF87"/>
  <c r="AE87"/>
  <c r="AF79"/>
  <c r="AG32"/>
  <c r="AF30"/>
  <c r="AG26"/>
  <c r="AF23"/>
  <c r="AH18"/>
  <c r="AG91"/>
  <c r="AH28"/>
  <c r="BJ25"/>
  <c r="BH25"/>
  <c r="BG25"/>
  <c r="BF25"/>
  <c r="BB25"/>
  <c r="BA25"/>
  <c r="AX25"/>
  <c r="AV25"/>
  <c r="AT25"/>
  <c r="AS25"/>
  <c r="AQ25"/>
  <c r="AN25"/>
  <c r="AK25"/>
  <c r="AG24"/>
  <c r="AH20"/>
  <c r="AL16"/>
  <c r="AH13"/>
  <c r="AG13"/>
  <c r="AG187"/>
  <c r="AH32"/>
  <c r="AZ68"/>
  <c r="AZ19"/>
  <c r="AY68"/>
  <c r="AY19"/>
  <c r="AX19"/>
  <c r="AW19"/>
  <c r="AV19"/>
  <c r="AU68"/>
  <c r="AT19"/>
  <c r="AR19"/>
  <c r="AQ19"/>
  <c r="AP19"/>
  <c r="AN68"/>
  <c r="AM19"/>
  <c r="AJ68"/>
  <c r="AK18"/>
  <c r="AL14"/>
  <c r="AG180"/>
  <c r="AF81"/>
  <c r="BM42"/>
  <c r="BL42"/>
  <c r="BK42"/>
  <c r="BH69"/>
  <c r="BJ42"/>
  <c r="BH42"/>
  <c r="BG69"/>
  <c r="BE69"/>
  <c r="BD42"/>
  <c r="BA42"/>
  <c r="AS42"/>
  <c r="AP42"/>
  <c r="AM42"/>
  <c r="AJ42"/>
  <c r="AH42"/>
  <c r="AI40"/>
  <c r="AH36"/>
  <c r="AH29"/>
  <c r="AG22"/>
  <c r="AK14"/>
  <c r="AJ14"/>
  <c r="AI12"/>
  <c r="AH10"/>
  <c r="AF5"/>
  <c r="AF91"/>
  <c r="AF180"/>
  <c r="AE180"/>
  <c r="AF173"/>
  <c r="AW147"/>
  <c r="AH53"/>
  <c r="AH48"/>
  <c r="AG28"/>
  <c r="AG20"/>
  <c r="AW163"/>
  <c r="AW155"/>
  <c r="AU117"/>
  <c r="AT94"/>
  <c r="AS186"/>
  <c r="AR94"/>
  <c r="AR186"/>
  <c r="AR117"/>
  <c r="AQ117"/>
  <c r="AP186"/>
  <c r="AO94"/>
  <c r="AN186"/>
  <c r="AN117"/>
  <c r="AM94"/>
  <c r="AM186"/>
  <c r="AJ94"/>
  <c r="AI186"/>
  <c r="AE94"/>
  <c r="AE86"/>
  <c r="AE81"/>
  <c r="AJ138"/>
  <c r="AQ135"/>
  <c r="AP135"/>
  <c r="AO135"/>
  <c r="AN135"/>
  <c r="AM135"/>
  <c r="AK135"/>
  <c r="AJ135"/>
  <c r="AI135"/>
  <c r="AH51"/>
  <c r="AH44"/>
  <c r="AH40"/>
  <c r="AI32"/>
  <c r="AF28"/>
  <c r="AJ16"/>
  <c r="BH15"/>
  <c r="BD68"/>
  <c r="BC68"/>
  <c r="BB68"/>
  <c r="BD15"/>
  <c r="AU15"/>
  <c r="AQ15"/>
  <c r="AO15"/>
  <c r="AL15"/>
  <c r="AI15"/>
  <c r="AG14"/>
  <c r="AI10"/>
  <c r="AK8"/>
  <c r="AE95"/>
  <c r="AF183"/>
  <c r="CL98"/>
  <c r="CL190"/>
  <c r="CW175"/>
  <c r="CU175"/>
  <c r="CS175"/>
  <c r="CQ175"/>
  <c r="CO175"/>
  <c r="CM175"/>
  <c r="CW83"/>
  <c r="CU83"/>
  <c r="CU98" s="1"/>
  <c r="CS83"/>
  <c r="CQ83"/>
  <c r="CO83"/>
  <c r="CM83"/>
  <c r="CK83"/>
  <c r="CI83"/>
  <c r="CG83"/>
  <c r="CE83"/>
  <c r="CC83"/>
  <c r="CA83"/>
  <c r="CK175"/>
  <c r="CI175"/>
  <c r="CG175"/>
  <c r="CE175"/>
  <c r="CC175"/>
  <c r="CA175"/>
  <c r="BY83"/>
  <c r="BW83"/>
  <c r="BX175"/>
  <c r="BY106"/>
  <c r="BX106"/>
  <c r="BW106"/>
  <c r="BU83"/>
  <c r="BU175"/>
  <c r="BT106"/>
  <c r="BS83"/>
  <c r="BQ175"/>
  <c r="BS106"/>
  <c r="BP83"/>
  <c r="BO83"/>
  <c r="BP175"/>
  <c r="BO106"/>
  <c r="BN106"/>
  <c r="BK83"/>
  <c r="BM175"/>
  <c r="BL175"/>
  <c r="BK106"/>
  <c r="BH83"/>
  <c r="BJ175"/>
  <c r="BI175"/>
  <c r="BH175"/>
  <c r="BJ106"/>
  <c r="BH106"/>
  <c r="BE175"/>
  <c r="BF106"/>
  <c r="BD83"/>
  <c r="BC83"/>
  <c r="BB83"/>
  <c r="BD106"/>
  <c r="BC106"/>
  <c r="BA175"/>
  <c r="BA106"/>
  <c r="AZ83"/>
  <c r="AZ175"/>
  <c r="AY175"/>
  <c r="AY106"/>
  <c r="AX175"/>
  <c r="AX106"/>
  <c r="AW83"/>
  <c r="AV175"/>
  <c r="AU175"/>
  <c r="AS83"/>
  <c r="AS175"/>
  <c r="AQ175"/>
  <c r="AL175"/>
  <c r="AI175"/>
  <c r="AH83"/>
  <c r="AF83"/>
  <c r="AE83"/>
  <c r="AE173"/>
  <c r="AF138"/>
  <c r="AF136"/>
  <c r="AE130"/>
  <c r="AF128"/>
  <c r="AE128"/>
  <c r="AG53"/>
  <c r="AS27"/>
  <c r="AR27"/>
  <c r="AP68"/>
  <c r="AP27"/>
  <c r="AO27"/>
  <c r="AL27"/>
  <c r="AK27"/>
  <c r="AI27"/>
  <c r="AH27"/>
  <c r="AG27"/>
  <c r="AF26"/>
  <c r="AE12"/>
  <c r="AG6"/>
  <c r="AD91"/>
  <c r="CU190"/>
  <c r="AU102"/>
  <c r="AT79"/>
  <c r="AS79"/>
  <c r="AS102"/>
  <c r="AR79"/>
  <c r="AQ79"/>
  <c r="AQ171"/>
  <c r="AP79"/>
  <c r="AP171"/>
  <c r="AO79"/>
  <c r="AN79"/>
  <c r="AN102"/>
  <c r="AM79"/>
  <c r="AL171"/>
  <c r="AL102"/>
  <c r="AK79"/>
  <c r="AJ79"/>
  <c r="AI79"/>
  <c r="AI171"/>
  <c r="AH79"/>
  <c r="AH171"/>
  <c r="AE79"/>
  <c r="AG131"/>
  <c r="AI47"/>
  <c r="AH47"/>
  <c r="AG44"/>
  <c r="AP31"/>
  <c r="AL31"/>
  <c r="AK68"/>
  <c r="AJ31"/>
  <c r="AI31"/>
  <c r="AH22"/>
  <c r="AG18"/>
  <c r="AH16"/>
  <c r="AG16"/>
  <c r="AF16"/>
  <c r="CK68"/>
  <c r="CJ68"/>
  <c r="CG68"/>
  <c r="CF68"/>
  <c r="CC68"/>
  <c r="CB68"/>
  <c r="CJ15"/>
  <c r="CF15"/>
  <c r="CB15"/>
  <c r="BY68"/>
  <c r="BX68"/>
  <c r="BY15"/>
  <c r="BW15"/>
  <c r="BT68"/>
  <c r="BU15"/>
  <c r="BS68"/>
  <c r="BQ68"/>
  <c r="BS15"/>
  <c r="BR15"/>
  <c r="BQ15"/>
  <c r="BP68"/>
  <c r="BO68"/>
  <c r="BN68"/>
  <c r="BN15"/>
  <c r="BM68"/>
  <c r="BK68"/>
  <c r="BM15"/>
  <c r="BL15"/>
  <c r="BH68"/>
  <c r="BI15"/>
  <c r="BG68"/>
  <c r="BF68"/>
  <c r="BE68"/>
  <c r="BG15"/>
  <c r="BE15"/>
  <c r="BC15"/>
  <c r="BB15"/>
  <c r="BA68"/>
  <c r="BA15"/>
  <c r="AZ15"/>
  <c r="AY15"/>
  <c r="AX68"/>
  <c r="AX15"/>
  <c r="AW68"/>
  <c r="AW15"/>
  <c r="AV68"/>
  <c r="AT68"/>
  <c r="AT15"/>
  <c r="AS68"/>
  <c r="AS15"/>
  <c r="AR68"/>
  <c r="AR15"/>
  <c r="AQ68"/>
  <c r="AO68"/>
  <c r="AM68"/>
  <c r="AM15"/>
  <c r="AL68"/>
  <c r="AK15"/>
  <c r="AJ15"/>
  <c r="AH15"/>
  <c r="AF68"/>
  <c r="AF15"/>
  <c r="AE68"/>
  <c r="AI68"/>
  <c r="AI14"/>
  <c r="AH68"/>
  <c r="AG68"/>
  <c r="AJ11"/>
  <c r="AH11"/>
  <c r="AF11"/>
  <c r="AE10"/>
  <c r="AJ8"/>
  <c r="AI8"/>
  <c r="AH8"/>
  <c r="AI7"/>
  <c r="AG7"/>
  <c r="AW164"/>
  <c r="AQ164"/>
  <c r="AF187"/>
  <c r="AT163"/>
  <c r="AW162"/>
  <c r="AQ162"/>
  <c r="AE91"/>
  <c r="AE183"/>
  <c r="AD183"/>
  <c r="AQ156"/>
  <c r="AE88"/>
  <c r="AD88"/>
  <c r="AD180"/>
  <c r="AW156"/>
  <c r="AQ154"/>
  <c r="AE178"/>
  <c r="AD178"/>
  <c r="AW154"/>
  <c r="AT154"/>
  <c r="CT190"/>
  <c r="CP190"/>
  <c r="CT98"/>
  <c r="CP98"/>
  <c r="AW149"/>
  <c r="AT149"/>
  <c r="AD173"/>
  <c r="AQ149"/>
  <c r="AG139"/>
  <c r="AE138"/>
  <c r="AE136"/>
  <c r="AF134"/>
  <c r="AE134"/>
  <c r="AF132"/>
  <c r="AF130"/>
  <c r="AE126"/>
  <c r="AG51"/>
  <c r="BG50"/>
  <c r="BC69"/>
  <c r="BC50"/>
  <c r="BB50"/>
  <c r="BA69"/>
  <c r="BA50"/>
  <c r="AZ50"/>
  <c r="AY69"/>
  <c r="AW50"/>
  <c r="AV50"/>
  <c r="AQ50"/>
  <c r="AP69"/>
  <c r="AP50"/>
  <c r="AO50"/>
  <c r="AM50"/>
  <c r="AL50"/>
  <c r="AK50"/>
  <c r="AJ50"/>
  <c r="AI50"/>
  <c r="AF50"/>
  <c r="AG42"/>
  <c r="CJ69"/>
  <c r="CH69"/>
  <c r="CF69"/>
  <c r="CD69"/>
  <c r="CB69"/>
  <c r="BZ69"/>
  <c r="CK35"/>
  <c r="CJ35"/>
  <c r="CG35"/>
  <c r="CF35"/>
  <c r="CC35"/>
  <c r="CB35"/>
  <c r="BX69"/>
  <c r="BY35"/>
  <c r="BX35"/>
  <c r="BU69"/>
  <c r="BV35"/>
  <c r="BU35"/>
  <c r="BS69"/>
  <c r="BR69"/>
  <c r="BQ69"/>
  <c r="BQ35"/>
  <c r="BO35"/>
  <c r="BN35"/>
  <c r="BM69"/>
  <c r="BL69"/>
  <c r="BK69"/>
  <c r="BL35"/>
  <c r="BK35"/>
  <c r="BI69"/>
  <c r="BJ35"/>
  <c r="BI35"/>
  <c r="BG35"/>
  <c r="BF35"/>
  <c r="BD69"/>
  <c r="BB69"/>
  <c r="BC35"/>
  <c r="AZ69"/>
  <c r="AZ35"/>
  <c r="AY35"/>
  <c r="AX69"/>
  <c r="AX35"/>
  <c r="AW35"/>
  <c r="AV69"/>
  <c r="AV35"/>
  <c r="AU69"/>
  <c r="AT69"/>
  <c r="AT35"/>
  <c r="AS69"/>
  <c r="AS35"/>
  <c r="AR69"/>
  <c r="AR35"/>
  <c r="AQ69"/>
  <c r="AO69"/>
  <c r="AO35"/>
  <c r="AN69"/>
  <c r="AM35"/>
  <c r="AL69"/>
  <c r="AL35"/>
  <c r="AK69"/>
  <c r="AK35"/>
  <c r="AH69"/>
  <c r="AH35"/>
  <c r="AG69"/>
  <c r="AF69"/>
  <c r="AF14"/>
  <c r="AJ12"/>
  <c r="AE8"/>
  <c r="AI6"/>
  <c r="AH6"/>
  <c r="BG5"/>
  <c r="BF5"/>
  <c r="BD5"/>
  <c r="AZ5"/>
  <c r="AX5"/>
  <c r="AW5"/>
  <c r="AU5"/>
  <c r="AQ5"/>
  <c r="AO5"/>
  <c r="AN5"/>
  <c r="AL5"/>
  <c r="AK5"/>
  <c r="AI5"/>
  <c r="AH5"/>
  <c r="AG5"/>
  <c r="H51" i="11"/>
  <c r="K58"/>
  <c r="I58"/>
  <c r="G58"/>
  <c r="C7" i="9"/>
  <c r="C8"/>
  <c r="D8"/>
  <c r="D9" s="1"/>
  <c r="C9" i="6"/>
  <c r="C11" s="1"/>
  <c r="C21" i="9"/>
  <c r="W6" i="11"/>
  <c r="AG66"/>
  <c r="AG56"/>
  <c r="AH56" s="1"/>
  <c r="L76"/>
  <c r="AG86"/>
  <c r="AG96"/>
  <c r="AH96" s="1"/>
  <c r="I36"/>
  <c r="K16"/>
  <c r="AR125" i="18"/>
  <c r="AP125"/>
  <c r="AO125"/>
  <c r="AN125"/>
  <c r="AN140" s="1"/>
  <c r="M13" i="9" s="1"/>
  <c r="AM125" i="18"/>
  <c r="AL125"/>
  <c r="AK125"/>
  <c r="BH182"/>
  <c r="BE90"/>
  <c r="BE98" s="1"/>
  <c r="BG182"/>
  <c r="BE113"/>
  <c r="BB90"/>
  <c r="BB182"/>
  <c r="AZ182"/>
  <c r="AY90"/>
  <c r="AV182"/>
  <c r="AU90"/>
  <c r="AU113"/>
  <c r="AR182"/>
  <c r="AQ90"/>
  <c r="AQ98" s="1"/>
  <c r="R23" i="9" s="1"/>
  <c r="AO182" i="18"/>
  <c r="AN90"/>
  <c r="AL182"/>
  <c r="AI182"/>
  <c r="AH90"/>
  <c r="AE90"/>
  <c r="AJ86"/>
  <c r="AH154" s="1"/>
  <c r="AI178"/>
  <c r="AG86"/>
  <c r="AG178"/>
  <c r="AF86"/>
  <c r="AF178"/>
  <c r="AD86"/>
  <c r="AF51"/>
  <c r="AE46"/>
  <c r="AE44"/>
  <c r="AF42"/>
  <c r="AF24"/>
  <c r="AF20"/>
  <c r="CK13"/>
  <c r="CI13"/>
  <c r="CG13"/>
  <c r="CE13"/>
  <c r="CC13"/>
  <c r="CA13"/>
  <c r="BY13"/>
  <c r="BW13"/>
  <c r="BV13"/>
  <c r="BT13"/>
  <c r="BS13"/>
  <c r="BQ13"/>
  <c r="BO13"/>
  <c r="BL13"/>
  <c r="BJ13"/>
  <c r="BH13"/>
  <c r="BF13"/>
  <c r="BD13"/>
  <c r="BB13"/>
  <c r="AX13"/>
  <c r="AT13"/>
  <c r="AP13"/>
  <c r="AO13"/>
  <c r="AN13"/>
  <c r="AK13"/>
  <c r="AJ13"/>
  <c r="AI13"/>
  <c r="AF13"/>
  <c r="AF10"/>
  <c r="AG8"/>
  <c r="AE6"/>
  <c r="AE187"/>
  <c r="AD95"/>
  <c r="AD187"/>
  <c r="AF53"/>
  <c r="AE51"/>
  <c r="AF48"/>
  <c r="AE42"/>
  <c r="AF40"/>
  <c r="AE38"/>
  <c r="AE36"/>
  <c r="AE34"/>
  <c r="AE30"/>
  <c r="AE28"/>
  <c r="AE26"/>
  <c r="AE24"/>
  <c r="AF22"/>
  <c r="AE20"/>
  <c r="AF19"/>
  <c r="AE18"/>
  <c r="AE16"/>
  <c r="AE14"/>
  <c r="AP12"/>
  <c r="AO12"/>
  <c r="AN12"/>
  <c r="AM12"/>
  <c r="AH12"/>
  <c r="AG12"/>
  <c r="AF12"/>
  <c r="AG11"/>
  <c r="AG10"/>
  <c r="AF8"/>
  <c r="AZ163"/>
  <c r="AZ151"/>
  <c r="BJ140"/>
  <c r="BH140"/>
  <c r="BI140"/>
  <c r="AE53"/>
  <c r="AE48"/>
  <c r="AD69"/>
  <c r="AJ69"/>
  <c r="AI69"/>
  <c r="AH43"/>
  <c r="AW158"/>
  <c r="AE69"/>
  <c r="AE52"/>
  <c r="AE50"/>
  <c r="AE47"/>
  <c r="AE45"/>
  <c r="AE43"/>
  <c r="AE41"/>
  <c r="AE37"/>
  <c r="AE35"/>
  <c r="AE33"/>
  <c r="AE29"/>
  <c r="AE27"/>
  <c r="AE25"/>
  <c r="AE23"/>
  <c r="AE19"/>
  <c r="AE17"/>
  <c r="AE15"/>
  <c r="AE13"/>
  <c r="AE5"/>
  <c r="AD68"/>
  <c r="AD114"/>
  <c r="AE114"/>
  <c r="AG114"/>
  <c r="AJ114"/>
  <c r="AM114"/>
  <c r="AN114"/>
  <c r="AQ114"/>
  <c r="AR114"/>
  <c r="AS114"/>
  <c r="AU114"/>
  <c r="AV114"/>
  <c r="AW114"/>
  <c r="AY114"/>
  <c r="AZ114"/>
  <c r="BA114"/>
  <c r="BC114"/>
  <c r="BD114"/>
  <c r="BG114"/>
  <c r="BH114"/>
  <c r="BI114"/>
  <c r="BL114"/>
  <c r="BM114"/>
  <c r="BP114"/>
  <c r="BS114"/>
  <c r="BU114"/>
  <c r="BV114"/>
  <c r="BX114"/>
  <c r="CA114"/>
  <c r="CC114"/>
  <c r="CE114"/>
  <c r="CG114"/>
  <c r="CI114"/>
  <c r="CK114"/>
  <c r="AF114"/>
  <c r="AI114"/>
  <c r="AK114"/>
  <c r="AL114"/>
  <c r="AO114"/>
  <c r="AP114"/>
  <c r="AT114"/>
  <c r="AX114"/>
  <c r="BB114"/>
  <c r="BE114"/>
  <c r="BF114"/>
  <c r="BJ114"/>
  <c r="BK114"/>
  <c r="BN114"/>
  <c r="BO114"/>
  <c r="BQ114"/>
  <c r="BR114"/>
  <c r="BT114"/>
  <c r="BW114"/>
  <c r="BY114"/>
  <c r="BZ114"/>
  <c r="CB114"/>
  <c r="CD114"/>
  <c r="CF114"/>
  <c r="CH114"/>
  <c r="CJ114"/>
  <c r="AZ159"/>
  <c r="CS190"/>
  <c r="CQ190"/>
  <c r="CO190"/>
  <c r="CM190"/>
  <c r="CS98"/>
  <c r="CQ98"/>
  <c r="CO98"/>
  <c r="CM98"/>
  <c r="BT113"/>
  <c r="BS90"/>
  <c r="BQ90"/>
  <c r="BR182"/>
  <c r="BR113"/>
  <c r="BO90"/>
  <c r="BP182"/>
  <c r="BN182"/>
  <c r="BO113"/>
  <c r="BL90"/>
  <c r="BL182"/>
  <c r="BM113"/>
  <c r="BK113"/>
  <c r="BI90"/>
  <c r="BI98" s="1"/>
  <c r="BI182"/>
  <c r="BI190" s="1"/>
  <c r="BI113"/>
  <c r="BF90"/>
  <c r="BF182"/>
  <c r="BF113"/>
  <c r="BC90"/>
  <c r="BC98" s="1"/>
  <c r="BC182"/>
  <c r="BC190" s="1"/>
  <c r="BD113"/>
  <c r="BB113"/>
  <c r="BA90"/>
  <c r="BA182"/>
  <c r="BA190" s="1"/>
  <c r="AB30" i="6" s="1"/>
  <c r="BA113" i="18"/>
  <c r="AZ90"/>
  <c r="AX182"/>
  <c r="AX113"/>
  <c r="AW90"/>
  <c r="AW182"/>
  <c r="AW113"/>
  <c r="AV90"/>
  <c r="AT182"/>
  <c r="AT113"/>
  <c r="AS90"/>
  <c r="AS98" s="1"/>
  <c r="T23" i="9" s="1"/>
  <c r="AS182" i="18"/>
  <c r="AS113"/>
  <c r="AR90"/>
  <c r="AP182"/>
  <c r="AP113"/>
  <c r="AN113"/>
  <c r="AM90"/>
  <c r="AM182"/>
  <c r="AM190" s="1"/>
  <c r="L30" i="6" s="1"/>
  <c r="AL113" i="18"/>
  <c r="AK90"/>
  <c r="AK182"/>
  <c r="AK190" s="1"/>
  <c r="J30" i="6" s="1"/>
  <c r="AH182" i="18"/>
  <c r="AF90"/>
  <c r="AZ155"/>
  <c r="AD109"/>
  <c r="AG109"/>
  <c r="AJ109"/>
  <c r="AK109"/>
  <c r="AL109"/>
  <c r="AM109"/>
  <c r="AN109"/>
  <c r="AO109"/>
  <c r="AP109"/>
  <c r="AQ109"/>
  <c r="AR109"/>
  <c r="AS109"/>
  <c r="AT109"/>
  <c r="AU109"/>
  <c r="AV109"/>
  <c r="AW109"/>
  <c r="AX109"/>
  <c r="AY109"/>
  <c r="AZ109"/>
  <c r="BA109"/>
  <c r="BB109"/>
  <c r="BC109"/>
  <c r="BD109"/>
  <c r="BE109"/>
  <c r="BF109"/>
  <c r="BG109"/>
  <c r="BN109"/>
  <c r="BO109"/>
  <c r="BP109"/>
  <c r="BZ109"/>
  <c r="CA109"/>
  <c r="CB109"/>
  <c r="CC109"/>
  <c r="CD109"/>
  <c r="CE109"/>
  <c r="CF109"/>
  <c r="CG109"/>
  <c r="CH109"/>
  <c r="CI109"/>
  <c r="CJ109"/>
  <c r="CK109"/>
  <c r="AE109"/>
  <c r="AF109"/>
  <c r="AI109"/>
  <c r="BH109"/>
  <c r="BI109"/>
  <c r="BJ109"/>
  <c r="BK109"/>
  <c r="BL109"/>
  <c r="BM109"/>
  <c r="BQ109"/>
  <c r="BR109"/>
  <c r="BS109"/>
  <c r="BT109"/>
  <c r="BU109"/>
  <c r="BV109"/>
  <c r="BW109"/>
  <c r="BX109"/>
  <c r="BY109"/>
  <c r="BQ190"/>
  <c r="CF98"/>
  <c r="CD98"/>
  <c r="CB98"/>
  <c r="BX98"/>
  <c r="BV98"/>
  <c r="BT98"/>
  <c r="BM98"/>
  <c r="AX98"/>
  <c r="Y23" i="9" s="1"/>
  <c r="AP98" i="18"/>
  <c r="Q23" i="9" s="1"/>
  <c r="CI98" i="18"/>
  <c r="CA98"/>
  <c r="AZ147"/>
  <c r="AJ140"/>
  <c r="I13" i="9" s="1"/>
  <c r="BC140" i="18"/>
  <c r="AE132"/>
  <c r="BD140"/>
  <c r="BS140"/>
  <c r="BQ140"/>
  <c r="BF140"/>
  <c r="BG140"/>
  <c r="BE140"/>
  <c r="BR140"/>
  <c r="AO140"/>
  <c r="N13" i="9" s="1"/>
  <c r="AD111" i="18"/>
  <c r="AF111"/>
  <c r="AK111"/>
  <c r="AL111"/>
  <c r="AO111"/>
  <c r="BC111"/>
  <c r="BE111"/>
  <c r="BF111"/>
  <c r="BG111"/>
  <c r="BK111"/>
  <c r="BL111"/>
  <c r="BM111"/>
  <c r="BO111"/>
  <c r="BQ111"/>
  <c r="BS111"/>
  <c r="BW111"/>
  <c r="BY111"/>
  <c r="AE111"/>
  <c r="AG111"/>
  <c r="AI111"/>
  <c r="AJ111"/>
  <c r="AM111"/>
  <c r="AN111"/>
  <c r="AP111"/>
  <c r="AQ111"/>
  <c r="AR111"/>
  <c r="AS111"/>
  <c r="AT111"/>
  <c r="AU111"/>
  <c r="AV111"/>
  <c r="AW111"/>
  <c r="AX111"/>
  <c r="AY111"/>
  <c r="AZ111"/>
  <c r="BA111"/>
  <c r="BB111"/>
  <c r="BD111"/>
  <c r="BH111"/>
  <c r="BI111"/>
  <c r="BJ111"/>
  <c r="BN111"/>
  <c r="BP111"/>
  <c r="BR111"/>
  <c r="BT111"/>
  <c r="BU111"/>
  <c r="BV111"/>
  <c r="BX111"/>
  <c r="BZ111"/>
  <c r="CA111"/>
  <c r="CB111"/>
  <c r="CC111"/>
  <c r="CD111"/>
  <c r="CE111"/>
  <c r="CF111"/>
  <c r="CG111"/>
  <c r="CH111"/>
  <c r="CI111"/>
  <c r="CJ111"/>
  <c r="CK111"/>
  <c r="AD118"/>
  <c r="AF118"/>
  <c r="AK118"/>
  <c r="AL118"/>
  <c r="BC118"/>
  <c r="BE118"/>
  <c r="BF118"/>
  <c r="BG118"/>
  <c r="BK118"/>
  <c r="BL118"/>
  <c r="BM118"/>
  <c r="BO118"/>
  <c r="BQ118"/>
  <c r="BS118"/>
  <c r="BW118"/>
  <c r="BY118"/>
  <c r="AE118"/>
  <c r="AG118"/>
  <c r="AI118"/>
  <c r="AJ118"/>
  <c r="AM118"/>
  <c r="AN118"/>
  <c r="AO118"/>
  <c r="AP118"/>
  <c r="AQ118"/>
  <c r="AR118"/>
  <c r="AS118"/>
  <c r="AT118"/>
  <c r="AU118"/>
  <c r="AV118"/>
  <c r="AW118"/>
  <c r="AX118"/>
  <c r="AY118"/>
  <c r="AZ118"/>
  <c r="BA118"/>
  <c r="BB118"/>
  <c r="BD118"/>
  <c r="BH118"/>
  <c r="BI118"/>
  <c r="BJ118"/>
  <c r="BN118"/>
  <c r="BP118"/>
  <c r="BR118"/>
  <c r="BT118"/>
  <c r="BU118"/>
  <c r="BV118"/>
  <c r="BX118"/>
  <c r="BZ118"/>
  <c r="CA118"/>
  <c r="CB118"/>
  <c r="CC118"/>
  <c r="CD118"/>
  <c r="CE118"/>
  <c r="CF118"/>
  <c r="CG118"/>
  <c r="CH118"/>
  <c r="CI118"/>
  <c r="CJ118"/>
  <c r="CK118"/>
  <c r="AD104"/>
  <c r="AF104"/>
  <c r="AK104"/>
  <c r="AL104"/>
  <c r="AO104"/>
  <c r="BC104"/>
  <c r="BE104"/>
  <c r="BF104"/>
  <c r="BG104"/>
  <c r="BK104"/>
  <c r="BL104"/>
  <c r="BM104"/>
  <c r="BO104"/>
  <c r="BQ104"/>
  <c r="BS104"/>
  <c r="BW104"/>
  <c r="BY104"/>
  <c r="AE104"/>
  <c r="AG104"/>
  <c r="AI104"/>
  <c r="AJ104"/>
  <c r="AM104"/>
  <c r="AN104"/>
  <c r="AP104"/>
  <c r="AQ104"/>
  <c r="AR104"/>
  <c r="AS104"/>
  <c r="AT104"/>
  <c r="AU104"/>
  <c r="AV104"/>
  <c r="AW104"/>
  <c r="AX104"/>
  <c r="AY104"/>
  <c r="AZ104"/>
  <c r="BA104"/>
  <c r="BB104"/>
  <c r="BD104"/>
  <c r="BH104"/>
  <c r="BI104"/>
  <c r="BJ104"/>
  <c r="BN104"/>
  <c r="BP104"/>
  <c r="BR104"/>
  <c r="BT104"/>
  <c r="BU104"/>
  <c r="BV104"/>
  <c r="BX104"/>
  <c r="BZ104"/>
  <c r="CA104"/>
  <c r="CB104"/>
  <c r="CC104"/>
  <c r="CD104"/>
  <c r="CE104"/>
  <c r="CF104"/>
  <c r="CG104"/>
  <c r="CH104"/>
  <c r="CI104"/>
  <c r="CJ104"/>
  <c r="CK104"/>
  <c r="AZ164"/>
  <c r="AZ158"/>
  <c r="AZ154"/>
  <c r="CK140"/>
  <c r="CI140"/>
  <c r="CG140"/>
  <c r="CE140"/>
  <c r="CC140"/>
  <c r="CA140"/>
  <c r="CJ190"/>
  <c r="CH190"/>
  <c r="CF190"/>
  <c r="CD190"/>
  <c r="CB190"/>
  <c r="BZ190"/>
  <c r="BX140"/>
  <c r="BX190"/>
  <c r="BV140"/>
  <c r="BT140"/>
  <c r="BV190"/>
  <c r="BR98"/>
  <c r="BP140"/>
  <c r="BN140"/>
  <c r="BL140"/>
  <c r="BJ98"/>
  <c r="BH98"/>
  <c r="BD190"/>
  <c r="AO98"/>
  <c r="N23" i="9" s="1"/>
  <c r="AZ162" i="18"/>
  <c r="AZ149"/>
  <c r="CJ140"/>
  <c r="CH140"/>
  <c r="CF140"/>
  <c r="CD140"/>
  <c r="CB140"/>
  <c r="BZ140"/>
  <c r="CI190"/>
  <c r="CG190"/>
  <c r="CE190"/>
  <c r="BY140"/>
  <c r="BW140"/>
  <c r="BW190"/>
  <c r="BU140"/>
  <c r="BU190"/>
  <c r="BO140"/>
  <c r="BO190"/>
  <c r="BM140"/>
  <c r="BK140"/>
  <c r="BG98"/>
  <c r="BA140"/>
  <c r="AB13" i="9" s="1"/>
  <c r="AY140" i="18"/>
  <c r="Z13" i="9" s="1"/>
  <c r="AW140" i="18"/>
  <c r="X13" i="9" s="1"/>
  <c r="AU140" i="18"/>
  <c r="V13" i="9" s="1"/>
  <c r="AT140" i="18"/>
  <c r="U13" i="9" s="1"/>
  <c r="AS140" i="18"/>
  <c r="T13" i="9" s="1"/>
  <c r="AQ140" i="18"/>
  <c r="R13" i="9" s="1"/>
  <c r="AE117" i="18"/>
  <c r="AF117"/>
  <c r="AG117"/>
  <c r="AK117"/>
  <c r="AM117"/>
  <c r="AD117"/>
  <c r="AH117"/>
  <c r="AI117"/>
  <c r="AF110"/>
  <c r="AK110"/>
  <c r="AO110"/>
  <c r="AH110"/>
  <c r="AE102"/>
  <c r="AF102"/>
  <c r="AG102"/>
  <c r="AK102"/>
  <c r="AM102"/>
  <c r="AO102"/>
  <c r="AD102"/>
  <c r="AH102"/>
  <c r="AI102"/>
  <c r="AN98"/>
  <c r="M23" i="9" s="1"/>
  <c r="AD140" i="18"/>
  <c r="C13" i="9" s="1"/>
  <c r="AE119" i="18"/>
  <c r="AF119"/>
  <c r="AG119"/>
  <c r="AK119"/>
  <c r="AM119"/>
  <c r="AD119"/>
  <c r="AH119"/>
  <c r="AI119"/>
  <c r="AE113"/>
  <c r="AF113"/>
  <c r="AG113"/>
  <c r="AK113"/>
  <c r="AM113"/>
  <c r="AO113"/>
  <c r="AD113"/>
  <c r="AH113"/>
  <c r="AI113"/>
  <c r="AE106"/>
  <c r="AF106"/>
  <c r="AG106"/>
  <c r="AK106"/>
  <c r="AM106"/>
  <c r="AO106"/>
  <c r="AD106"/>
  <c r="AH106"/>
  <c r="AI106"/>
  <c r="AH138"/>
  <c r="AH136"/>
  <c r="AH134"/>
  <c r="AH132"/>
  <c r="AH130"/>
  <c r="AH128"/>
  <c r="AH126"/>
  <c r="AH66"/>
  <c r="AH118"/>
  <c r="AH114"/>
  <c r="AH111"/>
  <c r="AH109"/>
  <c r="AH104"/>
  <c r="AG138"/>
  <c r="AG136"/>
  <c r="AG134"/>
  <c r="AG132"/>
  <c r="AG130"/>
  <c r="AG128"/>
  <c r="AG126"/>
  <c r="AG96"/>
  <c r="AG94"/>
  <c r="AG90"/>
  <c r="AG87"/>
  <c r="AG83"/>
  <c r="AG79"/>
  <c r="AG66"/>
  <c r="AG188"/>
  <c r="AG186"/>
  <c r="AG182"/>
  <c r="AG179"/>
  <c r="AG175"/>
  <c r="AG171"/>
  <c r="AF139"/>
  <c r="AF137"/>
  <c r="AF135"/>
  <c r="AF133"/>
  <c r="AF131"/>
  <c r="AF129"/>
  <c r="AF127"/>
  <c r="AF125"/>
  <c r="AF188"/>
  <c r="AF186"/>
  <c r="AF182"/>
  <c r="AF179"/>
  <c r="AF175"/>
  <c r="AF171"/>
  <c r="AE139"/>
  <c r="AE137"/>
  <c r="AE135"/>
  <c r="AE133"/>
  <c r="AE131"/>
  <c r="AE129"/>
  <c r="AE127"/>
  <c r="AE125"/>
  <c r="AE188"/>
  <c r="AE186"/>
  <c r="AE182"/>
  <c r="AE179"/>
  <c r="AE175"/>
  <c r="AE171"/>
  <c r="AD96"/>
  <c r="AD94"/>
  <c r="AD90"/>
  <c r="AD87"/>
  <c r="AD83"/>
  <c r="AD79"/>
  <c r="AD188"/>
  <c r="AD186"/>
  <c r="AD182"/>
  <c r="AD179"/>
  <c r="AD175"/>
  <c r="AD171"/>
  <c r="AK154" l="1"/>
  <c r="AN154"/>
  <c r="AQ190"/>
  <c r="R30" i="6" s="1"/>
  <c r="BY98" i="18"/>
  <c r="BP98"/>
  <c r="CK190"/>
  <c r="CA190"/>
  <c r="AL98"/>
  <c r="K23" i="9" s="1"/>
  <c r="BG190" i="18"/>
  <c r="BJ190"/>
  <c r="BM190"/>
  <c r="AY190"/>
  <c r="Z30" i="6" s="1"/>
  <c r="BW98" i="18"/>
  <c r="CE98"/>
  <c r="CW190"/>
  <c r="AT190"/>
  <c r="U30" i="6" s="1"/>
  <c r="CW98" i="18"/>
  <c r="AI110"/>
  <c r="AI121" s="1"/>
  <c r="H12" i="9" s="1"/>
  <c r="AD110" i="18"/>
  <c r="AM110"/>
  <c r="AM121" s="1"/>
  <c r="L12" i="9" s="1"/>
  <c r="AG110" i="18"/>
  <c r="AX190"/>
  <c r="Y30" i="6" s="1"/>
  <c r="BA98" i="18"/>
  <c r="AB23" i="9" s="1"/>
  <c r="BF190" i="18"/>
  <c r="BL98"/>
  <c r="BN190"/>
  <c r="BR190"/>
  <c r="BS98"/>
  <c r="AL190"/>
  <c r="K30" i="6" s="1"/>
  <c r="AR190" i="18"/>
  <c r="S30" i="6" s="1"/>
  <c r="AY98" i="18"/>
  <c r="Z23" i="9" s="1"/>
  <c r="AM140" i="18"/>
  <c r="L13" i="9" s="1"/>
  <c r="AT159" i="18"/>
  <c r="AW159"/>
  <c r="AT156"/>
  <c r="BS190"/>
  <c r="AZ156"/>
  <c r="AU98"/>
  <c r="V23" i="9" s="1"/>
  <c r="AZ98" i="18"/>
  <c r="AA23" i="9" s="1"/>
  <c r="BD98" i="18"/>
  <c r="BK190"/>
  <c r="BU98"/>
  <c r="AM23" i="9" s="1"/>
  <c r="BY190" i="18"/>
  <c r="CH98"/>
  <c r="CK98"/>
  <c r="CN98"/>
  <c r="CR98"/>
  <c r="CV98"/>
  <c r="CN190"/>
  <c r="CR190"/>
  <c r="CV190"/>
  <c r="AI98"/>
  <c r="H23" i="9" s="1"/>
  <c r="AU190" i="18"/>
  <c r="V30" i="6" s="1"/>
  <c r="BE190" i="18"/>
  <c r="BK98"/>
  <c r="CC190"/>
  <c r="CG98"/>
  <c r="CJ98"/>
  <c r="BZ98"/>
  <c r="BP190"/>
  <c r="AK30" i="6" s="1"/>
  <c r="BQ98" i="18"/>
  <c r="BH190"/>
  <c r="AG30" i="6" s="1"/>
  <c r="AQ159" i="18"/>
  <c r="AJ190"/>
  <c r="I30" i="6" s="1"/>
  <c r="AN190" i="18"/>
  <c r="M30" i="6" s="1"/>
  <c r="BB98" i="18"/>
  <c r="AE23" i="9" s="1"/>
  <c r="BF98" i="18"/>
  <c r="AF23" i="9" s="1"/>
  <c r="BT190" i="18"/>
  <c r="AM30" i="6" s="1"/>
  <c r="CC98" i="18"/>
  <c r="BV113"/>
  <c r="AQ113"/>
  <c r="AY113"/>
  <c r="BN98"/>
  <c r="BL190"/>
  <c r="AV190"/>
  <c r="W30" i="6" s="1"/>
  <c r="BB190" i="18"/>
  <c r="AE30" i="6" s="1"/>
  <c r="AE156" i="18"/>
  <c r="AH190"/>
  <c r="G30" i="6" s="1"/>
  <c r="AD149" i="18"/>
  <c r="AG149" s="1"/>
  <c r="AI140"/>
  <c r="H13" i="9" s="1"/>
  <c r="AL140" i="18"/>
  <c r="K13" i="9" s="1"/>
  <c r="AQ155" i="18"/>
  <c r="AT147"/>
  <c r="AT164"/>
  <c r="AQ147"/>
  <c r="AT155"/>
  <c r="AE98"/>
  <c r="D23" i="9" s="1"/>
  <c r="AM98" i="18"/>
  <c r="L23" i="9" s="1"/>
  <c r="AR98" i="18"/>
  <c r="S23" i="9" s="1"/>
  <c r="AV98" i="18"/>
  <c r="W23" i="9" s="1"/>
  <c r="AW190" i="18"/>
  <c r="X30" i="6" s="1"/>
  <c r="AF98" i="18"/>
  <c r="E23" i="9" s="1"/>
  <c r="Q26" i="11"/>
  <c r="AT98" i="18"/>
  <c r="U23" i="9" s="1"/>
  <c r="AZ190" i="18"/>
  <c r="AA30" i="6" s="1"/>
  <c r="AK156" i="18"/>
  <c r="AN156"/>
  <c r="AX140"/>
  <c r="Y13" i="9" s="1"/>
  <c r="AP140" i="18"/>
  <c r="Q13" i="9" s="1"/>
  <c r="AN159" i="18"/>
  <c r="AR140"/>
  <c r="S13" i="9" s="1"/>
  <c r="AV140" i="18"/>
  <c r="W13" i="9" s="1"/>
  <c r="AE159" i="18"/>
  <c r="AK140"/>
  <c r="J13" i="9" s="1"/>
  <c r="J62" i="11"/>
  <c r="H46" i="39" s="1"/>
  <c r="J60" i="11"/>
  <c r="J59"/>
  <c r="H62"/>
  <c r="F46" i="39" s="1"/>
  <c r="H59" i="11"/>
  <c r="H60"/>
  <c r="T26"/>
  <c r="U26" s="1"/>
  <c r="V26" s="1"/>
  <c r="W26" s="1"/>
  <c r="X26" s="1"/>
  <c r="Y26" s="1"/>
  <c r="Z26" s="1"/>
  <c r="AA26" s="1"/>
  <c r="AB26" s="1"/>
  <c r="AC26" s="1"/>
  <c r="AD26" s="1"/>
  <c r="AG26" s="1"/>
  <c r="L62"/>
  <c r="J46" i="39" s="1"/>
  <c r="L59" i="11"/>
  <c r="L60"/>
  <c r="I49"/>
  <c r="I52"/>
  <c r="G38" i="39" s="1"/>
  <c r="I50" i="11"/>
  <c r="F38" i="39"/>
  <c r="K46" i="11"/>
  <c r="J48"/>
  <c r="AK159" i="18"/>
  <c r="AH159"/>
  <c r="AE149"/>
  <c r="AF149" s="1"/>
  <c r="AH98"/>
  <c r="G23" i="9" s="1"/>
  <c r="AK155" i="18"/>
  <c r="AP190"/>
  <c r="Q30" i="6" s="1"/>
  <c r="AW98" i="18"/>
  <c r="X23" i="9" s="1"/>
  <c r="AO190" i="18"/>
  <c r="N30" i="6" s="1"/>
  <c r="C19" i="17"/>
  <c r="I19" s="1"/>
  <c r="O19" s="1"/>
  <c r="U19" s="1"/>
  <c r="AA19" s="1"/>
  <c r="AG19" s="1"/>
  <c r="AM19" s="1"/>
  <c r="AS19" s="1"/>
  <c r="AE163" i="18"/>
  <c r="AK164"/>
  <c r="AT106"/>
  <c r="AJ106"/>
  <c r="AL106"/>
  <c r="AR106"/>
  <c r="AN106"/>
  <c r="AP106"/>
  <c r="AS106"/>
  <c r="AU106"/>
  <c r="BE106"/>
  <c r="BR106"/>
  <c r="BU106"/>
  <c r="BZ106"/>
  <c r="CB106"/>
  <c r="CD106"/>
  <c r="CF106"/>
  <c r="CH106"/>
  <c r="CJ106"/>
  <c r="AQ106"/>
  <c r="AV106"/>
  <c r="AW106"/>
  <c r="AZ106"/>
  <c r="BB106"/>
  <c r="BG106"/>
  <c r="BI106"/>
  <c r="BL106"/>
  <c r="BM106"/>
  <c r="BP106"/>
  <c r="BQ106"/>
  <c r="BV106"/>
  <c r="CA106"/>
  <c r="CC106"/>
  <c r="CE106"/>
  <c r="CG106"/>
  <c r="CI106"/>
  <c r="CK106"/>
  <c r="AJ113"/>
  <c r="AR113"/>
  <c r="BC113"/>
  <c r="BJ113"/>
  <c r="BS113"/>
  <c r="BU113"/>
  <c r="BY113"/>
  <c r="BZ113"/>
  <c r="CB113"/>
  <c r="CD113"/>
  <c r="CF113"/>
  <c r="CH113"/>
  <c r="CJ113"/>
  <c r="AV113"/>
  <c r="AZ113"/>
  <c r="BG113"/>
  <c r="BL113"/>
  <c r="BN113"/>
  <c r="BP113"/>
  <c r="BQ113"/>
  <c r="BW113"/>
  <c r="BX113"/>
  <c r="CA113"/>
  <c r="CC113"/>
  <c r="CE113"/>
  <c r="CG113"/>
  <c r="CI113"/>
  <c r="CK113"/>
  <c r="AJ119"/>
  <c r="AP119"/>
  <c r="AQ119"/>
  <c r="AV119"/>
  <c r="AX119"/>
  <c r="AY119"/>
  <c r="BA119"/>
  <c r="BC119"/>
  <c r="BD119"/>
  <c r="BJ119"/>
  <c r="BQ119"/>
  <c r="BT119"/>
  <c r="BV119"/>
  <c r="BW119"/>
  <c r="CA119"/>
  <c r="CC119"/>
  <c r="CE119"/>
  <c r="CG119"/>
  <c r="CI119"/>
  <c r="CK119"/>
  <c r="AL119"/>
  <c r="AN119"/>
  <c r="AO119"/>
  <c r="AR119"/>
  <c r="AS119"/>
  <c r="AT119"/>
  <c r="AU119"/>
  <c r="AW119"/>
  <c r="AZ119"/>
  <c r="BB119"/>
  <c r="BE119"/>
  <c r="BF119"/>
  <c r="BG119"/>
  <c r="BH119"/>
  <c r="BI119"/>
  <c r="BK119"/>
  <c r="BL119"/>
  <c r="BM119"/>
  <c r="BN119"/>
  <c r="BO119"/>
  <c r="BP119"/>
  <c r="BR119"/>
  <c r="BS119"/>
  <c r="BU119"/>
  <c r="BX119"/>
  <c r="BY119"/>
  <c r="BZ119"/>
  <c r="CB119"/>
  <c r="CD119"/>
  <c r="CF119"/>
  <c r="CH119"/>
  <c r="CJ119"/>
  <c r="AN155"/>
  <c r="AJ102"/>
  <c r="AP102"/>
  <c r="AQ102"/>
  <c r="AT102"/>
  <c r="AV102"/>
  <c r="AW102"/>
  <c r="AX102"/>
  <c r="AY102"/>
  <c r="AZ102"/>
  <c r="BA102"/>
  <c r="BB102"/>
  <c r="BC102"/>
  <c r="BF102"/>
  <c r="BG102"/>
  <c r="BH102"/>
  <c r="BI102"/>
  <c r="BJ102"/>
  <c r="BK102"/>
  <c r="BL102"/>
  <c r="BM102"/>
  <c r="BO102"/>
  <c r="BP102"/>
  <c r="BQ102"/>
  <c r="BS102"/>
  <c r="BT102"/>
  <c r="BV102"/>
  <c r="BY102"/>
  <c r="CA102"/>
  <c r="CC102"/>
  <c r="CE102"/>
  <c r="CG102"/>
  <c r="CI102"/>
  <c r="CK102"/>
  <c r="AR102"/>
  <c r="BD102"/>
  <c r="BE102"/>
  <c r="BN102"/>
  <c r="BR102"/>
  <c r="BU102"/>
  <c r="BW102"/>
  <c r="BX102"/>
  <c r="BZ102"/>
  <c r="CB102"/>
  <c r="CD102"/>
  <c r="CF102"/>
  <c r="CH102"/>
  <c r="CJ102"/>
  <c r="AN110"/>
  <c r="AP110"/>
  <c r="AQ110"/>
  <c r="AS110"/>
  <c r="AU110"/>
  <c r="AJ110"/>
  <c r="AL110"/>
  <c r="AR110"/>
  <c r="AT110"/>
  <c r="AV110"/>
  <c r="AW110"/>
  <c r="AZ110"/>
  <c r="BB110"/>
  <c r="BD110"/>
  <c r="BG110"/>
  <c r="BI110"/>
  <c r="BL110"/>
  <c r="BM110"/>
  <c r="BN110"/>
  <c r="BP110"/>
  <c r="BQ110"/>
  <c r="BV110"/>
  <c r="BW110"/>
  <c r="BX110"/>
  <c r="CA110"/>
  <c r="CC110"/>
  <c r="CE110"/>
  <c r="CG110"/>
  <c r="CI110"/>
  <c r="CK110"/>
  <c r="AX110"/>
  <c r="AY110"/>
  <c r="BA110"/>
  <c r="BC110"/>
  <c r="BE110"/>
  <c r="BF110"/>
  <c r="BH110"/>
  <c r="BJ110"/>
  <c r="BK110"/>
  <c r="BO110"/>
  <c r="BR110"/>
  <c r="BS110"/>
  <c r="BT110"/>
  <c r="BU110"/>
  <c r="BY110"/>
  <c r="BZ110"/>
  <c r="CB110"/>
  <c r="CD110"/>
  <c r="CF110"/>
  <c r="CH110"/>
  <c r="CJ110"/>
  <c r="AJ117"/>
  <c r="AL117"/>
  <c r="AT117"/>
  <c r="AZ117"/>
  <c r="BE117"/>
  <c r="BF117"/>
  <c r="BG117"/>
  <c r="BH117"/>
  <c r="BK117"/>
  <c r="BL117"/>
  <c r="BN117"/>
  <c r="BO117"/>
  <c r="BP117"/>
  <c r="BR117"/>
  <c r="BX117"/>
  <c r="AP117"/>
  <c r="BC117"/>
  <c r="BD117"/>
  <c r="BJ117"/>
  <c r="BV117"/>
  <c r="C17" i="17"/>
  <c r="I17" s="1"/>
  <c r="AN164" i="18"/>
  <c r="AH164"/>
  <c r="AT162"/>
  <c r="AH155"/>
  <c r="C20" i="17"/>
  <c r="I20" s="1"/>
  <c r="O20" s="1"/>
  <c r="U20" s="1"/>
  <c r="AA20" s="1"/>
  <c r="AG20" s="1"/>
  <c r="AM20" s="1"/>
  <c r="AS20" s="1"/>
  <c r="AG13" i="9"/>
  <c r="AI190" i="18"/>
  <c r="H30" i="6" s="1"/>
  <c r="AS190" i="18"/>
  <c r="T30" i="6" s="1"/>
  <c r="AH162" i="18"/>
  <c r="AK162"/>
  <c r="AN162"/>
  <c r="AE13" i="9"/>
  <c r="BA121" i="18"/>
  <c r="AB12" i="9" s="1"/>
  <c r="AW151" i="18"/>
  <c r="AW166" s="1"/>
  <c r="AM28" i="17" s="1"/>
  <c r="AH151" i="18"/>
  <c r="AN151"/>
  <c r="AQ151"/>
  <c r="AT151"/>
  <c r="AK151"/>
  <c r="AK147"/>
  <c r="AQ13" i="9"/>
  <c r="AH147" i="18"/>
  <c r="AN147"/>
  <c r="AD156"/>
  <c r="AG156" s="1"/>
  <c r="AD159"/>
  <c r="AD154"/>
  <c r="AG154" s="1"/>
  <c r="AE154"/>
  <c r="AZ166"/>
  <c r="AS28" i="17" s="1"/>
  <c r="AN30" i="6"/>
  <c r="AK13" i="9"/>
  <c r="AM13"/>
  <c r="AJ98" i="18"/>
  <c r="I23" i="9" s="1"/>
  <c r="I62" i="11"/>
  <c r="G46" i="39" s="1"/>
  <c r="I60" i="11"/>
  <c r="I59"/>
  <c r="G62"/>
  <c r="E46" i="39" s="1"/>
  <c r="G60" i="11"/>
  <c r="G59"/>
  <c r="K62"/>
  <c r="I46" i="39" s="1"/>
  <c r="K60" i="11"/>
  <c r="K59"/>
  <c r="H53"/>
  <c r="L16"/>
  <c r="AH86"/>
  <c r="J36"/>
  <c r="I106"/>
  <c r="M76"/>
  <c r="X6"/>
  <c r="C9" i="9"/>
  <c r="AI96" i="11"/>
  <c r="AI56"/>
  <c r="AJ56" s="1"/>
  <c r="AH66"/>
  <c r="AL13" i="9"/>
  <c r="AF13"/>
  <c r="AN23"/>
  <c r="AQ30" i="6"/>
  <c r="AN13" i="9"/>
  <c r="AH13"/>
  <c r="AH23"/>
  <c r="AD163" i="18"/>
  <c r="AH158"/>
  <c r="CE121"/>
  <c r="CA121"/>
  <c r="AG23" i="9"/>
  <c r="AT158" i="18"/>
  <c r="AK98"/>
  <c r="J23" i="9" s="1"/>
  <c r="BO98" i="18"/>
  <c r="AK158"/>
  <c r="AN158"/>
  <c r="AQ158"/>
  <c r="AH140"/>
  <c r="G13" i="9" s="1"/>
  <c r="AG140" i="18"/>
  <c r="F13" i="9" s="1"/>
  <c r="AD98" i="18"/>
  <c r="C23" i="9" s="1"/>
  <c r="AD147" i="18"/>
  <c r="AG147" s="1"/>
  <c r="AE151"/>
  <c r="AE158"/>
  <c r="AE164"/>
  <c r="AD190"/>
  <c r="C30" i="6" s="1"/>
  <c r="AD155" i="18"/>
  <c r="AG155" s="1"/>
  <c r="AD162"/>
  <c r="AG162" s="1"/>
  <c r="AE190"/>
  <c r="D30" i="6" s="1"/>
  <c r="AE140" i="18"/>
  <c r="D13" i="9" s="1"/>
  <c r="AF190" i="18"/>
  <c r="E30" i="6" s="1"/>
  <c r="AF140" i="18"/>
  <c r="E13" i="9" s="1"/>
  <c r="AG190" i="18"/>
  <c r="F30" i="6" s="1"/>
  <c r="AH121" i="18"/>
  <c r="G12" i="9" s="1"/>
  <c r="AO121" i="18"/>
  <c r="N12" i="9" s="1"/>
  <c r="AK121" i="18"/>
  <c r="J12" i="9" s="1"/>
  <c r="AF121" i="18"/>
  <c r="E12" i="9" s="1"/>
  <c r="AG98" i="18"/>
  <c r="F23" i="9" s="1"/>
  <c r="AE147" i="18"/>
  <c r="AE155"/>
  <c r="AE162"/>
  <c r="AD151"/>
  <c r="AG151" s="1"/>
  <c r="AD158"/>
  <c r="AG158" s="1"/>
  <c r="AD164"/>
  <c r="AG164" s="1"/>
  <c r="AD121"/>
  <c r="C12" i="9" s="1"/>
  <c r="AG121" i="18"/>
  <c r="F12" i="9" s="1"/>
  <c r="AE121" i="18"/>
  <c r="D12" i="9" s="1"/>
  <c r="AF30" i="6" l="1"/>
  <c r="AL30"/>
  <c r="AL23" i="9"/>
  <c r="AQ23"/>
  <c r="AK23"/>
  <c r="AH30" i="6"/>
  <c r="BU121" i="18"/>
  <c r="CG121"/>
  <c r="CC121"/>
  <c r="AJ149"/>
  <c r="AI149"/>
  <c r="BZ121"/>
  <c r="BM121"/>
  <c r="AS121"/>
  <c r="T12" i="9" s="1"/>
  <c r="BT121" i="18"/>
  <c r="AX121"/>
  <c r="Y12" i="9" s="1"/>
  <c r="CH121" i="18"/>
  <c r="AY121"/>
  <c r="Z12" i="9" s="1"/>
  <c r="AC23"/>
  <c r="AT121" i="18"/>
  <c r="U12" i="9" s="1"/>
  <c r="AT166" i="18"/>
  <c r="AG28" i="17" s="1"/>
  <c r="G61" i="11"/>
  <c r="G63" s="1"/>
  <c r="H61"/>
  <c r="H63" s="1"/>
  <c r="BE121" i="18"/>
  <c r="BF121"/>
  <c r="BY121"/>
  <c r="K61" i="11"/>
  <c r="K63" s="1"/>
  <c r="L61"/>
  <c r="L63" s="1"/>
  <c r="J61"/>
  <c r="J63" s="1"/>
  <c r="AH26"/>
  <c r="AI26" s="1"/>
  <c r="AJ26" s="1"/>
  <c r="AE26"/>
  <c r="J49"/>
  <c r="J50"/>
  <c r="J52"/>
  <c r="I51"/>
  <c r="L46"/>
  <c r="K48"/>
  <c r="CD121" i="18"/>
  <c r="BP121"/>
  <c r="AJ121"/>
  <c r="I12" i="9" s="1"/>
  <c r="CI121" i="18"/>
  <c r="AZ121"/>
  <c r="AA12" i="9" s="1"/>
  <c r="BK121" i="18"/>
  <c r="BS121"/>
  <c r="BI121"/>
  <c r="AR121"/>
  <c r="S12" i="9" s="1"/>
  <c r="AP121" i="18"/>
  <c r="Q12" i="9" s="1"/>
  <c r="BC121" i="18"/>
  <c r="CJ121"/>
  <c r="CF121"/>
  <c r="CB121"/>
  <c r="CK121"/>
  <c r="BL121"/>
  <c r="BJ121"/>
  <c r="BH121"/>
  <c r="AV121"/>
  <c r="W12" i="9" s="1"/>
  <c r="BW121" i="18"/>
  <c r="AN121"/>
  <c r="M12" i="9" s="1"/>
  <c r="AL121" i="18"/>
  <c r="K12" i="9" s="1"/>
  <c r="BB121" i="18"/>
  <c r="BR121"/>
  <c r="AW121"/>
  <c r="X12" i="9" s="1"/>
  <c r="BV121" i="18"/>
  <c r="AM12" i="9" s="1"/>
  <c r="BG121" i="18"/>
  <c r="AQ166"/>
  <c r="AA28" i="17" s="1"/>
  <c r="AK166" i="18"/>
  <c r="O28" i="17" s="1"/>
  <c r="BD121" i="18"/>
  <c r="AC30" i="6"/>
  <c r="BN121" i="18"/>
  <c r="BQ121"/>
  <c r="BX121"/>
  <c r="BO121"/>
  <c r="AQ121"/>
  <c r="R12" i="9" s="1"/>
  <c r="AU121" i="18"/>
  <c r="V12" i="9" s="1"/>
  <c r="AH12"/>
  <c r="AF162" i="18"/>
  <c r="AN166"/>
  <c r="U28" i="17" s="1"/>
  <c r="AF154" i="18"/>
  <c r="AH166"/>
  <c r="I28" i="17" s="1"/>
  <c r="AF156" i="18"/>
  <c r="AF155"/>
  <c r="AO30" i="6"/>
  <c r="AJ156" i="18"/>
  <c r="AI156"/>
  <c r="AG159"/>
  <c r="AF159"/>
  <c r="AJ154"/>
  <c r="AI154"/>
  <c r="AO13" i="9"/>
  <c r="I61" i="11"/>
  <c r="I63" s="1"/>
  <c r="Y6"/>
  <c r="N76"/>
  <c r="M16"/>
  <c r="AI66"/>
  <c r="AJ66" s="1"/>
  <c r="AJ96"/>
  <c r="K36"/>
  <c r="J106"/>
  <c r="AK56"/>
  <c r="AI86"/>
  <c r="AJ86" s="1"/>
  <c r="AI13" i="9"/>
  <c r="AO23"/>
  <c r="AI23"/>
  <c r="C39" i="17"/>
  <c r="I39" s="1"/>
  <c r="AG163" i="18"/>
  <c r="AF163"/>
  <c r="O13" i="9"/>
  <c r="AI158" i="18"/>
  <c r="AJ158"/>
  <c r="AI164"/>
  <c r="AJ164"/>
  <c r="AI151"/>
  <c r="AJ151"/>
  <c r="AE166"/>
  <c r="C28" i="17" s="1"/>
  <c r="AF147" i="18"/>
  <c r="O30" i="6"/>
  <c r="O23" i="9"/>
  <c r="AI162" i="18"/>
  <c r="AJ162"/>
  <c r="AI155"/>
  <c r="AJ155"/>
  <c r="AI147"/>
  <c r="AJ147"/>
  <c r="O17" i="17"/>
  <c r="AF164" i="18"/>
  <c r="AF158"/>
  <c r="AF151"/>
  <c r="AI30" i="6" l="1"/>
  <c r="AL149" i="18"/>
  <c r="AM149"/>
  <c r="AN12" i="9"/>
  <c r="AF12"/>
  <c r="J51" i="11"/>
  <c r="J53" s="1"/>
  <c r="K49"/>
  <c r="K52"/>
  <c r="I38" i="39" s="1"/>
  <c r="K50" i="11"/>
  <c r="H38" i="39"/>
  <c r="M46" i="11"/>
  <c r="L48"/>
  <c r="I53"/>
  <c r="O12" i="9"/>
  <c r="AQ12"/>
  <c r="AG12"/>
  <c r="AE12"/>
  <c r="AL12"/>
  <c r="AK12"/>
  <c r="AC12"/>
  <c r="AM156" i="18"/>
  <c r="AL156"/>
  <c r="AJ159"/>
  <c r="AI159"/>
  <c r="AM154"/>
  <c r="AL154"/>
  <c r="AK26" i="11"/>
  <c r="AK96"/>
  <c r="AM56"/>
  <c r="AN56" s="1"/>
  <c r="AO56" s="1"/>
  <c r="L36"/>
  <c r="K106"/>
  <c r="N16"/>
  <c r="O76"/>
  <c r="Z6"/>
  <c r="AK66"/>
  <c r="AK86"/>
  <c r="AJ163" i="18"/>
  <c r="AI163"/>
  <c r="AM147"/>
  <c r="AL147"/>
  <c r="AM155"/>
  <c r="AL155"/>
  <c r="AM162"/>
  <c r="AL162"/>
  <c r="O39" i="17"/>
  <c r="AM151" i="18"/>
  <c r="AL151"/>
  <c r="AM164"/>
  <c r="AL164"/>
  <c r="U17" i="17"/>
  <c r="AM158" i="18"/>
  <c r="AL158"/>
  <c r="AF166"/>
  <c r="C34" i="17" s="1"/>
  <c r="D36" s="1"/>
  <c r="AO149" i="18" l="1"/>
  <c r="AP149"/>
  <c r="N46" i="11"/>
  <c r="M48"/>
  <c r="L49"/>
  <c r="L50"/>
  <c r="L52"/>
  <c r="K51"/>
  <c r="AI12" i="9"/>
  <c r="AO12"/>
  <c r="AO156" i="18"/>
  <c r="AP156"/>
  <c r="AL159"/>
  <c r="AM159"/>
  <c r="AI166"/>
  <c r="I34" i="17" s="1"/>
  <c r="J36" s="1"/>
  <c r="AO154" i="18"/>
  <c r="AP154"/>
  <c r="AM66" i="11"/>
  <c r="AN66" s="1"/>
  <c r="P76"/>
  <c r="O16"/>
  <c r="AM96"/>
  <c r="AN96" s="1"/>
  <c r="AO96" s="1"/>
  <c r="AM26"/>
  <c r="AN26" s="1"/>
  <c r="AM86"/>
  <c r="AA6"/>
  <c r="M36"/>
  <c r="L106"/>
  <c r="AP56"/>
  <c r="AL163" i="18"/>
  <c r="AM163"/>
  <c r="AP158"/>
  <c r="AO158"/>
  <c r="AA17" i="17"/>
  <c r="AP164" i="18"/>
  <c r="AO164"/>
  <c r="AP151"/>
  <c r="AO151"/>
  <c r="U39" i="17"/>
  <c r="AP162" i="18"/>
  <c r="AO162"/>
  <c r="AP155"/>
  <c r="AO155"/>
  <c r="AP147"/>
  <c r="AO147"/>
  <c r="AS149" l="1"/>
  <c r="AR149"/>
  <c r="L51" i="11"/>
  <c r="L53" s="1"/>
  <c r="J38" i="39"/>
  <c r="O46" i="11"/>
  <c r="N48"/>
  <c r="K53"/>
  <c r="M49"/>
  <c r="M52"/>
  <c r="K38" i="39" s="1"/>
  <c r="M50" i="11"/>
  <c r="AL166" i="18"/>
  <c r="O34" i="17" s="1"/>
  <c r="P36" s="1"/>
  <c r="AR156" i="18"/>
  <c r="AS156"/>
  <c r="AO159"/>
  <c r="AP159"/>
  <c r="AS154"/>
  <c r="AR154"/>
  <c r="N36" i="11"/>
  <c r="M106"/>
  <c r="AB6"/>
  <c r="P16"/>
  <c r="Q16" s="1"/>
  <c r="S76"/>
  <c r="Q76"/>
  <c r="AO26"/>
  <c r="AO66"/>
  <c r="AP66" s="1"/>
  <c r="AQ66" s="1"/>
  <c r="AS66" s="1"/>
  <c r="AN86"/>
  <c r="AO86" s="1"/>
  <c r="AP96"/>
  <c r="AQ56"/>
  <c r="AS56" s="1"/>
  <c r="AP163" i="18"/>
  <c r="AO163"/>
  <c r="AS147"/>
  <c r="AR147"/>
  <c r="AS162"/>
  <c r="AR162"/>
  <c r="AS151"/>
  <c r="AR151"/>
  <c r="AS158"/>
  <c r="AR158"/>
  <c r="AG17" i="17"/>
  <c r="AS155" i="18"/>
  <c r="AR155"/>
  <c r="AA39" i="17"/>
  <c r="AS164" i="18"/>
  <c r="AR164"/>
  <c r="AV149" l="1"/>
  <c r="AU149"/>
  <c r="AO166"/>
  <c r="U34" i="17" s="1"/>
  <c r="V36" s="1"/>
  <c r="M51" i="11"/>
  <c r="M53" s="1"/>
  <c r="N49"/>
  <c r="N50"/>
  <c r="N52"/>
  <c r="P46"/>
  <c r="O48"/>
  <c r="AU156" i="18"/>
  <c r="AV156"/>
  <c r="AR159"/>
  <c r="AS159"/>
  <c r="AV154"/>
  <c r="AU154"/>
  <c r="AP26" i="11"/>
  <c r="AQ26" s="1"/>
  <c r="AS26" s="1"/>
  <c r="T76"/>
  <c r="S16"/>
  <c r="AC6"/>
  <c r="O36"/>
  <c r="N106"/>
  <c r="AQ96"/>
  <c r="AS96" s="1"/>
  <c r="AP86"/>
  <c r="AS163" i="18"/>
  <c r="AR163"/>
  <c r="AV164"/>
  <c r="AU164"/>
  <c r="AU155"/>
  <c r="AV155"/>
  <c r="AV158"/>
  <c r="AU158"/>
  <c r="AU151"/>
  <c r="AV151"/>
  <c r="AV162"/>
  <c r="AU162"/>
  <c r="AU147"/>
  <c r="AV147"/>
  <c r="AG39" i="17"/>
  <c r="AM17"/>
  <c r="AY149" i="18" l="1"/>
  <c r="BA149" s="1"/>
  <c r="AX149"/>
  <c r="N51" i="11"/>
  <c r="N53" s="1"/>
  <c r="O49"/>
  <c r="O52"/>
  <c r="M38" i="39" s="1"/>
  <c r="O50" i="11"/>
  <c r="L38" i="39"/>
  <c r="S46" i="11"/>
  <c r="P48"/>
  <c r="Q46"/>
  <c r="AR166" i="18"/>
  <c r="AA34" i="17" s="1"/>
  <c r="AB36" s="1"/>
  <c r="AX156" i="18"/>
  <c r="AY156"/>
  <c r="BA156" s="1"/>
  <c r="AV159"/>
  <c r="AU159"/>
  <c r="AY154"/>
  <c r="BA154" s="1"/>
  <c r="AX154"/>
  <c r="U76" i="11"/>
  <c r="P36"/>
  <c r="O106"/>
  <c r="T16"/>
  <c r="AQ86"/>
  <c r="AS86" s="1"/>
  <c r="AD6"/>
  <c r="AV163" i="18"/>
  <c r="AU163"/>
  <c r="AU166" s="1"/>
  <c r="AG34" i="17" s="1"/>
  <c r="AH36" s="1"/>
  <c r="AM39"/>
  <c r="AS17"/>
  <c r="AX162" i="18"/>
  <c r="AY162"/>
  <c r="BA162" s="1"/>
  <c r="AX158"/>
  <c r="AY158"/>
  <c r="BA158" s="1"/>
  <c r="AX164"/>
  <c r="AY164"/>
  <c r="BA164" s="1"/>
  <c r="AX147"/>
  <c r="AY147"/>
  <c r="BA147" s="1"/>
  <c r="AX151"/>
  <c r="AY151"/>
  <c r="BA151" s="1"/>
  <c r="AX155"/>
  <c r="AY155"/>
  <c r="BA155" s="1"/>
  <c r="O51" i="11" l="1"/>
  <c r="O53" s="1"/>
  <c r="P49"/>
  <c r="Q49" s="1"/>
  <c r="P50"/>
  <c r="Q50" s="1"/>
  <c r="P52"/>
  <c r="Q48"/>
  <c r="T46"/>
  <c r="S48"/>
  <c r="AY159" i="18"/>
  <c r="BA159" s="1"/>
  <c r="AX159"/>
  <c r="U16" i="11"/>
  <c r="S36"/>
  <c r="Q36"/>
  <c r="P106"/>
  <c r="Q106" s="1"/>
  <c r="V76"/>
  <c r="AG6"/>
  <c r="AH6" s="1"/>
  <c r="AE6"/>
  <c r="AX163" i="18"/>
  <c r="AX166" s="1"/>
  <c r="AM34" i="17" s="1"/>
  <c r="AN36" s="1"/>
  <c r="AY163" i="18"/>
  <c r="BA163" s="1"/>
  <c r="AS39" i="17"/>
  <c r="P51" i="11" l="1"/>
  <c r="P53" s="1"/>
  <c r="Q53" s="1"/>
  <c r="BA166" i="18"/>
  <c r="AS34" i="17" s="1"/>
  <c r="AT36" s="1"/>
  <c r="S52" i="11"/>
  <c r="S50"/>
  <c r="S49"/>
  <c r="N38" i="39"/>
  <c r="O38" s="1"/>
  <c r="Q52" i="11"/>
  <c r="U46"/>
  <c r="T48"/>
  <c r="Q51"/>
  <c r="W76"/>
  <c r="T36"/>
  <c r="S106"/>
  <c r="V16"/>
  <c r="AI6"/>
  <c r="V46" l="1"/>
  <c r="U48"/>
  <c r="T52"/>
  <c r="R38" i="39" s="1"/>
  <c r="T49" i="11"/>
  <c r="T50"/>
  <c r="Q38" i="39"/>
  <c r="S51" i="11"/>
  <c r="AJ6"/>
  <c r="AK6" s="1"/>
  <c r="W16"/>
  <c r="U36"/>
  <c r="T106"/>
  <c r="X76"/>
  <c r="T51" l="1"/>
  <c r="T53" s="1"/>
  <c r="W46"/>
  <c r="V48"/>
  <c r="S53"/>
  <c r="U52"/>
  <c r="U49"/>
  <c r="U50"/>
  <c r="Y76"/>
  <c r="V36"/>
  <c r="U106"/>
  <c r="X16"/>
  <c r="AM6"/>
  <c r="U51" l="1"/>
  <c r="U53" s="1"/>
  <c r="X46"/>
  <c r="W48"/>
  <c r="S38" i="39"/>
  <c r="V52" i="11"/>
  <c r="T38" i="39" s="1"/>
  <c r="V49" i="11"/>
  <c r="V50"/>
  <c r="Y16"/>
  <c r="W36"/>
  <c r="V106"/>
  <c r="Z76"/>
  <c r="AN6"/>
  <c r="Y46" l="1"/>
  <c r="X48"/>
  <c r="W52"/>
  <c r="W50"/>
  <c r="W49"/>
  <c r="V51"/>
  <c r="AA76"/>
  <c r="AO6"/>
  <c r="AP6" s="1"/>
  <c r="X36"/>
  <c r="W106"/>
  <c r="Z16"/>
  <c r="W51" l="1"/>
  <c r="W53" s="1"/>
  <c r="X52"/>
  <c r="V38" i="39" s="1"/>
  <c r="X49" i="11"/>
  <c r="X50"/>
  <c r="X51" s="1"/>
  <c r="X53" s="1"/>
  <c r="V53"/>
  <c r="U38" i="39"/>
  <c r="Z46" i="11"/>
  <c r="Y48"/>
  <c r="AB76"/>
  <c r="AQ6"/>
  <c r="AS6" s="1"/>
  <c r="AA16"/>
  <c r="Y36"/>
  <c r="X106"/>
  <c r="AA46" l="1"/>
  <c r="Z48"/>
  <c r="Y52"/>
  <c r="Y49"/>
  <c r="Y51" s="1"/>
  <c r="Y53" s="1"/>
  <c r="Y50"/>
  <c r="AC76"/>
  <c r="Z36"/>
  <c r="Y106"/>
  <c r="AB16"/>
  <c r="AB46" l="1"/>
  <c r="AA48"/>
  <c r="W38" i="39"/>
  <c r="Z50" i="11"/>
  <c r="Z49"/>
  <c r="Z52"/>
  <c r="X38" i="39" s="1"/>
  <c r="AA36" i="11"/>
  <c r="Z106"/>
  <c r="AC16"/>
  <c r="AD76"/>
  <c r="AC46" l="1"/>
  <c r="AB48"/>
  <c r="AA52"/>
  <c r="Y38" i="39" s="1"/>
  <c r="AA49" i="11"/>
  <c r="AA50"/>
  <c r="Z51"/>
  <c r="Z53" s="1"/>
  <c r="AG76"/>
  <c r="AE76"/>
  <c r="AD16"/>
  <c r="AB36"/>
  <c r="AA106"/>
  <c r="AA51" l="1"/>
  <c r="AA53" s="1"/>
  <c r="AD46"/>
  <c r="AC48"/>
  <c r="AB52"/>
  <c r="Z38" i="39" s="1"/>
  <c r="AB49" i="11"/>
  <c r="AB50"/>
  <c r="AC36"/>
  <c r="AB106"/>
  <c r="AG16"/>
  <c r="AE16"/>
  <c r="AH76"/>
  <c r="AB51" l="1"/>
  <c r="AB53" s="1"/>
  <c r="AD48"/>
  <c r="AG46"/>
  <c r="AH46"/>
  <c r="AH48" s="1"/>
  <c r="AE46"/>
  <c r="AC49"/>
  <c r="AC50"/>
  <c r="AC52"/>
  <c r="AD36"/>
  <c r="AC106"/>
  <c r="AI76"/>
  <c r="AH16"/>
  <c r="AC51" l="1"/>
  <c r="AC53" s="1"/>
  <c r="AA38" i="39"/>
  <c r="AH50" i="11"/>
  <c r="AH52"/>
  <c r="AF38" i="39" s="1"/>
  <c r="AH49" i="11"/>
  <c r="AG48"/>
  <c r="AD52"/>
  <c r="AD49"/>
  <c r="AE49" s="1"/>
  <c r="AD50"/>
  <c r="AE50" s="1"/>
  <c r="AE48"/>
  <c r="AI46"/>
  <c r="AI48" s="1"/>
  <c r="AG36"/>
  <c r="AE36"/>
  <c r="AD106"/>
  <c r="AE106" s="1"/>
  <c r="AJ76"/>
  <c r="AI16"/>
  <c r="AH51" l="1"/>
  <c r="AH53" s="1"/>
  <c r="AI52"/>
  <c r="AG38" i="39" s="1"/>
  <c r="AI50" i="11"/>
  <c r="AI49"/>
  <c r="AB38" i="39"/>
  <c r="AC38" s="1"/>
  <c r="AE52" i="11"/>
  <c r="AG49"/>
  <c r="AG52"/>
  <c r="AG50"/>
  <c r="AD51"/>
  <c r="AJ46"/>
  <c r="AJ48" s="1"/>
  <c r="AK48" s="1"/>
  <c r="AJ16"/>
  <c r="AK16" s="1"/>
  <c r="AH36"/>
  <c r="AK76"/>
  <c r="AG106"/>
  <c r="AG51" l="1"/>
  <c r="AK46"/>
  <c r="AM46" s="1"/>
  <c r="AI51"/>
  <c r="AI53" s="1"/>
  <c r="AD53"/>
  <c r="AE53" s="1"/>
  <c r="AE51"/>
  <c r="AE38" i="39"/>
  <c r="AJ49" i="11"/>
  <c r="AK49" s="1"/>
  <c r="AJ50"/>
  <c r="AK50" s="1"/>
  <c r="AJ52"/>
  <c r="AH38" i="39" s="1"/>
  <c r="AG53" i="11"/>
  <c r="AH106"/>
  <c r="AI36"/>
  <c r="AJ36" s="1"/>
  <c r="AM76"/>
  <c r="AN76" s="1"/>
  <c r="AO76" s="1"/>
  <c r="AM16"/>
  <c r="AN16" s="1"/>
  <c r="AJ51" l="1"/>
  <c r="AK51" s="1"/>
  <c r="AM48"/>
  <c r="AJ53"/>
  <c r="AK53" s="1"/>
  <c r="AI38" i="39"/>
  <c r="AN46" i="11"/>
  <c r="AN48" s="1"/>
  <c r="AK52"/>
  <c r="AO46"/>
  <c r="AO48" s="1"/>
  <c r="AJ106"/>
  <c r="AO16"/>
  <c r="AP76"/>
  <c r="AQ76" s="1"/>
  <c r="AS76" s="1"/>
  <c r="AI106"/>
  <c r="AK36"/>
  <c r="AK106" l="1"/>
  <c r="AO50"/>
  <c r="AO49"/>
  <c r="AO52"/>
  <c r="AM38" i="39" s="1"/>
  <c r="AN50" i="11"/>
  <c r="AN49"/>
  <c r="AN52"/>
  <c r="AL38" i="39" s="1"/>
  <c r="AM52" i="11"/>
  <c r="AM50"/>
  <c r="AM49"/>
  <c r="AP46"/>
  <c r="AP48" s="1"/>
  <c r="AM36"/>
  <c r="AP16"/>
  <c r="AQ16" s="1"/>
  <c r="AS16" s="1"/>
  <c r="AQ46" l="1"/>
  <c r="AS46" s="1"/>
  <c r="AS48" s="1"/>
  <c r="AS52" s="1"/>
  <c r="AQ38" i="39" s="1"/>
  <c r="AN51" i="11"/>
  <c r="AN53" s="1"/>
  <c r="AS50"/>
  <c r="AM51"/>
  <c r="AK38" i="39"/>
  <c r="AQ48" i="11"/>
  <c r="AP52"/>
  <c r="AN38" i="39" s="1"/>
  <c r="AP50" i="11"/>
  <c r="AQ50" s="1"/>
  <c r="AP49"/>
  <c r="AO51"/>
  <c r="AO53" s="1"/>
  <c r="AM106"/>
  <c r="AN36"/>
  <c r="AS49" l="1"/>
  <c r="AP51"/>
  <c r="AP53" s="1"/>
  <c r="AM53"/>
  <c r="AQ51"/>
  <c r="AQ52"/>
  <c r="AQ49"/>
  <c r="AS51"/>
  <c r="AS53" s="1"/>
  <c r="AO38" i="39"/>
  <c r="AN106" i="11"/>
  <c r="AO36"/>
  <c r="AQ53" l="1"/>
  <c r="AO106"/>
  <c r="AP36"/>
  <c r="AP106" l="1"/>
  <c r="AQ106" s="1"/>
  <c r="AQ36"/>
  <c r="AS36" s="1"/>
  <c r="AS106" l="1"/>
  <c r="AQ33" i="10" l="1"/>
  <c r="C2" i="6"/>
  <c r="C2" i="1"/>
  <c r="C2" i="39"/>
  <c r="T6" i="17"/>
  <c r="C2" i="10"/>
  <c r="C2" i="9"/>
  <c r="N6" i="17"/>
  <c r="B6"/>
  <c r="H6"/>
  <c r="C2" i="22"/>
  <c r="Z5" i="17"/>
  <c r="D2" i="22"/>
  <c r="Q2" i="9"/>
  <c r="Q2" i="10"/>
  <c r="Q2" i="6"/>
  <c r="Q2" i="39"/>
  <c r="B67" i="18" l="1"/>
  <c r="E3" i="11" s="1"/>
  <c r="Q2" i="1"/>
  <c r="B68" i="18" l="1"/>
  <c r="B70"/>
  <c r="I1" s="1"/>
  <c r="K12" s="1"/>
  <c r="I8" i="38" s="1"/>
  <c r="B35" i="18"/>
  <c r="B12" i="45" s="1"/>
  <c r="B35" i="44" s="1"/>
  <c r="B37" i="18"/>
  <c r="B16" i="45" s="1"/>
  <c r="B49" i="44" s="1"/>
  <c r="B36" i="18"/>
  <c r="B14" i="45" s="1"/>
  <c r="B42" i="44" s="1"/>
  <c r="B33" i="18"/>
  <c r="B34"/>
  <c r="I10" i="38" l="1"/>
  <c r="I12"/>
  <c r="I14"/>
  <c r="I18"/>
  <c r="I20"/>
  <c r="I22"/>
  <c r="I24"/>
  <c r="I26"/>
  <c r="I28"/>
  <c r="I30"/>
  <c r="I32"/>
  <c r="I34"/>
  <c r="I36"/>
  <c r="I40"/>
  <c r="I42"/>
  <c r="I44"/>
  <c r="I46"/>
  <c r="I48"/>
  <c r="I50"/>
  <c r="I52"/>
  <c r="I54"/>
  <c r="I58"/>
  <c r="I60"/>
  <c r="I64"/>
  <c r="I66"/>
  <c r="I68"/>
  <c r="I70"/>
  <c r="I72"/>
  <c r="I6"/>
  <c r="I8" i="40"/>
  <c r="I10"/>
  <c r="I12"/>
  <c r="I14"/>
  <c r="I16"/>
  <c r="I18"/>
  <c r="I20"/>
  <c r="I25"/>
  <c r="I27"/>
  <c r="I29"/>
  <c r="I31"/>
  <c r="I33"/>
  <c r="I35"/>
  <c r="I37"/>
  <c r="I39"/>
  <c r="I41"/>
  <c r="I43"/>
  <c r="I7" i="38"/>
  <c r="I9"/>
  <c r="I11"/>
  <c r="I13"/>
  <c r="I15"/>
  <c r="I19"/>
  <c r="I21"/>
  <c r="I23"/>
  <c r="I25"/>
  <c r="I27"/>
  <c r="I29"/>
  <c r="I31"/>
  <c r="I33"/>
  <c r="I35"/>
  <c r="I37"/>
  <c r="I41"/>
  <c r="I43"/>
  <c r="I45"/>
  <c r="I47"/>
  <c r="I49"/>
  <c r="I51"/>
  <c r="I53"/>
  <c r="I57"/>
  <c r="I59"/>
  <c r="I61"/>
  <c r="I65"/>
  <c r="I67"/>
  <c r="I69"/>
  <c r="I71"/>
  <c r="I73"/>
  <c r="I7" i="40"/>
  <c r="I9"/>
  <c r="I11"/>
  <c r="I13"/>
  <c r="I15"/>
  <c r="I17"/>
  <c r="I19"/>
  <c r="I6"/>
  <c r="I26"/>
  <c r="I28"/>
  <c r="I30"/>
  <c r="I32"/>
  <c r="I34"/>
  <c r="I36"/>
  <c r="I38"/>
  <c r="I40"/>
  <c r="I42"/>
  <c r="I24"/>
  <c r="AC4" i="18"/>
  <c r="B69"/>
  <c r="C68"/>
  <c r="B6" i="44"/>
  <c r="B21" s="1"/>
  <c r="Q3" i="9"/>
  <c r="C3"/>
  <c r="C3" i="6"/>
  <c r="C3" i="10"/>
  <c r="Q3" i="1"/>
  <c r="C3"/>
  <c r="C3" i="39"/>
  <c r="Q3" s="1"/>
  <c r="S3" i="11"/>
  <c r="E36" i="18"/>
  <c r="B10" i="45"/>
  <c r="B20" i="44" s="1"/>
  <c r="E33" i="18"/>
  <c r="E34"/>
  <c r="B4" i="45"/>
  <c r="B5" i="44" s="1"/>
  <c r="E35" i="18"/>
  <c r="G11" i="14" l="1" a="1"/>
  <c r="G11" s="1"/>
  <c r="G9" a="1"/>
  <c r="G9" s="1"/>
  <c r="AD4" i="18"/>
  <c r="AD64" s="1"/>
  <c r="C22" i="6" s="1"/>
  <c r="CI72" i="18"/>
  <c r="BY72"/>
  <c r="BU72"/>
  <c r="BQ72"/>
  <c r="BM72"/>
  <c r="AV72"/>
  <c r="BG72"/>
  <c r="AM72"/>
  <c r="CK4"/>
  <c r="CK64" s="1"/>
  <c r="CF4"/>
  <c r="CF64" s="1"/>
  <c r="CC4"/>
  <c r="CC64" s="1"/>
  <c r="BY4"/>
  <c r="BY64" s="1"/>
  <c r="BU4"/>
  <c r="BU64" s="1"/>
  <c r="BR67"/>
  <c r="BR70" s="1"/>
  <c r="BP67"/>
  <c r="BP70" s="1"/>
  <c r="BO4"/>
  <c r="BO64" s="1"/>
  <c r="BL4"/>
  <c r="BL64" s="1"/>
  <c r="BH4"/>
  <c r="BH64" s="1"/>
  <c r="BF4"/>
  <c r="BF64" s="1"/>
  <c r="BD4"/>
  <c r="BD64" s="1"/>
  <c r="AX4"/>
  <c r="AX64" s="1"/>
  <c r="Y22" i="6" s="1"/>
  <c r="Y33" s="1"/>
  <c r="Y20" i="9" s="1"/>
  <c r="AR4" i="18"/>
  <c r="AR64" s="1"/>
  <c r="S22" i="6" s="1"/>
  <c r="S33" s="1"/>
  <c r="S20" i="9" s="1"/>
  <c r="CJ72" i="18"/>
  <c r="CF72"/>
  <c r="BV72"/>
  <c r="BR72"/>
  <c r="BN72"/>
  <c r="AX72"/>
  <c r="BI72"/>
  <c r="AQ72"/>
  <c r="CE72"/>
  <c r="CI4"/>
  <c r="CI64" s="1"/>
  <c r="CD4"/>
  <c r="CD64" s="1"/>
  <c r="CA4"/>
  <c r="CA64" s="1"/>
  <c r="BV4"/>
  <c r="BV64" s="1"/>
  <c r="BS4"/>
  <c r="BS64" s="1"/>
  <c r="BQ4"/>
  <c r="BQ64" s="1"/>
  <c r="BP4"/>
  <c r="BP64" s="1"/>
  <c r="BL67"/>
  <c r="BL70" s="1"/>
  <c r="BM4"/>
  <c r="BM64" s="1"/>
  <c r="BI4"/>
  <c r="BI64" s="1"/>
  <c r="BG4"/>
  <c r="BG64" s="1"/>
  <c r="BA4"/>
  <c r="BA64" s="1"/>
  <c r="AB22" i="6" s="1"/>
  <c r="AB33" s="1"/>
  <c r="AB20" i="9" s="1"/>
  <c r="AY4" i="18"/>
  <c r="AY64" s="1"/>
  <c r="Z22" i="6" s="1"/>
  <c r="Z33" s="1"/>
  <c r="Z20" i="9" s="1"/>
  <c r="AW4" i="18"/>
  <c r="AW64" s="1"/>
  <c r="X22" i="6" s="1"/>
  <c r="X33" s="1"/>
  <c r="X20" i="9" s="1"/>
  <c r="AU4" i="18"/>
  <c r="AU64" s="1"/>
  <c r="V22" i="6" s="1"/>
  <c r="V33" s="1"/>
  <c r="V20" i="9" s="1"/>
  <c r="AQ4" i="18"/>
  <c r="AQ64" s="1"/>
  <c r="R22" i="6" s="1"/>
  <c r="R33" s="1"/>
  <c r="R20" i="9" s="1"/>
  <c r="AO4" i="18"/>
  <c r="AO64" s="1"/>
  <c r="N22" i="6" s="1"/>
  <c r="N33" s="1"/>
  <c r="N20" i="9" s="1"/>
  <c r="AM67" i="18"/>
  <c r="AM70" s="1"/>
  <c r="L22" i="9" s="1"/>
  <c r="AK4" i="18"/>
  <c r="AK64" s="1"/>
  <c r="J22" i="6" s="1"/>
  <c r="J33" s="1"/>
  <c r="J20" i="9" s="1"/>
  <c r="AG4" i="18"/>
  <c r="AG64" s="1"/>
  <c r="F22" i="6" s="1"/>
  <c r="F33" s="1"/>
  <c r="F20" i="9" s="1"/>
  <c r="AF4" i="18"/>
  <c r="AF64" s="1"/>
  <c r="E22" i="6" s="1"/>
  <c r="E33" s="1"/>
  <c r="E20" i="9" s="1"/>
  <c r="AS72" i="18"/>
  <c r="AK72"/>
  <c r="AY72"/>
  <c r="AU72"/>
  <c r="CA72"/>
  <c r="BF72"/>
  <c r="BB72"/>
  <c r="AR72"/>
  <c r="AN72"/>
  <c r="AJ72"/>
  <c r="AF72"/>
  <c r="AT72"/>
  <c r="BE67"/>
  <c r="BE70" s="1"/>
  <c r="BA67"/>
  <c r="BA70" s="1"/>
  <c r="AB22" i="9" s="1"/>
  <c r="CK67" i="18"/>
  <c r="CK70" s="1"/>
  <c r="CI67"/>
  <c r="CI70" s="1"/>
  <c r="CG67"/>
  <c r="CG70" s="1"/>
  <c r="CE67"/>
  <c r="CE70" s="1"/>
  <c r="CC67"/>
  <c r="CC70" s="1"/>
  <c r="CA67"/>
  <c r="CA70" s="1"/>
  <c r="BY67"/>
  <c r="BY70" s="1"/>
  <c r="BW67"/>
  <c r="BW70" s="1"/>
  <c r="BU67"/>
  <c r="BU70" s="1"/>
  <c r="BJ67"/>
  <c r="BJ70" s="1"/>
  <c r="BH67"/>
  <c r="BH70" s="1"/>
  <c r="BD67"/>
  <c r="BD70" s="1"/>
  <c r="BB67"/>
  <c r="BB70" s="1"/>
  <c r="AY67"/>
  <c r="AY70" s="1"/>
  <c r="Z22" i="9" s="1"/>
  <c r="AU67" i="18"/>
  <c r="AU70" s="1"/>
  <c r="V22" i="9" s="1"/>
  <c r="AQ67" i="18"/>
  <c r="AQ70" s="1"/>
  <c r="R22" i="9" s="1"/>
  <c r="AE4" i="18"/>
  <c r="AE64" s="1"/>
  <c r="D22" i="6" s="1"/>
  <c r="AK67" i="18"/>
  <c r="AK70" s="1"/>
  <c r="J22" i="9" s="1"/>
  <c r="CK72" i="18"/>
  <c r="CG72"/>
  <c r="BW72"/>
  <c r="BS72"/>
  <c r="BO72"/>
  <c r="BK72"/>
  <c r="CB72"/>
  <c r="BA72"/>
  <c r="AE72"/>
  <c r="CH4"/>
  <c r="CH64" s="1"/>
  <c r="CE4"/>
  <c r="CE64" s="1"/>
  <c r="BZ4"/>
  <c r="BZ64" s="1"/>
  <c r="BX4"/>
  <c r="BX64" s="1"/>
  <c r="BT4"/>
  <c r="BT64" s="1"/>
  <c r="BQ67"/>
  <c r="BQ70" s="1"/>
  <c r="BN67"/>
  <c r="BN70" s="1"/>
  <c r="BM67"/>
  <c r="BM70" s="1"/>
  <c r="BJ4"/>
  <c r="BJ64" s="1"/>
  <c r="BF67"/>
  <c r="BF70" s="1"/>
  <c r="BE4"/>
  <c r="BE64" s="1"/>
  <c r="BC4"/>
  <c r="BC64" s="1"/>
  <c r="AT4"/>
  <c r="AT64" s="1"/>
  <c r="U22" i="6" s="1"/>
  <c r="AM4" i="18"/>
  <c r="AM64" s="1"/>
  <c r="L22" i="6" s="1"/>
  <c r="L33" s="1"/>
  <c r="L20" i="9" s="1"/>
  <c r="CH72" i="18"/>
  <c r="BX72"/>
  <c r="BT72"/>
  <c r="BP72"/>
  <c r="BL72"/>
  <c r="CD72"/>
  <c r="BE72"/>
  <c r="AI72"/>
  <c r="CJ4"/>
  <c r="CJ64" s="1"/>
  <c r="CG4"/>
  <c r="CG64" s="1"/>
  <c r="CB4"/>
  <c r="CB64" s="1"/>
  <c r="BW4"/>
  <c r="BW64" s="1"/>
  <c r="BS67"/>
  <c r="BS70" s="1"/>
  <c r="BR4"/>
  <c r="BR64" s="1"/>
  <c r="BO67"/>
  <c r="BO70" s="1"/>
  <c r="BN4"/>
  <c r="BN64" s="1"/>
  <c r="BK67"/>
  <c r="BK70" s="1"/>
  <c r="BK4"/>
  <c r="BK64" s="1"/>
  <c r="BG67"/>
  <c r="BG70" s="1"/>
  <c r="BB4"/>
  <c r="BB64" s="1"/>
  <c r="AZ4"/>
  <c r="AZ64" s="1"/>
  <c r="AA22" i="6" s="1"/>
  <c r="AA33" s="1"/>
  <c r="AA20" i="9" s="1"/>
  <c r="AW67" i="18"/>
  <c r="AW70" s="1"/>
  <c r="X22" i="9" s="1"/>
  <c r="AV4" i="18"/>
  <c r="AV64" s="1"/>
  <c r="W22" i="6" s="1"/>
  <c r="W33" s="1"/>
  <c r="W20" i="9" s="1"/>
  <c r="AS4" i="18"/>
  <c r="AS64" s="1"/>
  <c r="T22" i="6" s="1"/>
  <c r="T33" s="1"/>
  <c r="T20" i="9" s="1"/>
  <c r="AP4" i="18"/>
  <c r="AP64" s="1"/>
  <c r="Q22" i="6" s="1"/>
  <c r="Q33" s="1"/>
  <c r="Q20" i="9" s="1"/>
  <c r="AI4" i="18"/>
  <c r="AI64" s="1"/>
  <c r="H22" i="6" s="1"/>
  <c r="H33" s="1"/>
  <c r="H20" i="9" s="1"/>
  <c r="AN4" i="18"/>
  <c r="AN64" s="1"/>
  <c r="M22" i="6" s="1"/>
  <c r="M33" s="1"/>
  <c r="M20" i="9" s="1"/>
  <c r="AL4" i="18"/>
  <c r="AL64" s="1"/>
  <c r="K22" i="6" s="1"/>
  <c r="K33" s="1"/>
  <c r="K20" i="9" s="1"/>
  <c r="AJ4" i="18"/>
  <c r="AJ64" s="1"/>
  <c r="I22" i="6" s="1"/>
  <c r="I33" s="1"/>
  <c r="I20" i="9" s="1"/>
  <c r="BC72" i="18"/>
  <c r="AO72"/>
  <c r="AG72"/>
  <c r="BZ72"/>
  <c r="AI67"/>
  <c r="AI70" s="1"/>
  <c r="H22" i="9" s="1"/>
  <c r="AH4" i="18"/>
  <c r="AH64" s="1"/>
  <c r="G22" i="6" s="1"/>
  <c r="G33" s="1"/>
  <c r="G20" i="9" s="1"/>
  <c r="AW72" i="18"/>
  <c r="CC72"/>
  <c r="BH72"/>
  <c r="BD72"/>
  <c r="AZ72"/>
  <c r="AP72"/>
  <c r="AL72"/>
  <c r="AH72"/>
  <c r="BJ72"/>
  <c r="AD72"/>
  <c r="AS67"/>
  <c r="AS70" s="1"/>
  <c r="T22" i="9" s="1"/>
  <c r="AJ67" i="18"/>
  <c r="AJ70" s="1"/>
  <c r="I22" i="9" s="1"/>
  <c r="AH67" i="18"/>
  <c r="AH70" s="1"/>
  <c r="G22" i="9" s="1"/>
  <c r="CJ67" i="18"/>
  <c r="CJ70" s="1"/>
  <c r="CH67"/>
  <c r="CH70" s="1"/>
  <c r="CF67"/>
  <c r="CF70" s="1"/>
  <c r="CD67"/>
  <c r="CD70" s="1"/>
  <c r="CB67"/>
  <c r="CB70" s="1"/>
  <c r="BZ67"/>
  <c r="BZ70" s="1"/>
  <c r="BX67"/>
  <c r="BX70" s="1"/>
  <c r="BV67"/>
  <c r="BV70" s="1"/>
  <c r="BT67"/>
  <c r="BT70" s="1"/>
  <c r="BI67"/>
  <c r="BI70" s="1"/>
  <c r="BC67"/>
  <c r="BC70" s="1"/>
  <c r="AZ67"/>
  <c r="AZ70" s="1"/>
  <c r="AA22" i="9" s="1"/>
  <c r="AX67" i="18"/>
  <c r="AX70" s="1"/>
  <c r="Y22" i="9" s="1"/>
  <c r="AV67" i="18"/>
  <c r="AV70" s="1"/>
  <c r="W22" i="9" s="1"/>
  <c r="AT67" i="18"/>
  <c r="AT70" s="1"/>
  <c r="U22" i="9" s="1"/>
  <c r="AR67" i="18"/>
  <c r="AR70" s="1"/>
  <c r="S22" i="9" s="1"/>
  <c r="AP67" i="18"/>
  <c r="AP70" s="1"/>
  <c r="Q22" i="9" s="1"/>
  <c r="AL67" i="18"/>
  <c r="AL70" s="1"/>
  <c r="K22" i="9" s="1"/>
  <c r="AG67" i="18"/>
  <c r="AG70" s="1"/>
  <c r="F22" i="9" s="1"/>
  <c r="AO67" i="18"/>
  <c r="AO70" s="1"/>
  <c r="N22" i="9" s="1"/>
  <c r="AN67" i="18"/>
  <c r="AN70" s="1"/>
  <c r="M22" i="9" s="1"/>
  <c r="AE67" i="18"/>
  <c r="AE70" s="1"/>
  <c r="D22" i="9" s="1"/>
  <c r="AF67" i="18"/>
  <c r="AF70" s="1"/>
  <c r="E22" i="9" s="1"/>
  <c r="AD67" i="18"/>
  <c r="C69"/>
  <c r="C67"/>
  <c r="D68"/>
  <c r="Q3" i="10"/>
  <c r="Q3" i="6"/>
  <c r="AN22" i="9" l="1"/>
  <c r="AF22" i="6"/>
  <c r="AF33" s="1"/>
  <c r="AF20" i="9" s="1"/>
  <c r="AM22" i="6"/>
  <c r="AM33" s="1"/>
  <c r="AM20" i="9" s="1"/>
  <c r="AH22"/>
  <c r="AG22"/>
  <c r="AQ22"/>
  <c r="AE22" i="6"/>
  <c r="AE33" s="1"/>
  <c r="AE20" i="9" s="1"/>
  <c r="AK22" i="6"/>
  <c r="AK33" s="1"/>
  <c r="AK20" i="9" s="1"/>
  <c r="AN22" i="6"/>
  <c r="AN33" s="1"/>
  <c r="AN20" i="9" s="1"/>
  <c r="C18" i="17"/>
  <c r="AD70" i="18"/>
  <c r="C22" i="9" s="1"/>
  <c r="O22" s="1"/>
  <c r="AC22" i="6"/>
  <c r="AC33" s="1"/>
  <c r="U33"/>
  <c r="U20" i="9" s="1"/>
  <c r="AC20" s="1"/>
  <c r="C21" i="17"/>
  <c r="U21"/>
  <c r="O22" i="6"/>
  <c r="O33" s="1"/>
  <c r="O21" i="17"/>
  <c r="C33" i="6"/>
  <c r="C6" i="44" s="1"/>
  <c r="AC22" i="9"/>
  <c r="AK22"/>
  <c r="AQ22" i="6"/>
  <c r="AQ33" s="1"/>
  <c r="AQ20" i="9" s="1"/>
  <c r="AG22" i="6"/>
  <c r="AG33" s="1"/>
  <c r="AG20" i="9" s="1"/>
  <c r="I21" i="17"/>
  <c r="D33" i="6"/>
  <c r="C7" i="44" s="1"/>
  <c r="AL22" i="9"/>
  <c r="AE22"/>
  <c r="AM22"/>
  <c r="AF22"/>
  <c r="AL22" i="6"/>
  <c r="AL33" s="1"/>
  <c r="AL20" i="9" s="1"/>
  <c r="AH22" i="6"/>
  <c r="AH33" s="1"/>
  <c r="AH20" i="9" s="1"/>
  <c r="C70" i="18"/>
  <c r="I2" s="1"/>
  <c r="F3" i="11"/>
  <c r="D67" i="18"/>
  <c r="E68"/>
  <c r="D69"/>
  <c r="AA21" i="17" l="1"/>
  <c r="AO20" i="9"/>
  <c r="D34" i="6"/>
  <c r="D35" s="1"/>
  <c r="D36" s="1"/>
  <c r="D20" i="9"/>
  <c r="C34" i="6"/>
  <c r="C35" s="1"/>
  <c r="C36" s="1"/>
  <c r="C20" i="9"/>
  <c r="I18" i="17"/>
  <c r="D22"/>
  <c r="AI22" i="9"/>
  <c r="AI22" i="6"/>
  <c r="AI33" s="1"/>
  <c r="AO22"/>
  <c r="AO33" s="1"/>
  <c r="AI20" i="9"/>
  <c r="AO22"/>
  <c r="D70" i="18"/>
  <c r="I3" s="1"/>
  <c r="G3" i="11"/>
  <c r="B7" i="44"/>
  <c r="B22" s="1"/>
  <c r="D3" i="9"/>
  <c r="R3" i="1"/>
  <c r="D3" i="6"/>
  <c r="T3" i="11"/>
  <c r="R3" i="6" s="1"/>
  <c r="R3" i="9"/>
  <c r="D3" i="10"/>
  <c r="D3" i="1"/>
  <c r="D3" i="39"/>
  <c r="R3" s="1"/>
  <c r="F68" i="18"/>
  <c r="E69"/>
  <c r="E67"/>
  <c r="O20" i="9" l="1"/>
  <c r="AG21" i="17"/>
  <c r="AM21" s="1"/>
  <c r="AS21" s="1"/>
  <c r="O18"/>
  <c r="J22"/>
  <c r="E70" i="18"/>
  <c r="I4" s="1"/>
  <c r="H3" i="11"/>
  <c r="B8" i="44"/>
  <c r="B23" s="1"/>
  <c r="E3" i="9"/>
  <c r="E3" i="10"/>
  <c r="E3" i="1"/>
  <c r="U3" i="11"/>
  <c r="E3" i="6"/>
  <c r="E3" i="39"/>
  <c r="S3" s="1"/>
  <c r="S3" i="9"/>
  <c r="S3" i="1"/>
  <c r="G68" i="18"/>
  <c r="F67"/>
  <c r="F69"/>
  <c r="U18" i="17" l="1"/>
  <c r="P22"/>
  <c r="F70" i="18"/>
  <c r="I5" s="1"/>
  <c r="I3" i="11"/>
  <c r="S3" i="6"/>
  <c r="S3" i="10"/>
  <c r="R3" s="1"/>
  <c r="T3" i="9"/>
  <c r="F3" i="10"/>
  <c r="F3" i="1"/>
  <c r="F3" i="39"/>
  <c r="T3" s="1"/>
  <c r="F3" i="9"/>
  <c r="T3" i="1"/>
  <c r="V3" i="11"/>
  <c r="B9" i="44"/>
  <c r="B24" s="1"/>
  <c r="F3" i="6"/>
  <c r="H68" i="18"/>
  <c r="G69"/>
  <c r="G67"/>
  <c r="AA18" i="17" l="1"/>
  <c r="V22"/>
  <c r="G70" i="18"/>
  <c r="I6" s="1"/>
  <c r="J3" i="11"/>
  <c r="U3" i="9"/>
  <c r="U3" i="1"/>
  <c r="B10" i="44"/>
  <c r="B25" s="1"/>
  <c r="G3" i="9"/>
  <c r="G3" i="10"/>
  <c r="G3" i="1"/>
  <c r="W3" i="11"/>
  <c r="U3" i="10" s="1"/>
  <c r="G3" i="6"/>
  <c r="G3" i="39"/>
  <c r="U3" s="1"/>
  <c r="T3" i="6"/>
  <c r="T3" i="10"/>
  <c r="I68" i="18"/>
  <c r="H67"/>
  <c r="H69"/>
  <c r="AG18" i="17" l="1"/>
  <c r="AB22"/>
  <c r="H70" i="18"/>
  <c r="I7" s="1"/>
  <c r="K3" i="11"/>
  <c r="V3" i="9"/>
  <c r="H3" i="39"/>
  <c r="V3" s="1"/>
  <c r="B11" i="44"/>
  <c r="B26" s="1"/>
  <c r="H3" i="9"/>
  <c r="V3" i="1"/>
  <c r="H3" i="6"/>
  <c r="X3" i="11"/>
  <c r="H3" i="10"/>
  <c r="H3" i="1"/>
  <c r="J68" i="18"/>
  <c r="I69"/>
  <c r="I67"/>
  <c r="AM18" i="17" l="1"/>
  <c r="AH22"/>
  <c r="I70" i="18"/>
  <c r="I8" s="1"/>
  <c r="L3" i="11"/>
  <c r="W3" i="9"/>
  <c r="W3" i="1"/>
  <c r="B12" i="44"/>
  <c r="B27" s="1"/>
  <c r="I3" i="9"/>
  <c r="I3" i="10"/>
  <c r="I3" i="1"/>
  <c r="Y3" i="11"/>
  <c r="W3" i="10" s="1"/>
  <c r="I3" i="6"/>
  <c r="I3" i="39"/>
  <c r="W3" s="1"/>
  <c r="V3" i="6"/>
  <c r="U3" s="1"/>
  <c r="V3" i="10"/>
  <c r="K68" i="18"/>
  <c r="J67"/>
  <c r="J69"/>
  <c r="AS18" i="17" l="1"/>
  <c r="AT22" s="1"/>
  <c r="AN22"/>
  <c r="J70" i="18"/>
  <c r="I9" s="1"/>
  <c r="M3" i="11"/>
  <c r="X3" i="9"/>
  <c r="J3" i="10"/>
  <c r="J3" i="39"/>
  <c r="X3" s="1"/>
  <c r="B13" i="44"/>
  <c r="B28" s="1"/>
  <c r="J3" i="9"/>
  <c r="X3" i="1"/>
  <c r="J3" i="6"/>
  <c r="Z3" i="11"/>
  <c r="J3" i="1"/>
  <c r="L68" i="18"/>
  <c r="K69"/>
  <c r="K67"/>
  <c r="K70" l="1"/>
  <c r="I10" s="1"/>
  <c r="N3" i="11"/>
  <c r="X3" i="10"/>
  <c r="X3" i="6"/>
  <c r="W3" s="1"/>
  <c r="Y3" i="9"/>
  <c r="K3" i="6"/>
  <c r="K3" i="39"/>
  <c r="Y3" s="1"/>
  <c r="B14" i="44"/>
  <c r="B29" s="1"/>
  <c r="K3" i="9"/>
  <c r="K3" i="10"/>
  <c r="K3" i="1"/>
  <c r="AA3" i="11"/>
  <c r="Y3" i="10" s="1"/>
  <c r="Y3" i="1"/>
  <c r="M68" i="18"/>
  <c r="L67"/>
  <c r="L69"/>
  <c r="L70" l="1"/>
  <c r="I11" s="1"/>
  <c r="O3" i="11"/>
  <c r="Z3" i="9"/>
  <c r="L3" i="10"/>
  <c r="L3" i="39"/>
  <c r="Z3" s="1"/>
  <c r="B15" i="44"/>
  <c r="B30" s="1"/>
  <c r="L3" i="9"/>
  <c r="Z3" i="1"/>
  <c r="L3" i="6"/>
  <c r="AB3" i="11"/>
  <c r="Z3" i="10" s="1"/>
  <c r="L3" i="1"/>
  <c r="M69" i="18"/>
  <c r="M67"/>
  <c r="G97" i="11"/>
  <c r="G98" s="1"/>
  <c r="G99" s="1"/>
  <c r="G87"/>
  <c r="G88" s="1"/>
  <c r="G77"/>
  <c r="G78" s="1"/>
  <c r="G67"/>
  <c r="G68" s="1"/>
  <c r="G37"/>
  <c r="G38" s="1"/>
  <c r="G27"/>
  <c r="G28" s="1"/>
  <c r="G17"/>
  <c r="G18" s="1"/>
  <c r="G7"/>
  <c r="G8" s="1"/>
  <c r="G10" s="1"/>
  <c r="H97"/>
  <c r="H98" s="1"/>
  <c r="H87"/>
  <c r="H88" s="1"/>
  <c r="H77"/>
  <c r="H78" s="1"/>
  <c r="H67"/>
  <c r="H68" s="1"/>
  <c r="H37"/>
  <c r="H38" s="1"/>
  <c r="H27"/>
  <c r="H28" s="1"/>
  <c r="H17"/>
  <c r="H18" s="1"/>
  <c r="H7"/>
  <c r="H8" s="1"/>
  <c r="I97"/>
  <c r="I98" s="1"/>
  <c r="I87"/>
  <c r="I88" s="1"/>
  <c r="I67"/>
  <c r="I68" s="1"/>
  <c r="I37"/>
  <c r="I38" s="1"/>
  <c r="I27"/>
  <c r="I28" s="1"/>
  <c r="I30" s="1"/>
  <c r="I17"/>
  <c r="I18" s="1"/>
  <c r="I7"/>
  <c r="I8" s="1"/>
  <c r="I10" s="1"/>
  <c r="J27"/>
  <c r="J28" s="1"/>
  <c r="J7"/>
  <c r="J8" s="1"/>
  <c r="M57"/>
  <c r="M58" s="1"/>
  <c r="C14" i="39"/>
  <c r="D14"/>
  <c r="F103" i="11"/>
  <c r="F93"/>
  <c r="F23"/>
  <c r="C6" i="39"/>
  <c r="D6"/>
  <c r="I77" i="11" l="1"/>
  <c r="I78" s="1"/>
  <c r="J17"/>
  <c r="J18" s="1"/>
  <c r="J9"/>
  <c r="J12"/>
  <c r="H6" i="39" s="1"/>
  <c r="J29" i="11"/>
  <c r="J32"/>
  <c r="I19"/>
  <c r="I22"/>
  <c r="G14" i="39" s="1"/>
  <c r="I39" i="11"/>
  <c r="I42"/>
  <c r="G30" i="39" s="1"/>
  <c r="H39" i="11"/>
  <c r="H42"/>
  <c r="F30" i="39" s="1"/>
  <c r="G19" i="11"/>
  <c r="G22"/>
  <c r="E14" i="39" s="1"/>
  <c r="M59" i="11"/>
  <c r="M62"/>
  <c r="K46" i="39" s="1"/>
  <c r="J19" i="11"/>
  <c r="J22"/>
  <c r="H14" i="39" s="1"/>
  <c r="J20" i="11"/>
  <c r="J21" s="1"/>
  <c r="H9"/>
  <c r="H12"/>
  <c r="F6" i="39" s="1"/>
  <c r="H29" i="11"/>
  <c r="H32"/>
  <c r="H19"/>
  <c r="H20"/>
  <c r="H22"/>
  <c r="F14" i="39" s="1"/>
  <c r="F112" i="11"/>
  <c r="N57"/>
  <c r="N58" s="1"/>
  <c r="N62" s="1"/>
  <c r="L46" i="39" s="1"/>
  <c r="K7" i="11"/>
  <c r="K17"/>
  <c r="K27"/>
  <c r="J37"/>
  <c r="H40"/>
  <c r="H41" s="1"/>
  <c r="H43" s="1"/>
  <c r="I80"/>
  <c r="I82"/>
  <c r="G62" i="39" s="1"/>
  <c r="I99" i="11"/>
  <c r="I102"/>
  <c r="G78" i="39" s="1"/>
  <c r="H79" i="11"/>
  <c r="H82"/>
  <c r="F62" i="39" s="1"/>
  <c r="H107" i="11"/>
  <c r="F6" i="6" s="1"/>
  <c r="H99" i="11"/>
  <c r="H100"/>
  <c r="H102"/>
  <c r="F78" i="39" s="1"/>
  <c r="G80" i="11"/>
  <c r="G82"/>
  <c r="E62" i="39" s="1"/>
  <c r="H69" i="11"/>
  <c r="H72"/>
  <c r="F54" i="39" s="1"/>
  <c r="H89" i="11"/>
  <c r="H92"/>
  <c r="F70" i="39" s="1"/>
  <c r="O57" i="11"/>
  <c r="O58" s="1"/>
  <c r="J67"/>
  <c r="J77"/>
  <c r="J87"/>
  <c r="J97"/>
  <c r="N60"/>
  <c r="N59"/>
  <c r="J23"/>
  <c r="P57"/>
  <c r="J10"/>
  <c r="J11" s="1"/>
  <c r="J30"/>
  <c r="H10"/>
  <c r="H30"/>
  <c r="H80"/>
  <c r="H22" i="39"/>
  <c r="G9" i="11"/>
  <c r="G12"/>
  <c r="G11"/>
  <c r="G20"/>
  <c r="G29"/>
  <c r="G32"/>
  <c r="G107"/>
  <c r="G40"/>
  <c r="G69"/>
  <c r="G72"/>
  <c r="G79"/>
  <c r="G89"/>
  <c r="G92"/>
  <c r="G100"/>
  <c r="G101" s="1"/>
  <c r="F22" i="39"/>
  <c r="O60" i="11"/>
  <c r="M60"/>
  <c r="M61" s="1"/>
  <c r="I9"/>
  <c r="I11" s="1"/>
  <c r="I12"/>
  <c r="G6" i="39" s="1"/>
  <c r="I20" i="11"/>
  <c r="I21" s="1"/>
  <c r="I23" s="1"/>
  <c r="I29"/>
  <c r="I32"/>
  <c r="I31"/>
  <c r="I107"/>
  <c r="G6" i="6" s="1"/>
  <c r="I40" i="11"/>
  <c r="I69"/>
  <c r="I72"/>
  <c r="G54" i="39" s="1"/>
  <c r="I79" i="11"/>
  <c r="I81" s="1"/>
  <c r="I83" s="1"/>
  <c r="I89"/>
  <c r="I92"/>
  <c r="G70" i="39" s="1"/>
  <c r="I100" i="11"/>
  <c r="I101" s="1"/>
  <c r="H108"/>
  <c r="F7" i="6" s="1"/>
  <c r="G42" i="11"/>
  <c r="G102"/>
  <c r="G30"/>
  <c r="G39"/>
  <c r="M70" i="18"/>
  <c r="I12" s="1"/>
  <c r="P3" i="11"/>
  <c r="B17" i="44" s="1"/>
  <c r="B32" s="1"/>
  <c r="AA3" i="9"/>
  <c r="B16" i="44"/>
  <c r="B31" s="1"/>
  <c r="M3" i="9"/>
  <c r="M3" i="10"/>
  <c r="AA3" i="1"/>
  <c r="AC3" i="11"/>
  <c r="M3" i="6"/>
  <c r="M3" i="1"/>
  <c r="M3" i="39"/>
  <c r="AA3" s="1"/>
  <c r="N3" i="10"/>
  <c r="I70" i="11"/>
  <c r="I90"/>
  <c r="H70"/>
  <c r="H71" s="1"/>
  <c r="H90"/>
  <c r="G70"/>
  <c r="G90"/>
  <c r="H11" l="1"/>
  <c r="H13" s="1"/>
  <c r="J13"/>
  <c r="H73"/>
  <c r="I103"/>
  <c r="J31"/>
  <c r="J33" s="1"/>
  <c r="G21"/>
  <c r="H21"/>
  <c r="H23" s="1"/>
  <c r="F7" i="9"/>
  <c r="G81" i="11"/>
  <c r="G83" s="1"/>
  <c r="H81"/>
  <c r="J38"/>
  <c r="K37"/>
  <c r="K18"/>
  <c r="L17"/>
  <c r="I71"/>
  <c r="I73" s="1"/>
  <c r="I33"/>
  <c r="H111"/>
  <c r="F10" i="6" s="1"/>
  <c r="H31" i="11"/>
  <c r="H33" s="1"/>
  <c r="K28"/>
  <c r="L27"/>
  <c r="K8"/>
  <c r="L7"/>
  <c r="H101"/>
  <c r="H103" s="1"/>
  <c r="N3" i="39"/>
  <c r="AB3" s="1"/>
  <c r="J88" i="11"/>
  <c r="K87"/>
  <c r="J68"/>
  <c r="K67"/>
  <c r="I91"/>
  <c r="I93" s="1"/>
  <c r="H83"/>
  <c r="J98"/>
  <c r="K97"/>
  <c r="J78"/>
  <c r="K77"/>
  <c r="O59"/>
  <c r="O62"/>
  <c r="M46" i="39" s="1"/>
  <c r="O61" i="11"/>
  <c r="H91"/>
  <c r="H109"/>
  <c r="F8" i="6" s="1"/>
  <c r="F21" i="9" s="1"/>
  <c r="S57" i="11"/>
  <c r="P58"/>
  <c r="N61"/>
  <c r="N63" s="1"/>
  <c r="I109"/>
  <c r="G8" i="6" s="1"/>
  <c r="I108" i="11"/>
  <c r="G7" i="6" s="1"/>
  <c r="G108" i="11"/>
  <c r="E78" i="39"/>
  <c r="G7" i="9"/>
  <c r="G8"/>
  <c r="I111" i="11"/>
  <c r="G10" i="6" s="1"/>
  <c r="C10" i="44" s="1"/>
  <c r="G22" i="39"/>
  <c r="G109" i="11"/>
  <c r="E6" i="39"/>
  <c r="I41" i="11"/>
  <c r="I13"/>
  <c r="G31"/>
  <c r="E30" i="39"/>
  <c r="G111" i="11"/>
  <c r="M63"/>
  <c r="G103"/>
  <c r="E70" i="39"/>
  <c r="E54"/>
  <c r="E6" i="6"/>
  <c r="E22" i="39"/>
  <c r="G23" i="11"/>
  <c r="G13"/>
  <c r="G41"/>
  <c r="N3" i="6"/>
  <c r="AB3" i="9"/>
  <c r="N3"/>
  <c r="N3" i="1"/>
  <c r="AD3" i="11"/>
  <c r="AB3" i="6" s="1"/>
  <c r="AB3" i="1"/>
  <c r="AA3" i="6"/>
  <c r="Z3" s="1"/>
  <c r="Y3" s="1"/>
  <c r="AA3" i="10"/>
  <c r="AB3"/>
  <c r="G91" i="11"/>
  <c r="G71"/>
  <c r="C9" i="44" l="1"/>
  <c r="K10" i="11"/>
  <c r="K9"/>
  <c r="K12"/>
  <c r="I6" i="39" s="1"/>
  <c r="K29" i="11"/>
  <c r="K32"/>
  <c r="I22" i="39" s="1"/>
  <c r="K30" i="11"/>
  <c r="K31" s="1"/>
  <c r="K19"/>
  <c r="K22"/>
  <c r="I14" i="39" s="1"/>
  <c r="K20" i="11"/>
  <c r="K21" s="1"/>
  <c r="J39"/>
  <c r="J40"/>
  <c r="J42"/>
  <c r="H30" i="39" s="1"/>
  <c r="M7" i="11"/>
  <c r="L8"/>
  <c r="M27"/>
  <c r="L28"/>
  <c r="M17"/>
  <c r="L18"/>
  <c r="K38"/>
  <c r="L37"/>
  <c r="G9" i="6"/>
  <c r="G11" s="1"/>
  <c r="G34" s="1"/>
  <c r="G21" i="9"/>
  <c r="J79" i="11"/>
  <c r="J82"/>
  <c r="H62" i="39" s="1"/>
  <c r="J80" i="11"/>
  <c r="J81" s="1"/>
  <c r="J107"/>
  <c r="H6" i="6" s="1"/>
  <c r="J100" i="11"/>
  <c r="J99"/>
  <c r="J102"/>
  <c r="J69"/>
  <c r="J72"/>
  <c r="H54" i="39" s="1"/>
  <c r="J70" i="11"/>
  <c r="J71" s="1"/>
  <c r="J89"/>
  <c r="J92"/>
  <c r="H70" i="39" s="1"/>
  <c r="J90" i="11"/>
  <c r="O63"/>
  <c r="K78"/>
  <c r="L77"/>
  <c r="K98"/>
  <c r="L97"/>
  <c r="L67"/>
  <c r="K68"/>
  <c r="L87"/>
  <c r="K88"/>
  <c r="P60"/>
  <c r="Q60" s="1"/>
  <c r="P59"/>
  <c r="Q59" s="1"/>
  <c r="P62"/>
  <c r="Q58"/>
  <c r="F9" i="6"/>
  <c r="F11" s="1"/>
  <c r="F34" s="1"/>
  <c r="F35" s="1"/>
  <c r="F36" s="1"/>
  <c r="S58" i="11"/>
  <c r="T57"/>
  <c r="H93"/>
  <c r="H112" s="1"/>
  <c r="H110"/>
  <c r="E7" i="9"/>
  <c r="E8"/>
  <c r="F8"/>
  <c r="F9" s="1"/>
  <c r="I110" i="11"/>
  <c r="I43"/>
  <c r="I112" s="1"/>
  <c r="E7" i="6"/>
  <c r="G9" i="9"/>
  <c r="G110" i="11"/>
  <c r="G43"/>
  <c r="E10" i="6"/>
  <c r="C8" i="44" s="1"/>
  <c r="G33" i="11"/>
  <c r="E8" i="6"/>
  <c r="G73" i="11"/>
  <c r="G93"/>
  <c r="K11" l="1"/>
  <c r="K13" s="1"/>
  <c r="J41"/>
  <c r="J43" s="1"/>
  <c r="K23"/>
  <c r="M37"/>
  <c r="L38"/>
  <c r="L19"/>
  <c r="L20"/>
  <c r="L22"/>
  <c r="J14" i="39" s="1"/>
  <c r="L29" i="11"/>
  <c r="L32"/>
  <c r="J22" i="39" s="1"/>
  <c r="L30" i="11"/>
  <c r="L31" s="1"/>
  <c r="L9"/>
  <c r="L10"/>
  <c r="L12"/>
  <c r="J6" i="39" s="1"/>
  <c r="P61" i="11"/>
  <c r="P63" s="1"/>
  <c r="Q63" s="1"/>
  <c r="J101"/>
  <c r="K33"/>
  <c r="K40"/>
  <c r="K42"/>
  <c r="I30" i="39" s="1"/>
  <c r="K39" i="11"/>
  <c r="K41" s="1"/>
  <c r="N17"/>
  <c r="M18"/>
  <c r="M28"/>
  <c r="N27"/>
  <c r="M8"/>
  <c r="N7"/>
  <c r="K107"/>
  <c r="I6" i="6" s="1"/>
  <c r="I8" i="9" s="1"/>
  <c r="J73" i="11"/>
  <c r="J109"/>
  <c r="H8" i="6" s="1"/>
  <c r="J83" i="11"/>
  <c r="H78" i="39"/>
  <c r="J111" i="11"/>
  <c r="H10" i="6" s="1"/>
  <c r="J108" i="11"/>
  <c r="H7" i="6" s="1"/>
  <c r="H9" s="1"/>
  <c r="C11" i="17"/>
  <c r="K92" i="11"/>
  <c r="I70" i="39" s="1"/>
  <c r="K89" i="11"/>
  <c r="K90"/>
  <c r="K69"/>
  <c r="K72"/>
  <c r="I54" i="39" s="1"/>
  <c r="K70" i="11"/>
  <c r="K71" s="1"/>
  <c r="M97"/>
  <c r="L98"/>
  <c r="L78"/>
  <c r="M77"/>
  <c r="H7" i="9"/>
  <c r="H8"/>
  <c r="J91" i="11"/>
  <c r="J93" s="1"/>
  <c r="L88"/>
  <c r="M87"/>
  <c r="M67"/>
  <c r="L68"/>
  <c r="K99"/>
  <c r="K102"/>
  <c r="K100"/>
  <c r="K80"/>
  <c r="K82"/>
  <c r="I62" i="39" s="1"/>
  <c r="K79" i="11"/>
  <c r="K81" s="1"/>
  <c r="T58"/>
  <c r="U57"/>
  <c r="N46" i="39"/>
  <c r="O46" s="1"/>
  <c r="Q62" i="11"/>
  <c r="S60"/>
  <c r="S59"/>
  <c r="S62"/>
  <c r="Q61"/>
  <c r="G35" i="6"/>
  <c r="G36" s="1"/>
  <c r="G112" i="11"/>
  <c r="E21" i="9"/>
  <c r="E9"/>
  <c r="E9" i="6"/>
  <c r="E11" s="1"/>
  <c r="E34" s="1"/>
  <c r="C11" i="44" l="1"/>
  <c r="L21" i="11"/>
  <c r="L23" s="1"/>
  <c r="K43"/>
  <c r="J110"/>
  <c r="J103"/>
  <c r="J112" s="1"/>
  <c r="N8"/>
  <c r="O7"/>
  <c r="N28"/>
  <c r="O27"/>
  <c r="M19"/>
  <c r="M22"/>
  <c r="M20"/>
  <c r="N37"/>
  <c r="M38"/>
  <c r="K108"/>
  <c r="I7" i="6" s="1"/>
  <c r="H11"/>
  <c r="H34" s="1"/>
  <c r="H35" s="1"/>
  <c r="H36" s="1"/>
  <c r="L11" i="11"/>
  <c r="L33"/>
  <c r="M10"/>
  <c r="M12"/>
  <c r="M9"/>
  <c r="M11" s="1"/>
  <c r="M29"/>
  <c r="M30"/>
  <c r="M32"/>
  <c r="N18"/>
  <c r="O17"/>
  <c r="L39"/>
  <c r="L42"/>
  <c r="L40"/>
  <c r="L41" s="1"/>
  <c r="K101"/>
  <c r="K109"/>
  <c r="I8" i="6" s="1"/>
  <c r="I9" s="1"/>
  <c r="I78" i="39"/>
  <c r="K111" i="11"/>
  <c r="I10" i="6" s="1"/>
  <c r="K83" i="11"/>
  <c r="K73"/>
  <c r="I7" i="9"/>
  <c r="I9" s="1"/>
  <c r="C12" i="44"/>
  <c r="H21" i="9"/>
  <c r="I11" i="17"/>
  <c r="N67" i="11"/>
  <c r="M68"/>
  <c r="L89"/>
  <c r="L92"/>
  <c r="L90"/>
  <c r="L79"/>
  <c r="L82"/>
  <c r="L80"/>
  <c r="L81" s="1"/>
  <c r="M98"/>
  <c r="N97"/>
  <c r="K103"/>
  <c r="H9" i="9"/>
  <c r="K91" i="11"/>
  <c r="K93" s="1"/>
  <c r="L69"/>
  <c r="L72"/>
  <c r="L70"/>
  <c r="N87"/>
  <c r="M88"/>
  <c r="M78"/>
  <c r="N77"/>
  <c r="L107"/>
  <c r="L99"/>
  <c r="L108" s="1"/>
  <c r="J7" i="6" s="1"/>
  <c r="L100" i="11"/>
  <c r="L102"/>
  <c r="Q46" i="39"/>
  <c r="T60" i="11"/>
  <c r="T59"/>
  <c r="T62"/>
  <c r="R46" i="39" s="1"/>
  <c r="S61" i="11"/>
  <c r="U58"/>
  <c r="V57"/>
  <c r="E35" i="6"/>
  <c r="I5" i="45"/>
  <c r="M31" i="11" l="1"/>
  <c r="M33" s="1"/>
  <c r="M13"/>
  <c r="I6" i="45"/>
  <c r="I11" i="6"/>
  <c r="I34" s="1"/>
  <c r="I35" s="1"/>
  <c r="I36" s="1"/>
  <c r="M21" i="11"/>
  <c r="M23" s="1"/>
  <c r="L43"/>
  <c r="J30" i="39"/>
  <c r="O18" i="11"/>
  <c r="P17"/>
  <c r="K22" i="39"/>
  <c r="K6"/>
  <c r="M40" i="11"/>
  <c r="M39"/>
  <c r="M42"/>
  <c r="K30" i="39" s="1"/>
  <c r="N32" i="11"/>
  <c r="L22" i="39" s="1"/>
  <c r="N29" i="11"/>
  <c r="N30"/>
  <c r="N12"/>
  <c r="L6" i="39" s="1"/>
  <c r="N9" i="11"/>
  <c r="N10"/>
  <c r="I21" i="9"/>
  <c r="N22" i="11"/>
  <c r="L14" i="39" s="1"/>
  <c r="N20" i="11"/>
  <c r="N19"/>
  <c r="L13"/>
  <c r="N38"/>
  <c r="O37"/>
  <c r="K14" i="39"/>
  <c r="O28" i="11"/>
  <c r="P27"/>
  <c r="O8"/>
  <c r="P7"/>
  <c r="J78" i="39"/>
  <c r="L111" i="11"/>
  <c r="L109"/>
  <c r="J8" i="6" s="1"/>
  <c r="J21" i="9" s="1"/>
  <c r="K112" i="11"/>
  <c r="K110"/>
  <c r="M107"/>
  <c r="K6" i="6" s="1"/>
  <c r="L91" i="11"/>
  <c r="L93" s="1"/>
  <c r="M82"/>
  <c r="K62" i="39" s="1"/>
  <c r="M80" i="11"/>
  <c r="M79"/>
  <c r="N78"/>
  <c r="O77"/>
  <c r="M90"/>
  <c r="M89"/>
  <c r="M92"/>
  <c r="K70" i="39" s="1"/>
  <c r="J54"/>
  <c r="N98" i="11"/>
  <c r="O97"/>
  <c r="J70" i="39"/>
  <c r="M70" i="11"/>
  <c r="M72"/>
  <c r="K54" i="39" s="1"/>
  <c r="M69" i="11"/>
  <c r="M71" s="1"/>
  <c r="T61"/>
  <c r="T63" s="1"/>
  <c r="L101"/>
  <c r="L83"/>
  <c r="J6" i="6"/>
  <c r="N88" i="11"/>
  <c r="O87"/>
  <c r="M99"/>
  <c r="M102"/>
  <c r="M100"/>
  <c r="J62" i="39"/>
  <c r="N68" i="11"/>
  <c r="O67"/>
  <c r="L71"/>
  <c r="U60"/>
  <c r="U59"/>
  <c r="U62"/>
  <c r="S46" i="39" s="1"/>
  <c r="W57" i="11"/>
  <c r="V58"/>
  <c r="S63"/>
  <c r="E36" i="6"/>
  <c r="C29" i="17"/>
  <c r="D31" s="1"/>
  <c r="I29"/>
  <c r="J31" s="1"/>
  <c r="N31" i="11" l="1"/>
  <c r="M73"/>
  <c r="N21"/>
  <c r="N11"/>
  <c r="N13" s="1"/>
  <c r="M109"/>
  <c r="K8" i="6" s="1"/>
  <c r="M108" i="11"/>
  <c r="K7" i="6" s="1"/>
  <c r="M91" i="11"/>
  <c r="M93" s="1"/>
  <c r="O12"/>
  <c r="M6" i="39" s="1"/>
  <c r="O9" i="11"/>
  <c r="O10"/>
  <c r="O32"/>
  <c r="M22" i="39" s="1"/>
  <c r="O30" i="11"/>
  <c r="O29"/>
  <c r="N42"/>
  <c r="L30" i="39" s="1"/>
  <c r="N40" i="11"/>
  <c r="N39"/>
  <c r="N41" s="1"/>
  <c r="N43" s="1"/>
  <c r="S17"/>
  <c r="P18"/>
  <c r="Q18" s="1"/>
  <c r="L110"/>
  <c r="M81"/>
  <c r="M83" s="1"/>
  <c r="M41"/>
  <c r="S7"/>
  <c r="P8"/>
  <c r="S27"/>
  <c r="P28"/>
  <c r="Q28" s="1"/>
  <c r="O38"/>
  <c r="P37"/>
  <c r="N23"/>
  <c r="N33"/>
  <c r="O20"/>
  <c r="O19"/>
  <c r="O22"/>
  <c r="M101"/>
  <c r="M103" s="1"/>
  <c r="K78" i="39"/>
  <c r="M111" i="11"/>
  <c r="K10" i="6" s="1"/>
  <c r="C14" i="44"/>
  <c r="K7" i="9"/>
  <c r="M110" i="11"/>
  <c r="J10" i="6"/>
  <c r="N107" i="11"/>
  <c r="O68"/>
  <c r="P67"/>
  <c r="O88"/>
  <c r="P87"/>
  <c r="N102"/>
  <c r="N99"/>
  <c r="N100"/>
  <c r="N82"/>
  <c r="L62" i="39" s="1"/>
  <c r="N79" i="11"/>
  <c r="N80"/>
  <c r="L73"/>
  <c r="N72"/>
  <c r="L54" i="39" s="1"/>
  <c r="N70" i="11"/>
  <c r="N69"/>
  <c r="N92"/>
  <c r="N90"/>
  <c r="N89"/>
  <c r="C13" i="44"/>
  <c r="J7" i="9"/>
  <c r="J9" i="6"/>
  <c r="J8" i="9"/>
  <c r="K8"/>
  <c r="L103" i="11"/>
  <c r="L112" s="1"/>
  <c r="O98"/>
  <c r="P97"/>
  <c r="O78"/>
  <c r="P77"/>
  <c r="W58"/>
  <c r="X57"/>
  <c r="V60"/>
  <c r="V59"/>
  <c r="V62"/>
  <c r="U61"/>
  <c r="C85" i="39"/>
  <c r="C19" i="9" s="1"/>
  <c r="C27" s="1"/>
  <c r="D85" i="39"/>
  <c r="D19" i="9" s="1"/>
  <c r="D27" s="1"/>
  <c r="D33" s="1"/>
  <c r="E79" i="39"/>
  <c r="F79" s="1"/>
  <c r="E80"/>
  <c r="F80" s="1"/>
  <c r="E81"/>
  <c r="F81" s="1"/>
  <c r="G81" s="1"/>
  <c r="H81" s="1"/>
  <c r="I81" s="1"/>
  <c r="J81" s="1"/>
  <c r="K81" s="1"/>
  <c r="L81" s="1"/>
  <c r="M81" s="1"/>
  <c r="N81" s="1"/>
  <c r="Q81" s="1"/>
  <c r="R81" s="1"/>
  <c r="S81" s="1"/>
  <c r="T81" s="1"/>
  <c r="E82"/>
  <c r="F82" s="1"/>
  <c r="G82" s="1"/>
  <c r="H82" s="1"/>
  <c r="I82" s="1"/>
  <c r="J82" s="1"/>
  <c r="K82" s="1"/>
  <c r="L82" s="1"/>
  <c r="M82" s="1"/>
  <c r="N82" s="1"/>
  <c r="Q82" s="1"/>
  <c r="R82" s="1"/>
  <c r="S82" s="1"/>
  <c r="T82" s="1"/>
  <c r="U82" s="1"/>
  <c r="V82" s="1"/>
  <c r="W82" s="1"/>
  <c r="X82" s="1"/>
  <c r="Y82" s="1"/>
  <c r="Z82" s="1"/>
  <c r="AA82" s="1"/>
  <c r="AB82" s="1"/>
  <c r="E71"/>
  <c r="E72"/>
  <c r="E73"/>
  <c r="F73" s="1"/>
  <c r="G73" s="1"/>
  <c r="H73" s="1"/>
  <c r="I73" s="1"/>
  <c r="J73" s="1"/>
  <c r="K73" s="1"/>
  <c r="L73" s="1"/>
  <c r="M73" s="1"/>
  <c r="N73" s="1"/>
  <c r="Q73" s="1"/>
  <c r="R73" s="1"/>
  <c r="S73" s="1"/>
  <c r="T73" s="1"/>
  <c r="U73" s="1"/>
  <c r="V73" s="1"/>
  <c r="W73" s="1"/>
  <c r="X73" s="1"/>
  <c r="Y73" s="1"/>
  <c r="Z73" s="1"/>
  <c r="AA73" s="1"/>
  <c r="E74"/>
  <c r="F74" s="1"/>
  <c r="G74" s="1"/>
  <c r="H74" s="1"/>
  <c r="I74" s="1"/>
  <c r="J74" s="1"/>
  <c r="K74" s="1"/>
  <c r="L74" s="1"/>
  <c r="M74" s="1"/>
  <c r="N74" s="1"/>
  <c r="Q74" s="1"/>
  <c r="R74" s="1"/>
  <c r="S74" s="1"/>
  <c r="T74" s="1"/>
  <c r="E63"/>
  <c r="F63" s="1"/>
  <c r="E64"/>
  <c r="F64" s="1"/>
  <c r="E65"/>
  <c r="F65" s="1"/>
  <c r="G65" s="1"/>
  <c r="H65" s="1"/>
  <c r="I65" s="1"/>
  <c r="J65" s="1"/>
  <c r="K65" s="1"/>
  <c r="L65" s="1"/>
  <c r="M65" s="1"/>
  <c r="N65" s="1"/>
  <c r="Q65" s="1"/>
  <c r="R65" s="1"/>
  <c r="S65" s="1"/>
  <c r="T65" s="1"/>
  <c r="U65" s="1"/>
  <c r="V65" s="1"/>
  <c r="W65" s="1"/>
  <c r="X65" s="1"/>
  <c r="Y65" s="1"/>
  <c r="Z65" s="1"/>
  <c r="AA65" s="1"/>
  <c r="AB65" s="1"/>
  <c r="AE65" s="1"/>
  <c r="AF65" s="1"/>
  <c r="AG65" s="1"/>
  <c r="AH65" s="1"/>
  <c r="AK65" s="1"/>
  <c r="AL65" s="1"/>
  <c r="AM65" s="1"/>
  <c r="AN65" s="1"/>
  <c r="AQ65" s="1"/>
  <c r="E66"/>
  <c r="F66" s="1"/>
  <c r="E55"/>
  <c r="F55" s="1"/>
  <c r="G55" s="1"/>
  <c r="E56"/>
  <c r="E57"/>
  <c r="F57" s="1"/>
  <c r="E58"/>
  <c r="F58" s="1"/>
  <c r="G58" s="1"/>
  <c r="H58" s="1"/>
  <c r="I58" s="1"/>
  <c r="J58" s="1"/>
  <c r="K58" s="1"/>
  <c r="L58" s="1"/>
  <c r="M58" s="1"/>
  <c r="N58" s="1"/>
  <c r="Q58" s="1"/>
  <c r="R58" s="1"/>
  <c r="S58" s="1"/>
  <c r="T58" s="1"/>
  <c r="E39"/>
  <c r="F39" s="1"/>
  <c r="E40"/>
  <c r="F40" s="1"/>
  <c r="G40" s="1"/>
  <c r="H40" s="1"/>
  <c r="E41"/>
  <c r="F41" s="1"/>
  <c r="G41" s="1"/>
  <c r="H41" s="1"/>
  <c r="I41" s="1"/>
  <c r="J41" s="1"/>
  <c r="K41" s="1"/>
  <c r="L41" s="1"/>
  <c r="M41" s="1"/>
  <c r="N41" s="1"/>
  <c r="Q41" s="1"/>
  <c r="R41" s="1"/>
  <c r="S41" s="1"/>
  <c r="T41" s="1"/>
  <c r="E42"/>
  <c r="F42" s="1"/>
  <c r="G42" s="1"/>
  <c r="H42" s="1"/>
  <c r="I42" s="1"/>
  <c r="J42" s="1"/>
  <c r="K42" s="1"/>
  <c r="L42" s="1"/>
  <c r="M42" s="1"/>
  <c r="N42" s="1"/>
  <c r="Q42" s="1"/>
  <c r="R42" s="1"/>
  <c r="S42" s="1"/>
  <c r="T42" s="1"/>
  <c r="U42" s="1"/>
  <c r="V42" s="1"/>
  <c r="W42" s="1"/>
  <c r="X42" s="1"/>
  <c r="Y42" s="1"/>
  <c r="Z42" s="1"/>
  <c r="AA42" s="1"/>
  <c r="E31"/>
  <c r="F31" s="1"/>
  <c r="E32"/>
  <c r="E33"/>
  <c r="F33" s="1"/>
  <c r="G33" s="1"/>
  <c r="E34"/>
  <c r="F34" s="1"/>
  <c r="E23"/>
  <c r="E24"/>
  <c r="F24" s="1"/>
  <c r="G24" s="1"/>
  <c r="E25"/>
  <c r="E26"/>
  <c r="F26" s="1"/>
  <c r="G26" s="1"/>
  <c r="E15"/>
  <c r="E16"/>
  <c r="E17"/>
  <c r="E18"/>
  <c r="E7"/>
  <c r="E8"/>
  <c r="E9"/>
  <c r="E10"/>
  <c r="F71"/>
  <c r="G71" s="1"/>
  <c r="F48"/>
  <c r="G48" s="1"/>
  <c r="F49"/>
  <c r="G49" s="1"/>
  <c r="H49" s="1"/>
  <c r="F50"/>
  <c r="G50" s="1"/>
  <c r="F32"/>
  <c r="G32" s="1"/>
  <c r="F23"/>
  <c r="G23" s="1"/>
  <c r="F25"/>
  <c r="G25" s="1"/>
  <c r="H25" s="1"/>
  <c r="I25" s="1"/>
  <c r="J25" s="1"/>
  <c r="K25" s="1"/>
  <c r="L25" s="1"/>
  <c r="M25" s="1"/>
  <c r="N25" s="1"/>
  <c r="Q25" s="1"/>
  <c r="R25" s="1"/>
  <c r="S25" s="1"/>
  <c r="T25" s="1"/>
  <c r="F15"/>
  <c r="G15" s="1"/>
  <c r="F16"/>
  <c r="F17"/>
  <c r="F18"/>
  <c r="G18" s="1"/>
  <c r="F7"/>
  <c r="G7" s="1"/>
  <c r="F8"/>
  <c r="G8" s="1"/>
  <c r="H8" s="1"/>
  <c r="I8" s="1"/>
  <c r="J8" s="1"/>
  <c r="K8" s="1"/>
  <c r="L8" s="1"/>
  <c r="M8" s="1"/>
  <c r="N8" s="1"/>
  <c r="Q8" s="1"/>
  <c r="R8" s="1"/>
  <c r="S8" s="1"/>
  <c r="F9"/>
  <c r="G9" s="1"/>
  <c r="F10"/>
  <c r="G47"/>
  <c r="H47" s="1"/>
  <c r="G17"/>
  <c r="H17" s="1"/>
  <c r="I17" s="1"/>
  <c r="J17" s="1"/>
  <c r="K17" s="1"/>
  <c r="L17" s="1"/>
  <c r="M17" s="1"/>
  <c r="N17" s="1"/>
  <c r="Q17" s="1"/>
  <c r="G10"/>
  <c r="H10" s="1"/>
  <c r="I10" s="1"/>
  <c r="J10" s="1"/>
  <c r="K10" s="1"/>
  <c r="L10" s="1"/>
  <c r="M10" s="1"/>
  <c r="N10" s="1"/>
  <c r="Q10" s="1"/>
  <c r="U81"/>
  <c r="V81" s="1"/>
  <c r="W81" s="1"/>
  <c r="X81" s="1"/>
  <c r="Y81" s="1"/>
  <c r="Z81" s="1"/>
  <c r="AA81" s="1"/>
  <c r="AB81" s="1"/>
  <c r="AE81" s="1"/>
  <c r="AF81" s="1"/>
  <c r="AG81" s="1"/>
  <c r="AH81" s="1"/>
  <c r="AK81" s="1"/>
  <c r="AL81" s="1"/>
  <c r="AM81" s="1"/>
  <c r="AN81" s="1"/>
  <c r="AQ81" s="1"/>
  <c r="U74"/>
  <c r="V74" s="1"/>
  <c r="W74" s="1"/>
  <c r="U41"/>
  <c r="V41" s="1"/>
  <c r="W41" s="1"/>
  <c r="X41" s="1"/>
  <c r="Y41" s="1"/>
  <c r="Z41" s="1"/>
  <c r="AA41" s="1"/>
  <c r="AB41" s="1"/>
  <c r="AE41" s="1"/>
  <c r="AB73"/>
  <c r="AE73" s="1"/>
  <c r="AF73" s="1"/>
  <c r="AG73" s="1"/>
  <c r="AH73" s="1"/>
  <c r="AK73" s="1"/>
  <c r="AB42"/>
  <c r="AE42" s="1"/>
  <c r="AF42" s="1"/>
  <c r="AE82"/>
  <c r="AF82" s="1"/>
  <c r="AG82" s="1"/>
  <c r="AO65"/>
  <c r="O73"/>
  <c r="O65"/>
  <c r="O81"/>
  <c r="O42"/>
  <c r="O41"/>
  <c r="AC41"/>
  <c r="O58"/>
  <c r="AC65"/>
  <c r="AI65"/>
  <c r="AC81"/>
  <c r="O82"/>
  <c r="J11" i="6" l="1"/>
  <c r="J34" s="1"/>
  <c r="J35" s="1"/>
  <c r="AO81" i="39"/>
  <c r="E35"/>
  <c r="V61" i="11"/>
  <c r="O31"/>
  <c r="O33" s="1"/>
  <c r="O11"/>
  <c r="G64" i="39"/>
  <c r="H64" s="1"/>
  <c r="I64" s="1"/>
  <c r="J64" s="1"/>
  <c r="K64" s="1"/>
  <c r="L64" s="1"/>
  <c r="M64" s="1"/>
  <c r="N64" s="1"/>
  <c r="Q64" s="1"/>
  <c r="R64" s="1"/>
  <c r="S64" s="1"/>
  <c r="T64" s="1"/>
  <c r="U64" s="1"/>
  <c r="V64" s="1"/>
  <c r="W64" s="1"/>
  <c r="X64" s="1"/>
  <c r="Y64" s="1"/>
  <c r="Z64" s="1"/>
  <c r="AA64" s="1"/>
  <c r="AB64" s="1"/>
  <c r="AE64" s="1"/>
  <c r="AF64" s="1"/>
  <c r="G80"/>
  <c r="H80" s="1"/>
  <c r="I80" s="1"/>
  <c r="J80" s="1"/>
  <c r="K80" s="1"/>
  <c r="L80" s="1"/>
  <c r="M80" s="1"/>
  <c r="N80" s="1"/>
  <c r="Q80" s="1"/>
  <c r="R80" s="1"/>
  <c r="S80" s="1"/>
  <c r="T80" s="1"/>
  <c r="U80" s="1"/>
  <c r="V80" s="1"/>
  <c r="W80" s="1"/>
  <c r="X80" s="1"/>
  <c r="Y80" s="1"/>
  <c r="Z80" s="1"/>
  <c r="AA80" s="1"/>
  <c r="AB80" s="1"/>
  <c r="AE80" s="1"/>
  <c r="AF80" s="1"/>
  <c r="AC82"/>
  <c r="O74"/>
  <c r="G34"/>
  <c r="H34" s="1"/>
  <c r="I34" s="1"/>
  <c r="J34" s="1"/>
  <c r="K34" s="1"/>
  <c r="L34" s="1"/>
  <c r="M34" s="1"/>
  <c r="N34" s="1"/>
  <c r="Q34" s="1"/>
  <c r="R34" s="1"/>
  <c r="S34" s="1"/>
  <c r="T34" s="1"/>
  <c r="U34" s="1"/>
  <c r="V34" s="1"/>
  <c r="W34" s="1"/>
  <c r="X34" s="1"/>
  <c r="Y34" s="1"/>
  <c r="Z34" s="1"/>
  <c r="AA34" s="1"/>
  <c r="AB34" s="1"/>
  <c r="AE34" s="1"/>
  <c r="AF34" s="1"/>
  <c r="AG34" s="1"/>
  <c r="U58"/>
  <c r="V58" s="1"/>
  <c r="W58" s="1"/>
  <c r="X58" s="1"/>
  <c r="Y58" s="1"/>
  <c r="Z58" s="1"/>
  <c r="AA58" s="1"/>
  <c r="AB58" s="1"/>
  <c r="AE58" s="1"/>
  <c r="R10"/>
  <c r="S10" s="1"/>
  <c r="T10" s="1"/>
  <c r="U10" s="1"/>
  <c r="V10" s="1"/>
  <c r="W10" s="1"/>
  <c r="X10" s="1"/>
  <c r="Y10" s="1"/>
  <c r="Z10" s="1"/>
  <c r="AA10" s="1"/>
  <c r="AB10" s="1"/>
  <c r="AE10" s="1"/>
  <c r="AF10" s="1"/>
  <c r="R17"/>
  <c r="S17" s="1"/>
  <c r="T17" s="1"/>
  <c r="U17" s="1"/>
  <c r="V17" s="1"/>
  <c r="W17" s="1"/>
  <c r="X17" s="1"/>
  <c r="Y17" s="1"/>
  <c r="Z17" s="1"/>
  <c r="AA17" s="1"/>
  <c r="AB17" s="1"/>
  <c r="AE17" s="1"/>
  <c r="AF17" s="1"/>
  <c r="AG17" s="1"/>
  <c r="AH17" s="1"/>
  <c r="H15"/>
  <c r="I15" s="1"/>
  <c r="J15" s="1"/>
  <c r="K15" s="1"/>
  <c r="L15" s="1"/>
  <c r="M15" s="1"/>
  <c r="N15" s="1"/>
  <c r="Q15" s="1"/>
  <c r="R15" s="1"/>
  <c r="S15" s="1"/>
  <c r="T15" s="1"/>
  <c r="U15" s="1"/>
  <c r="H23"/>
  <c r="I23" s="1"/>
  <c r="J23" s="1"/>
  <c r="K23" s="1"/>
  <c r="L23" s="1"/>
  <c r="M23" s="1"/>
  <c r="N23" s="1"/>
  <c r="Q23" s="1"/>
  <c r="R23" s="1"/>
  <c r="S23" s="1"/>
  <c r="T23" s="1"/>
  <c r="U23" s="1"/>
  <c r="O17"/>
  <c r="O25"/>
  <c r="AC64"/>
  <c r="AC73"/>
  <c r="O8"/>
  <c r="O10"/>
  <c r="F19"/>
  <c r="E19"/>
  <c r="K9" i="9"/>
  <c r="O13" i="11"/>
  <c r="M14" i="39"/>
  <c r="O39" i="11"/>
  <c r="O42"/>
  <c r="O40"/>
  <c r="S28"/>
  <c r="T27"/>
  <c r="S8"/>
  <c r="T7"/>
  <c r="M43"/>
  <c r="M112" s="1"/>
  <c r="T17"/>
  <c r="S18"/>
  <c r="N91"/>
  <c r="N93" s="1"/>
  <c r="O21"/>
  <c r="S37"/>
  <c r="P38"/>
  <c r="P30"/>
  <c r="Q30" s="1"/>
  <c r="P32"/>
  <c r="P29"/>
  <c r="Q29" s="1"/>
  <c r="P10"/>
  <c r="Q10" s="1"/>
  <c r="P12"/>
  <c r="P9"/>
  <c r="Q9" s="1"/>
  <c r="P19"/>
  <c r="Q19" s="1"/>
  <c r="P22"/>
  <c r="N14" i="39" s="1"/>
  <c r="P20" i="11"/>
  <c r="Q20" s="1"/>
  <c r="Q8"/>
  <c r="H32" i="39"/>
  <c r="I32" s="1"/>
  <c r="J32" s="1"/>
  <c r="K32" s="1"/>
  <c r="L32" s="1"/>
  <c r="M32" s="1"/>
  <c r="N32" s="1"/>
  <c r="Q32" s="1"/>
  <c r="R32" s="1"/>
  <c r="S32" s="1"/>
  <c r="T32" s="1"/>
  <c r="U32" s="1"/>
  <c r="V32" s="1"/>
  <c r="W32" s="1"/>
  <c r="X32" s="1"/>
  <c r="Y32" s="1"/>
  <c r="Z32" s="1"/>
  <c r="AA32" s="1"/>
  <c r="AB32" s="1"/>
  <c r="AE32" s="1"/>
  <c r="G31"/>
  <c r="G35" s="1"/>
  <c r="F35"/>
  <c r="AI73"/>
  <c r="H9"/>
  <c r="I9" s="1"/>
  <c r="J9" s="1"/>
  <c r="K9" s="1"/>
  <c r="L9" s="1"/>
  <c r="M9" s="1"/>
  <c r="N9" s="1"/>
  <c r="Q9" s="1"/>
  <c r="H18"/>
  <c r="I18" s="1"/>
  <c r="J18" s="1"/>
  <c r="K18" s="1"/>
  <c r="L18" s="1"/>
  <c r="M18" s="1"/>
  <c r="N18" s="1"/>
  <c r="Q18" s="1"/>
  <c r="H26"/>
  <c r="I26" s="1"/>
  <c r="J26" s="1"/>
  <c r="K26" s="1"/>
  <c r="L26" s="1"/>
  <c r="M26" s="1"/>
  <c r="N26" s="1"/>
  <c r="Q26" s="1"/>
  <c r="G27"/>
  <c r="H24"/>
  <c r="H33"/>
  <c r="I33" s="1"/>
  <c r="J33" s="1"/>
  <c r="K33" s="1"/>
  <c r="L33" s="1"/>
  <c r="M33" s="1"/>
  <c r="N33" s="1"/>
  <c r="Q33" s="1"/>
  <c r="H31"/>
  <c r="U25"/>
  <c r="V25" s="1"/>
  <c r="W25" s="1"/>
  <c r="X25" s="1"/>
  <c r="Y25" s="1"/>
  <c r="Z25" s="1"/>
  <c r="AA25" s="1"/>
  <c r="AB25" s="1"/>
  <c r="AE25" s="1"/>
  <c r="AF25" s="1"/>
  <c r="AG25" s="1"/>
  <c r="AH25" s="1"/>
  <c r="AK25" s="1"/>
  <c r="H7"/>
  <c r="I7" s="1"/>
  <c r="J7" s="1"/>
  <c r="K7" s="1"/>
  <c r="L7" s="1"/>
  <c r="M7" s="1"/>
  <c r="N7" s="1"/>
  <c r="Q7" s="1"/>
  <c r="R7" s="1"/>
  <c r="S7" s="1"/>
  <c r="T7" s="1"/>
  <c r="U7" s="1"/>
  <c r="V7" s="1"/>
  <c r="G16"/>
  <c r="F11"/>
  <c r="E11"/>
  <c r="E67"/>
  <c r="I11"/>
  <c r="G11"/>
  <c r="F27"/>
  <c r="E27"/>
  <c r="N81" i="11"/>
  <c r="N83" s="1"/>
  <c r="V63"/>
  <c r="L6" i="6"/>
  <c r="K21" i="9"/>
  <c r="O107" i="11"/>
  <c r="M6" i="6" s="1"/>
  <c r="N109" i="11"/>
  <c r="L8" i="6" s="1"/>
  <c r="N111" i="11"/>
  <c r="N101"/>
  <c r="N108"/>
  <c r="K9" i="6"/>
  <c r="K11" s="1"/>
  <c r="K34" s="1"/>
  <c r="K35" s="1"/>
  <c r="K36" s="1"/>
  <c r="X74" i="39"/>
  <c r="Y74" s="1"/>
  <c r="Z74" s="1"/>
  <c r="AA74" s="1"/>
  <c r="AB74" s="1"/>
  <c r="AE74" s="1"/>
  <c r="AF74" s="1"/>
  <c r="AG74" s="1"/>
  <c r="AH74" s="1"/>
  <c r="AK74" s="1"/>
  <c r="I40"/>
  <c r="J40" s="1"/>
  <c r="K40" s="1"/>
  <c r="L40" s="1"/>
  <c r="M40" s="1"/>
  <c r="N40" s="1"/>
  <c r="Q40" s="1"/>
  <c r="I47"/>
  <c r="J47" s="1"/>
  <c r="K47" s="1"/>
  <c r="L47" s="1"/>
  <c r="M47" s="1"/>
  <c r="N47" s="1"/>
  <c r="Q47" s="1"/>
  <c r="H50"/>
  <c r="I50" s="1"/>
  <c r="J50" s="1"/>
  <c r="K50" s="1"/>
  <c r="L50" s="1"/>
  <c r="M50" s="1"/>
  <c r="N50" s="1"/>
  <c r="Q50" s="1"/>
  <c r="G51"/>
  <c r="H48"/>
  <c r="G57"/>
  <c r="H57" s="1"/>
  <c r="I57" s="1"/>
  <c r="J57" s="1"/>
  <c r="K57" s="1"/>
  <c r="L57" s="1"/>
  <c r="M57" s="1"/>
  <c r="N57" s="1"/>
  <c r="Q57" s="1"/>
  <c r="R57" s="1"/>
  <c r="S57" s="1"/>
  <c r="T57" s="1"/>
  <c r="U57" s="1"/>
  <c r="V57" s="1"/>
  <c r="W57" s="1"/>
  <c r="X57" s="1"/>
  <c r="Y57" s="1"/>
  <c r="Z57" s="1"/>
  <c r="AA57" s="1"/>
  <c r="AB57" s="1"/>
  <c r="AE57" s="1"/>
  <c r="I49"/>
  <c r="J49" s="1"/>
  <c r="K49" s="1"/>
  <c r="L49" s="1"/>
  <c r="M49" s="1"/>
  <c r="N49" s="1"/>
  <c r="Q49" s="1"/>
  <c r="G66"/>
  <c r="H66" s="1"/>
  <c r="I66" s="1"/>
  <c r="J66" s="1"/>
  <c r="K66" s="1"/>
  <c r="L66" s="1"/>
  <c r="M66" s="1"/>
  <c r="N66" s="1"/>
  <c r="Q66" s="1"/>
  <c r="AI81"/>
  <c r="AC80"/>
  <c r="AC42"/>
  <c r="E43"/>
  <c r="F51"/>
  <c r="E83"/>
  <c r="AH82"/>
  <c r="AK82" s="1"/>
  <c r="AG42"/>
  <c r="AH42" s="1"/>
  <c r="AK42" s="1"/>
  <c r="AG64"/>
  <c r="AH64" s="1"/>
  <c r="AK64" s="1"/>
  <c r="AG80"/>
  <c r="AH80" s="1"/>
  <c r="AK80" s="1"/>
  <c r="AL73"/>
  <c r="AM73" s="1"/>
  <c r="AN73" s="1"/>
  <c r="AQ73" s="1"/>
  <c r="AI74"/>
  <c r="AF41"/>
  <c r="AG41" s="1"/>
  <c r="AH41" s="1"/>
  <c r="AK41" s="1"/>
  <c r="AI41"/>
  <c r="AC32"/>
  <c r="V23"/>
  <c r="T8"/>
  <c r="E75"/>
  <c r="E59"/>
  <c r="O82" i="11"/>
  <c r="O79"/>
  <c r="O80"/>
  <c r="O99"/>
  <c r="O102"/>
  <c r="O100"/>
  <c r="J9" i="9"/>
  <c r="L70" i="39"/>
  <c r="L78"/>
  <c r="O89" i="11"/>
  <c r="O90"/>
  <c r="O92"/>
  <c r="M70" i="39" s="1"/>
  <c r="O70" i="11"/>
  <c r="O72"/>
  <c r="O69"/>
  <c r="O71" s="1"/>
  <c r="O11" i="17"/>
  <c r="N71" i="11"/>
  <c r="S77"/>
  <c r="P78"/>
  <c r="S97"/>
  <c r="P98"/>
  <c r="S87"/>
  <c r="P88"/>
  <c r="S67"/>
  <c r="P68"/>
  <c r="U63"/>
  <c r="T46" i="39"/>
  <c r="X58" i="11"/>
  <c r="Y57"/>
  <c r="W60"/>
  <c r="W59"/>
  <c r="W62"/>
  <c r="U46" i="39" s="1"/>
  <c r="F43"/>
  <c r="G39"/>
  <c r="F83"/>
  <c r="G79"/>
  <c r="C11" i="9"/>
  <c r="C33"/>
  <c r="H55" i="39"/>
  <c r="H71"/>
  <c r="F67"/>
  <c r="G63"/>
  <c r="F56"/>
  <c r="F72"/>
  <c r="AI25" l="1"/>
  <c r="AK17"/>
  <c r="AI17"/>
  <c r="AG10"/>
  <c r="AH10" s="1"/>
  <c r="AK10" s="1"/>
  <c r="M11"/>
  <c r="O23"/>
  <c r="O15"/>
  <c r="AC17"/>
  <c r="AC10"/>
  <c r="AC58"/>
  <c r="O34"/>
  <c r="O80"/>
  <c r="O64"/>
  <c r="O73" i="11"/>
  <c r="P21"/>
  <c r="P23" s="1"/>
  <c r="O14" i="39"/>
  <c r="P11" i="11"/>
  <c r="P13" s="1"/>
  <c r="Q13" s="1"/>
  <c r="P31"/>
  <c r="O41"/>
  <c r="O43" s="1"/>
  <c r="AF58" i="39"/>
  <c r="AG58" s="1"/>
  <c r="AH58" s="1"/>
  <c r="AK58" s="1"/>
  <c r="K11"/>
  <c r="Q11"/>
  <c r="O18"/>
  <c r="O32"/>
  <c r="O81" i="11"/>
  <c r="O83" s="1"/>
  <c r="T37"/>
  <c r="S38"/>
  <c r="O23"/>
  <c r="S20"/>
  <c r="S22"/>
  <c r="Q14" i="39" s="1"/>
  <c r="S19" i="11"/>
  <c r="S21" s="1"/>
  <c r="S23" s="1"/>
  <c r="U7"/>
  <c r="T8"/>
  <c r="U27"/>
  <c r="T28"/>
  <c r="M30" i="39"/>
  <c r="Q22" i="11"/>
  <c r="N6" i="39"/>
  <c r="O6" s="1"/>
  <c r="Q12" i="11"/>
  <c r="P33"/>
  <c r="Q33" s="1"/>
  <c r="Q31"/>
  <c r="N22" i="39"/>
  <c r="O22" s="1"/>
  <c r="Q32" i="11"/>
  <c r="P39"/>
  <c r="Q39" s="1"/>
  <c r="P42"/>
  <c r="N30" i="39" s="1"/>
  <c r="P40" i="11"/>
  <c r="Q40" s="1"/>
  <c r="Q38"/>
  <c r="U17"/>
  <c r="T18"/>
  <c r="S10"/>
  <c r="S12"/>
  <c r="Q6" i="39" s="1"/>
  <c r="S9" i="11"/>
  <c r="S11" s="1"/>
  <c r="S30"/>
  <c r="S29"/>
  <c r="S32"/>
  <c r="Q22" i="39" s="1"/>
  <c r="Q11" i="11"/>
  <c r="I7" i="45"/>
  <c r="AH34" i="39"/>
  <c r="AK34" s="1"/>
  <c r="AO73"/>
  <c r="AC57"/>
  <c r="G19"/>
  <c r="H16"/>
  <c r="H35"/>
  <c r="I31"/>
  <c r="R33"/>
  <c r="S33" s="1"/>
  <c r="T33" s="1"/>
  <c r="U33" s="1"/>
  <c r="V33" s="1"/>
  <c r="W33" s="1"/>
  <c r="X33" s="1"/>
  <c r="Y33" s="1"/>
  <c r="Z33" s="1"/>
  <c r="AA33" s="1"/>
  <c r="AB33" s="1"/>
  <c r="AE33" s="1"/>
  <c r="R26"/>
  <c r="S26" s="1"/>
  <c r="T26" s="1"/>
  <c r="U26" s="1"/>
  <c r="V26" s="1"/>
  <c r="W26" s="1"/>
  <c r="X26" s="1"/>
  <c r="Y26" s="1"/>
  <c r="Z26" s="1"/>
  <c r="AA26" s="1"/>
  <c r="AB26" s="1"/>
  <c r="AE26" s="1"/>
  <c r="R9"/>
  <c r="S9" s="1"/>
  <c r="H27"/>
  <c r="I24"/>
  <c r="R18"/>
  <c r="S18" s="1"/>
  <c r="T18" s="1"/>
  <c r="U18" s="1"/>
  <c r="V18" s="1"/>
  <c r="W18" s="1"/>
  <c r="X18" s="1"/>
  <c r="Y18" s="1"/>
  <c r="Z18" s="1"/>
  <c r="AA18" s="1"/>
  <c r="AB18" s="1"/>
  <c r="AE18" s="1"/>
  <c r="E85"/>
  <c r="E19" i="9" s="1"/>
  <c r="AI80" i="39"/>
  <c r="AI64"/>
  <c r="AI42"/>
  <c r="O50"/>
  <c r="O47"/>
  <c r="O40"/>
  <c r="AC74"/>
  <c r="H11"/>
  <c r="J11"/>
  <c r="L11"/>
  <c r="N11"/>
  <c r="R11"/>
  <c r="O7"/>
  <c r="AC25"/>
  <c r="O33"/>
  <c r="O26"/>
  <c r="O9"/>
  <c r="O11" s="1"/>
  <c r="AC34"/>
  <c r="L7" i="6"/>
  <c r="C15" i="44" s="1"/>
  <c r="L10" i="6"/>
  <c r="M8" i="9"/>
  <c r="M7"/>
  <c r="L7"/>
  <c r="L8"/>
  <c r="O109" i="11"/>
  <c r="O108"/>
  <c r="M7" i="6" s="1"/>
  <c r="M78" i="39"/>
  <c r="O111" i="11"/>
  <c r="M10" i="6" s="1"/>
  <c r="N103" i="11"/>
  <c r="N110"/>
  <c r="P107"/>
  <c r="N6" i="6" s="1"/>
  <c r="O91" i="11"/>
  <c r="O93" s="1"/>
  <c r="R50" i="39"/>
  <c r="S50" s="1"/>
  <c r="T50" s="1"/>
  <c r="U50" s="1"/>
  <c r="V50" s="1"/>
  <c r="W50" s="1"/>
  <c r="X50" s="1"/>
  <c r="Y50" s="1"/>
  <c r="Z50" s="1"/>
  <c r="AA50" s="1"/>
  <c r="AB50" s="1"/>
  <c r="AE50" s="1"/>
  <c r="R47"/>
  <c r="S47" s="1"/>
  <c r="T47" s="1"/>
  <c r="U47" s="1"/>
  <c r="V47" s="1"/>
  <c r="W47" s="1"/>
  <c r="X47" s="1"/>
  <c r="Y47" s="1"/>
  <c r="Z47" s="1"/>
  <c r="AA47" s="1"/>
  <c r="AB47" s="1"/>
  <c r="AE47" s="1"/>
  <c r="R40"/>
  <c r="S40" s="1"/>
  <c r="T40" s="1"/>
  <c r="U40" s="1"/>
  <c r="V40" s="1"/>
  <c r="W40" s="1"/>
  <c r="X40" s="1"/>
  <c r="Y40" s="1"/>
  <c r="Z40" s="1"/>
  <c r="AA40" s="1"/>
  <c r="AB40" s="1"/>
  <c r="AE40" s="1"/>
  <c r="O66"/>
  <c r="O49"/>
  <c r="O57"/>
  <c r="R66"/>
  <c r="S66" s="1"/>
  <c r="T66" s="1"/>
  <c r="U66" s="1"/>
  <c r="V66" s="1"/>
  <c r="W66" s="1"/>
  <c r="X66" s="1"/>
  <c r="Y66" s="1"/>
  <c r="Z66" s="1"/>
  <c r="AA66" s="1"/>
  <c r="AB66" s="1"/>
  <c r="AE66" s="1"/>
  <c r="R49"/>
  <c r="S49" s="1"/>
  <c r="T49" s="1"/>
  <c r="U49" s="1"/>
  <c r="V49" s="1"/>
  <c r="W49" s="1"/>
  <c r="X49" s="1"/>
  <c r="Y49" s="1"/>
  <c r="Z49" s="1"/>
  <c r="AA49" s="1"/>
  <c r="AB49" s="1"/>
  <c r="AE49" s="1"/>
  <c r="H51"/>
  <c r="I48"/>
  <c r="C12" i="17"/>
  <c r="AL82" i="39"/>
  <c r="AM82" s="1"/>
  <c r="AN82" s="1"/>
  <c r="AQ82" s="1"/>
  <c r="V15"/>
  <c r="W23"/>
  <c r="W7"/>
  <c r="AF32"/>
  <c r="AG32" s="1"/>
  <c r="AH32" s="1"/>
  <c r="AK32" s="1"/>
  <c r="AL41"/>
  <c r="AM41" s="1"/>
  <c r="AN41" s="1"/>
  <c r="AQ41" s="1"/>
  <c r="AL25"/>
  <c r="AM25" s="1"/>
  <c r="AN25" s="1"/>
  <c r="AQ25" s="1"/>
  <c r="AL34"/>
  <c r="AM34" s="1"/>
  <c r="AN34" s="1"/>
  <c r="AQ34" s="1"/>
  <c r="AL74"/>
  <c r="AM74" s="1"/>
  <c r="AN74" s="1"/>
  <c r="AQ74" s="1"/>
  <c r="AL10"/>
  <c r="AM10" s="1"/>
  <c r="AN10" s="1"/>
  <c r="AQ10" s="1"/>
  <c r="AF57"/>
  <c r="AG57" s="1"/>
  <c r="AH57" s="1"/>
  <c r="AK57" s="1"/>
  <c r="AL80"/>
  <c r="AM80" s="1"/>
  <c r="AN80" s="1"/>
  <c r="AQ80" s="1"/>
  <c r="AL64"/>
  <c r="AM64" s="1"/>
  <c r="AN64" s="1"/>
  <c r="AQ64" s="1"/>
  <c r="AL42"/>
  <c r="AM42" s="1"/>
  <c r="AN42" s="1"/>
  <c r="AQ42" s="1"/>
  <c r="AL17"/>
  <c r="AM17" s="1"/>
  <c r="AN17" s="1"/>
  <c r="AQ17" s="1"/>
  <c r="AI82"/>
  <c r="U8"/>
  <c r="N73" i="11"/>
  <c r="S68"/>
  <c r="T67"/>
  <c r="S88"/>
  <c r="T87"/>
  <c r="J36" i="6"/>
  <c r="O29" i="17"/>
  <c r="P31" s="1"/>
  <c r="S98" i="11"/>
  <c r="T97"/>
  <c r="T77"/>
  <c r="S78"/>
  <c r="M54" i="39"/>
  <c r="O101" i="11"/>
  <c r="O110" s="1"/>
  <c r="M62" i="39"/>
  <c r="P69" i="11"/>
  <c r="Q69" s="1"/>
  <c r="P72"/>
  <c r="N54" i="39" s="1"/>
  <c r="P70" i="11"/>
  <c r="Q70" s="1"/>
  <c r="Q68"/>
  <c r="P89"/>
  <c r="Q89" s="1"/>
  <c r="P92"/>
  <c r="N70" i="39" s="1"/>
  <c r="O70" s="1"/>
  <c r="P90" i="11"/>
  <c r="Q90" s="1"/>
  <c r="Q88"/>
  <c r="P100"/>
  <c r="P99"/>
  <c r="P102"/>
  <c r="Q102" s="1"/>
  <c r="Q98"/>
  <c r="P80"/>
  <c r="Q80" s="1"/>
  <c r="P82"/>
  <c r="N62" i="39" s="1"/>
  <c r="O62" s="1"/>
  <c r="P79" i="11"/>
  <c r="Q79" s="1"/>
  <c r="L9" i="6"/>
  <c r="Q78" i="11"/>
  <c r="X60"/>
  <c r="X59"/>
  <c r="X62"/>
  <c r="V46" i="39" s="1"/>
  <c r="W61" i="11"/>
  <c r="Y58"/>
  <c r="Z57"/>
  <c r="F59" i="39"/>
  <c r="G56"/>
  <c r="C14" i="9"/>
  <c r="F75" i="39"/>
  <c r="G72"/>
  <c r="G67"/>
  <c r="H63"/>
  <c r="I71"/>
  <c r="I55"/>
  <c r="G83"/>
  <c r="H79"/>
  <c r="G43"/>
  <c r="H39"/>
  <c r="L21" i="9" l="1"/>
  <c r="L11" i="6"/>
  <c r="L34" s="1"/>
  <c r="L35" s="1"/>
  <c r="L36" s="1"/>
  <c r="AI10" i="39"/>
  <c r="Q23" i="11"/>
  <c r="S13"/>
  <c r="P41"/>
  <c r="P43" s="1"/>
  <c r="Q43" s="1"/>
  <c r="O30" i="39"/>
  <c r="Q21" i="11"/>
  <c r="F85" i="39"/>
  <c r="AI58"/>
  <c r="S31" i="11"/>
  <c r="S33" s="1"/>
  <c r="AL58" i="39"/>
  <c r="AM58" s="1"/>
  <c r="AN58" s="1"/>
  <c r="AQ58" s="1"/>
  <c r="AO58"/>
  <c r="AC49"/>
  <c r="AC66"/>
  <c r="AC40"/>
  <c r="AI34"/>
  <c r="T20" i="11"/>
  <c r="T22"/>
  <c r="R14" i="39" s="1"/>
  <c r="T19" i="11"/>
  <c r="T21" s="1"/>
  <c r="U28"/>
  <c r="V27"/>
  <c r="V7"/>
  <c r="U8"/>
  <c r="U37"/>
  <c r="T38"/>
  <c r="V17"/>
  <c r="U18"/>
  <c r="T29"/>
  <c r="T32"/>
  <c r="R22" i="39" s="1"/>
  <c r="T30" i="11"/>
  <c r="T9"/>
  <c r="T12"/>
  <c r="R6" i="39" s="1"/>
  <c r="T10" i="11"/>
  <c r="S39"/>
  <c r="S40"/>
  <c r="S42"/>
  <c r="Q30" i="39" s="1"/>
  <c r="Q42" i="11"/>
  <c r="Q41"/>
  <c r="I27" i="39"/>
  <c r="J24"/>
  <c r="T9"/>
  <c r="S11"/>
  <c r="I35"/>
  <c r="J31"/>
  <c r="AO10"/>
  <c r="AC18"/>
  <c r="AC26"/>
  <c r="AC33"/>
  <c r="AF18"/>
  <c r="AG18" s="1"/>
  <c r="AH18" s="1"/>
  <c r="AK18" s="1"/>
  <c r="AF26"/>
  <c r="AG26" s="1"/>
  <c r="AH26" s="1"/>
  <c r="AK26" s="1"/>
  <c r="AL26" s="1"/>
  <c r="AM26" s="1"/>
  <c r="AN26" s="1"/>
  <c r="AQ26" s="1"/>
  <c r="AF33"/>
  <c r="AG33" s="1"/>
  <c r="AH33" s="1"/>
  <c r="AK33" s="1"/>
  <c r="AI33"/>
  <c r="H19"/>
  <c r="I16"/>
  <c r="P101" i="11"/>
  <c r="P103" s="1"/>
  <c r="O54" i="39"/>
  <c r="Q72" i="11"/>
  <c r="Q100"/>
  <c r="P109"/>
  <c r="N8" i="6" s="1"/>
  <c r="M8"/>
  <c r="C16" i="44" s="1"/>
  <c r="X61" i="11"/>
  <c r="X63" s="1"/>
  <c r="P81"/>
  <c r="P83" s="1"/>
  <c r="Q83" s="1"/>
  <c r="P91"/>
  <c r="P93" s="1"/>
  <c r="Q93" s="1"/>
  <c r="S107"/>
  <c r="Q6" i="6" s="1"/>
  <c r="Q107" i="11"/>
  <c r="N112"/>
  <c r="M9" i="9"/>
  <c r="N78" i="39"/>
  <c r="O78" s="1"/>
  <c r="P111" i="11"/>
  <c r="N10" i="6" s="1"/>
  <c r="O10" s="1"/>
  <c r="Q99" i="11"/>
  <c r="P108"/>
  <c r="N7" i="6" s="1"/>
  <c r="N8" i="9"/>
  <c r="O8" s="1"/>
  <c r="N7"/>
  <c r="L9"/>
  <c r="O6" i="6"/>
  <c r="I51" i="39"/>
  <c r="J48"/>
  <c r="AF50"/>
  <c r="AG50" s="1"/>
  <c r="AH50" s="1"/>
  <c r="AK50" s="1"/>
  <c r="AF49"/>
  <c r="AG49" s="1"/>
  <c r="AH49" s="1"/>
  <c r="AK49" s="1"/>
  <c r="AF66"/>
  <c r="AG66" s="1"/>
  <c r="AH66" s="1"/>
  <c r="AK66" s="1"/>
  <c r="AF40"/>
  <c r="AG40" s="1"/>
  <c r="AH40" s="1"/>
  <c r="AK40" s="1"/>
  <c r="AO41"/>
  <c r="AO82"/>
  <c r="AC47"/>
  <c r="AC50"/>
  <c r="AF47"/>
  <c r="AG47" s="1"/>
  <c r="AH47" s="1"/>
  <c r="AK47" s="1"/>
  <c r="AL47" s="1"/>
  <c r="AM47" s="1"/>
  <c r="AN47" s="1"/>
  <c r="AQ47" s="1"/>
  <c r="F19" i="9"/>
  <c r="F27" s="1"/>
  <c r="F33" s="1"/>
  <c r="AL32" i="39"/>
  <c r="AM32" s="1"/>
  <c r="AN32" s="1"/>
  <c r="AQ32" s="1"/>
  <c r="X23"/>
  <c r="V8"/>
  <c r="X7"/>
  <c r="W15"/>
  <c r="E27" i="9"/>
  <c r="E33" s="1"/>
  <c r="AO17" i="39"/>
  <c r="AO42"/>
  <c r="AO64"/>
  <c r="AO80"/>
  <c r="AI57"/>
  <c r="AO74"/>
  <c r="AO34"/>
  <c r="AO25"/>
  <c r="AI32"/>
  <c r="AL57"/>
  <c r="AM57" s="1"/>
  <c r="AN57" s="1"/>
  <c r="AQ57" s="1"/>
  <c r="O103" i="11"/>
  <c r="O112" s="1"/>
  <c r="U77"/>
  <c r="T78"/>
  <c r="S102"/>
  <c r="S99"/>
  <c r="S100"/>
  <c r="S92"/>
  <c r="Q70" i="39" s="1"/>
  <c r="S89" i="11"/>
  <c r="S90"/>
  <c r="S69"/>
  <c r="S70"/>
  <c r="S72"/>
  <c r="Q54" i="39" s="1"/>
  <c r="P71" i="11"/>
  <c r="Q92"/>
  <c r="S79"/>
  <c r="S80"/>
  <c r="S82"/>
  <c r="Q62" i="39" s="1"/>
  <c r="T98" i="11"/>
  <c r="U97"/>
  <c r="T88"/>
  <c r="U87"/>
  <c r="U67"/>
  <c r="T68"/>
  <c r="Q82"/>
  <c r="Y60"/>
  <c r="Y59"/>
  <c r="Y62"/>
  <c r="W63"/>
  <c r="AA57"/>
  <c r="Z58"/>
  <c r="H43" i="39"/>
  <c r="I39"/>
  <c r="J55"/>
  <c r="H67"/>
  <c r="I63"/>
  <c r="C16" i="9"/>
  <c r="H56" i="39"/>
  <c r="G59"/>
  <c r="H83"/>
  <c r="I79"/>
  <c r="J71"/>
  <c r="H72"/>
  <c r="G75"/>
  <c r="Q91" i="11" l="1"/>
  <c r="Q101"/>
  <c r="C17" i="44"/>
  <c r="C18" s="1"/>
  <c r="Q109" i="11"/>
  <c r="AI18" i="39"/>
  <c r="AO26"/>
  <c r="AI26"/>
  <c r="S71" i="11"/>
  <c r="T11"/>
  <c r="T13" s="1"/>
  <c r="N9" i="6"/>
  <c r="N11" s="1"/>
  <c r="N34" s="1"/>
  <c r="N35" s="1"/>
  <c r="N36" s="1"/>
  <c r="N21" i="9"/>
  <c r="O8" i="6"/>
  <c r="AO47" i="39"/>
  <c r="AI40"/>
  <c r="AI66"/>
  <c r="AI49"/>
  <c r="V18" i="11"/>
  <c r="W17"/>
  <c r="U38"/>
  <c r="V37"/>
  <c r="W7"/>
  <c r="V8"/>
  <c r="U32"/>
  <c r="S22" i="39" s="1"/>
  <c r="U29" i="11"/>
  <c r="U30"/>
  <c r="U22"/>
  <c r="S14" i="39" s="1"/>
  <c r="U19" i="11"/>
  <c r="U20"/>
  <c r="T39"/>
  <c r="T40"/>
  <c r="T42"/>
  <c r="R30" i="39" s="1"/>
  <c r="U9" i="11"/>
  <c r="U10"/>
  <c r="U12"/>
  <c r="S6" i="39" s="1"/>
  <c r="V28" i="11"/>
  <c r="W27"/>
  <c r="T31"/>
  <c r="T33" s="1"/>
  <c r="Q81"/>
  <c r="P110"/>
  <c r="Q110" s="1"/>
  <c r="M9" i="6"/>
  <c r="M11" s="1"/>
  <c r="M34" s="1"/>
  <c r="M35" s="1"/>
  <c r="M36" s="1"/>
  <c r="M21" i="9"/>
  <c r="O21" s="1"/>
  <c r="N9"/>
  <c r="S41" i="11"/>
  <c r="S43" s="1"/>
  <c r="T23"/>
  <c r="AO57" i="39"/>
  <c r="AL33"/>
  <c r="AM33" s="1"/>
  <c r="AN33" s="1"/>
  <c r="AQ33" s="1"/>
  <c r="AL18"/>
  <c r="AM18" s="1"/>
  <c r="AN18" s="1"/>
  <c r="AQ18" s="1"/>
  <c r="U9"/>
  <c r="T11"/>
  <c r="J27"/>
  <c r="K24"/>
  <c r="G85"/>
  <c r="G19" i="9" s="1"/>
  <c r="I19" i="39"/>
  <c r="J16"/>
  <c r="J35"/>
  <c r="K31"/>
  <c r="Q108" i="11"/>
  <c r="O9" i="9"/>
  <c r="T107" i="11"/>
  <c r="R6" i="6" s="1"/>
  <c r="S109" i="11"/>
  <c r="Q8" i="6" s="1"/>
  <c r="S81" i="11"/>
  <c r="S83" s="1"/>
  <c r="Q103"/>
  <c r="S91"/>
  <c r="S93" s="1"/>
  <c r="S108"/>
  <c r="Q7" i="6" s="1"/>
  <c r="Q111" i="11"/>
  <c r="O7" i="9"/>
  <c r="U11" i="17"/>
  <c r="Q78" i="39"/>
  <c r="S111" i="11"/>
  <c r="Q10" i="6" s="1"/>
  <c r="C21" i="44"/>
  <c r="Q7" i="9"/>
  <c r="Q8"/>
  <c r="S73" i="11"/>
  <c r="O7" i="6"/>
  <c r="O9" s="1"/>
  <c r="O11" s="1"/>
  <c r="O34" s="1"/>
  <c r="AL50" i="39"/>
  <c r="AM50" s="1"/>
  <c r="AN50" s="1"/>
  <c r="AQ50" s="1"/>
  <c r="J51"/>
  <c r="K48"/>
  <c r="AL40"/>
  <c r="AM40" s="1"/>
  <c r="AN40" s="1"/>
  <c r="AQ40" s="1"/>
  <c r="AL66"/>
  <c r="AM66" s="1"/>
  <c r="AN66" s="1"/>
  <c r="AQ66" s="1"/>
  <c r="AL49"/>
  <c r="AM49" s="1"/>
  <c r="AN49" s="1"/>
  <c r="AQ49" s="1"/>
  <c r="AI47"/>
  <c r="AI50"/>
  <c r="X15"/>
  <c r="Y7"/>
  <c r="W8"/>
  <c r="Y23"/>
  <c r="AO32"/>
  <c r="T69" i="11"/>
  <c r="T70"/>
  <c r="T72"/>
  <c r="R54" i="39" s="1"/>
  <c r="V87" i="11"/>
  <c r="U88"/>
  <c r="V97"/>
  <c r="U98"/>
  <c r="P73"/>
  <c r="Q73" s="1"/>
  <c r="Q71"/>
  <c r="U78"/>
  <c r="V77"/>
  <c r="Y61"/>
  <c r="Y63" s="1"/>
  <c r="S101"/>
  <c r="V67"/>
  <c r="U68"/>
  <c r="T92"/>
  <c r="R70" i="39" s="1"/>
  <c r="T90" i="11"/>
  <c r="T89"/>
  <c r="T102"/>
  <c r="T100"/>
  <c r="T99"/>
  <c r="T108" s="1"/>
  <c r="R7" i="6" s="1"/>
  <c r="T80" i="11"/>
  <c r="T82"/>
  <c r="R62" i="39" s="1"/>
  <c r="T79" i="11"/>
  <c r="T81" s="1"/>
  <c r="AA58"/>
  <c r="AB57"/>
  <c r="W46" i="39"/>
  <c r="Z60" i="11"/>
  <c r="Z59"/>
  <c r="Z62"/>
  <c r="X46" i="39" s="1"/>
  <c r="I72"/>
  <c r="H75"/>
  <c r="I56"/>
  <c r="H59"/>
  <c r="C32" i="9"/>
  <c r="C34" s="1"/>
  <c r="D31" s="1"/>
  <c r="C29"/>
  <c r="K71" i="39"/>
  <c r="I83"/>
  <c r="J79"/>
  <c r="I67"/>
  <c r="J63"/>
  <c r="K55"/>
  <c r="I43"/>
  <c r="J39"/>
  <c r="Q21" i="9" l="1"/>
  <c r="T41" i="11"/>
  <c r="AO49" i="39"/>
  <c r="H85"/>
  <c r="H19" i="9" s="1"/>
  <c r="H27" s="1"/>
  <c r="H33" s="1"/>
  <c r="AO40" i="39"/>
  <c r="AO50"/>
  <c r="Z61" i="11"/>
  <c r="U31"/>
  <c r="U33" s="1"/>
  <c r="Q9" i="6"/>
  <c r="Q11" s="1"/>
  <c r="Q34" s="1"/>
  <c r="Q35" s="1"/>
  <c r="Q36" s="1"/>
  <c r="U11" i="11"/>
  <c r="U13" s="1"/>
  <c r="U21"/>
  <c r="U23" s="1"/>
  <c r="T43"/>
  <c r="I8" i="45"/>
  <c r="AO66" i="39"/>
  <c r="AO18"/>
  <c r="V29" i="11"/>
  <c r="V30"/>
  <c r="V32"/>
  <c r="T22" i="39" s="1"/>
  <c r="X7" i="11"/>
  <c r="W8"/>
  <c r="U39"/>
  <c r="U40"/>
  <c r="U42"/>
  <c r="S30" i="39" s="1"/>
  <c r="V19" i="11"/>
  <c r="V22"/>
  <c r="T14" i="39" s="1"/>
  <c r="V20" i="11"/>
  <c r="X27"/>
  <c r="W28"/>
  <c r="V10"/>
  <c r="V12"/>
  <c r="T6" i="39" s="1"/>
  <c r="V9" i="11"/>
  <c r="V38"/>
  <c r="W37"/>
  <c r="X17"/>
  <c r="W18"/>
  <c r="P112"/>
  <c r="Q112" s="1"/>
  <c r="K35" i="39"/>
  <c r="L31"/>
  <c r="J19"/>
  <c r="K16"/>
  <c r="K27"/>
  <c r="L24"/>
  <c r="V9"/>
  <c r="U11"/>
  <c r="AO33"/>
  <c r="Q9" i="9"/>
  <c r="T83" i="11"/>
  <c r="O35" i="6"/>
  <c r="U29" i="17" s="1"/>
  <c r="V31" s="1"/>
  <c r="R78" i="39"/>
  <c r="T111" i="11"/>
  <c r="R10" i="6" s="1"/>
  <c r="C22" i="44" s="1"/>
  <c r="R7" i="9"/>
  <c r="R8"/>
  <c r="U107" i="11"/>
  <c r="S6" i="6" s="1"/>
  <c r="T101" i="11"/>
  <c r="T109"/>
  <c r="R8" i="6" s="1"/>
  <c r="R9" s="1"/>
  <c r="T71" i="11"/>
  <c r="T73" s="1"/>
  <c r="S103"/>
  <c r="S112" s="1"/>
  <c r="S110"/>
  <c r="K51" i="39"/>
  <c r="L48"/>
  <c r="Z23"/>
  <c r="X8"/>
  <c r="Z7"/>
  <c r="Y15"/>
  <c r="G27" i="9"/>
  <c r="I12" i="17"/>
  <c r="R21" i="9"/>
  <c r="U70" i="11"/>
  <c r="U72"/>
  <c r="S54" i="39" s="1"/>
  <c r="U69" i="11"/>
  <c r="U71" s="1"/>
  <c r="U82"/>
  <c r="S62" i="39" s="1"/>
  <c r="U79" i="11"/>
  <c r="U80"/>
  <c r="W97"/>
  <c r="V98"/>
  <c r="W87"/>
  <c r="V88"/>
  <c r="T91"/>
  <c r="T93" s="1"/>
  <c r="V68"/>
  <c r="W67"/>
  <c r="V78"/>
  <c r="W77"/>
  <c r="U99"/>
  <c r="U100"/>
  <c r="U102"/>
  <c r="U92"/>
  <c r="S70" i="39" s="1"/>
  <c r="U89" i="11"/>
  <c r="U90"/>
  <c r="Z63"/>
  <c r="AA60"/>
  <c r="AA59"/>
  <c r="AA62"/>
  <c r="Y46" i="39" s="1"/>
  <c r="AB58" i="11"/>
  <c r="AC57"/>
  <c r="J83" i="39"/>
  <c r="K79"/>
  <c r="J72"/>
  <c r="I75"/>
  <c r="J43"/>
  <c r="K39"/>
  <c r="L55"/>
  <c r="J67"/>
  <c r="K63"/>
  <c r="L71"/>
  <c r="D11" i="9"/>
  <c r="J56" i="39"/>
  <c r="I59"/>
  <c r="R11" i="6" l="1"/>
  <c r="R34" s="1"/>
  <c r="R35" s="1"/>
  <c r="R36" s="1"/>
  <c r="U73" i="11"/>
  <c r="U81"/>
  <c r="U83" s="1"/>
  <c r="V21"/>
  <c r="V23" s="1"/>
  <c r="U41"/>
  <c r="V31"/>
  <c r="V33" s="1"/>
  <c r="I85" i="39"/>
  <c r="I19" i="9" s="1"/>
  <c r="W22" i="11"/>
  <c r="U14" i="39" s="1"/>
  <c r="W19" i="11"/>
  <c r="W20"/>
  <c r="X37"/>
  <c r="W38"/>
  <c r="X28"/>
  <c r="Y27"/>
  <c r="W10"/>
  <c r="W9"/>
  <c r="W12"/>
  <c r="U6" i="39" s="1"/>
  <c r="V11" i="11"/>
  <c r="V13" s="1"/>
  <c r="Y17"/>
  <c r="X18"/>
  <c r="V40"/>
  <c r="V39"/>
  <c r="V42"/>
  <c r="T30" i="39" s="1"/>
  <c r="W30" i="11"/>
  <c r="W29"/>
  <c r="W32"/>
  <c r="U22" i="39" s="1"/>
  <c r="Y7" i="11"/>
  <c r="X8"/>
  <c r="U43"/>
  <c r="O36" i="6"/>
  <c r="W9" i="39"/>
  <c r="V11"/>
  <c r="L27"/>
  <c r="M24"/>
  <c r="K19"/>
  <c r="L16"/>
  <c r="L35"/>
  <c r="M31"/>
  <c r="S78"/>
  <c r="U111" i="11"/>
  <c r="S10" i="6" s="1"/>
  <c r="C23" i="44" s="1"/>
  <c r="U91" i="11"/>
  <c r="U93" s="1"/>
  <c r="U109"/>
  <c r="S8" i="6" s="1"/>
  <c r="R9" i="9"/>
  <c r="U101" i="11"/>
  <c r="U108"/>
  <c r="S7" i="6" s="1"/>
  <c r="T103" i="11"/>
  <c r="T112" s="1"/>
  <c r="T110"/>
  <c r="S8" i="9"/>
  <c r="S7"/>
  <c r="V107" i="11"/>
  <c r="T6" i="6" s="1"/>
  <c r="L51" i="39"/>
  <c r="M48"/>
  <c r="G33" i="9"/>
  <c r="Z15" i="39"/>
  <c r="AA7"/>
  <c r="Y8"/>
  <c r="AA23"/>
  <c r="V79" i="11"/>
  <c r="V80"/>
  <c r="V82"/>
  <c r="T62" i="39" s="1"/>
  <c r="V70" i="11"/>
  <c r="V69"/>
  <c r="V72"/>
  <c r="T54" i="39" s="1"/>
  <c r="V100" i="11"/>
  <c r="V99"/>
  <c r="V102"/>
  <c r="W78"/>
  <c r="X77"/>
  <c r="W68"/>
  <c r="X67"/>
  <c r="W88"/>
  <c r="X87"/>
  <c r="W98"/>
  <c r="W107" s="1"/>
  <c r="U6" i="6" s="1"/>
  <c r="X97" i="11"/>
  <c r="AA61"/>
  <c r="AA63" s="1"/>
  <c r="V90"/>
  <c r="V89"/>
  <c r="V92"/>
  <c r="T70" i="39" s="1"/>
  <c r="AB60" i="11"/>
  <c r="AB59"/>
  <c r="AB62"/>
  <c r="Z46" i="39" s="1"/>
  <c r="AC58" i="11"/>
  <c r="AD57"/>
  <c r="K56" i="39"/>
  <c r="J59"/>
  <c r="D14" i="9"/>
  <c r="K67" i="39"/>
  <c r="L63"/>
  <c r="K43"/>
  <c r="L39"/>
  <c r="K83"/>
  <c r="L79"/>
  <c r="M71"/>
  <c r="M55"/>
  <c r="K72"/>
  <c r="J75"/>
  <c r="V91" i="11" l="1"/>
  <c r="V93" s="1"/>
  <c r="V101"/>
  <c r="V103" s="1"/>
  <c r="W11"/>
  <c r="W13" s="1"/>
  <c r="W21"/>
  <c r="W23" s="1"/>
  <c r="W31"/>
  <c r="W33" s="1"/>
  <c r="V41"/>
  <c r="V43" s="1"/>
  <c r="J85" i="39"/>
  <c r="X9" i="11"/>
  <c r="X10"/>
  <c r="X12"/>
  <c r="V6" i="39" s="1"/>
  <c r="X22" i="11"/>
  <c r="V14" i="39" s="1"/>
  <c r="X19" i="11"/>
  <c r="X20"/>
  <c r="X30"/>
  <c r="X29"/>
  <c r="X32"/>
  <c r="V22" i="39" s="1"/>
  <c r="X38" i="11"/>
  <c r="Y37"/>
  <c r="AB61"/>
  <c r="AB63" s="1"/>
  <c r="V109"/>
  <c r="T8" i="6" s="1"/>
  <c r="V71" i="11"/>
  <c r="V73" s="1"/>
  <c r="S9" i="6"/>
  <c r="S11" s="1"/>
  <c r="S34" s="1"/>
  <c r="S35" s="1"/>
  <c r="S36" s="1"/>
  <c r="Z7" i="11"/>
  <c r="Y8"/>
  <c r="Z17"/>
  <c r="Y18"/>
  <c r="Y28"/>
  <c r="Z27"/>
  <c r="W39"/>
  <c r="W40"/>
  <c r="W42"/>
  <c r="U30" i="39" s="1"/>
  <c r="M35"/>
  <c r="N31"/>
  <c r="O31" s="1"/>
  <c r="O35" s="1"/>
  <c r="L19"/>
  <c r="M16"/>
  <c r="M27"/>
  <c r="N24"/>
  <c r="X9"/>
  <c r="W11"/>
  <c r="S9" i="9"/>
  <c r="U7"/>
  <c r="U8"/>
  <c r="T78" i="39"/>
  <c r="V111" i="11"/>
  <c r="T10" i="6" s="1"/>
  <c r="C24" i="44" s="1"/>
  <c r="V108" i="11"/>
  <c r="T7" i="6" s="1"/>
  <c r="S21" i="9"/>
  <c r="T7"/>
  <c r="T8"/>
  <c r="U103" i="11"/>
  <c r="U112" s="1"/>
  <c r="U110"/>
  <c r="M51" i="39"/>
  <c r="N48"/>
  <c r="J19" i="9"/>
  <c r="J27" s="1"/>
  <c r="J33" s="1"/>
  <c r="Z8" i="39"/>
  <c r="AA15"/>
  <c r="AB23"/>
  <c r="AB7"/>
  <c r="AC7" s="1"/>
  <c r="I27" i="9"/>
  <c r="W100" i="11"/>
  <c r="W102"/>
  <c r="W99"/>
  <c r="W90"/>
  <c r="W92"/>
  <c r="U70" i="39" s="1"/>
  <c r="W89" i="11"/>
  <c r="W91" s="1"/>
  <c r="W69"/>
  <c r="W70"/>
  <c r="W72"/>
  <c r="U54" i="39" s="1"/>
  <c r="W82" i="11"/>
  <c r="U62" i="39" s="1"/>
  <c r="W79" i="11"/>
  <c r="W80"/>
  <c r="X98"/>
  <c r="Y97"/>
  <c r="X88"/>
  <c r="Y87"/>
  <c r="X68"/>
  <c r="Y67"/>
  <c r="X78"/>
  <c r="Y77"/>
  <c r="V81"/>
  <c r="V83" s="1"/>
  <c r="AD58"/>
  <c r="AG57"/>
  <c r="AC60"/>
  <c r="AC59"/>
  <c r="AC62"/>
  <c r="AA46" i="39" s="1"/>
  <c r="L72"/>
  <c r="K75"/>
  <c r="N71"/>
  <c r="L83"/>
  <c r="M79"/>
  <c r="L43"/>
  <c r="M39"/>
  <c r="L67"/>
  <c r="M63"/>
  <c r="N55"/>
  <c r="D16" i="9"/>
  <c r="L56" i="39"/>
  <c r="K59"/>
  <c r="T9" i="6" l="1"/>
  <c r="X11" i="11"/>
  <c r="W41"/>
  <c r="W43" s="1"/>
  <c r="X13"/>
  <c r="T21" i="9"/>
  <c r="X21" i="11"/>
  <c r="X23" s="1"/>
  <c r="U9" i="9"/>
  <c r="Y30" i="11"/>
  <c r="Y32"/>
  <c r="W22" i="39" s="1"/>
  <c r="Y29" i="11"/>
  <c r="AA17"/>
  <c r="Z18"/>
  <c r="AA7"/>
  <c r="Z8"/>
  <c r="X40"/>
  <c r="X42"/>
  <c r="V30" i="39" s="1"/>
  <c r="X39" i="11"/>
  <c r="X41" s="1"/>
  <c r="T11" i="6"/>
  <c r="T34" s="1"/>
  <c r="T35" s="1"/>
  <c r="T36" s="1"/>
  <c r="X31" i="11"/>
  <c r="X33" s="1"/>
  <c r="AA27"/>
  <c r="Z28"/>
  <c r="Y19"/>
  <c r="Y20"/>
  <c r="Y22"/>
  <c r="W14" i="39" s="1"/>
  <c r="Y10" i="11"/>
  <c r="Y9"/>
  <c r="Y12"/>
  <c r="W6" i="39" s="1"/>
  <c r="Y38" i="11"/>
  <c r="Z37"/>
  <c r="Y9" i="39"/>
  <c r="X11"/>
  <c r="N27"/>
  <c r="Q24"/>
  <c r="M19"/>
  <c r="N16"/>
  <c r="N35"/>
  <c r="Q31"/>
  <c r="K85"/>
  <c r="K19" i="9" s="1"/>
  <c r="O24" i="39"/>
  <c r="O27" s="1"/>
  <c r="W81" i="11"/>
  <c r="W83" s="1"/>
  <c r="W93"/>
  <c r="AC61"/>
  <c r="AC63" s="1"/>
  <c r="X107"/>
  <c r="V6" i="6" s="1"/>
  <c r="W71" i="11"/>
  <c r="W73" s="1"/>
  <c r="W108"/>
  <c r="U7" i="6" s="1"/>
  <c r="W109" i="11"/>
  <c r="U8" i="6" s="1"/>
  <c r="T9" i="9"/>
  <c r="V112" i="11"/>
  <c r="U78" i="39"/>
  <c r="W111" i="11"/>
  <c r="U10" i="6" s="1"/>
  <c r="C25" i="44" s="1"/>
  <c r="V110" i="11"/>
  <c r="N51" i="39"/>
  <c r="Q48"/>
  <c r="O48"/>
  <c r="O51" s="1"/>
  <c r="I33" i="9"/>
  <c r="AE23" i="39"/>
  <c r="AE7"/>
  <c r="AB15"/>
  <c r="AA8"/>
  <c r="AC23"/>
  <c r="X80" i="11"/>
  <c r="X82"/>
  <c r="V62" i="39" s="1"/>
  <c r="X79" i="11"/>
  <c r="X81" s="1"/>
  <c r="X69"/>
  <c r="X70"/>
  <c r="X72"/>
  <c r="V54" i="39" s="1"/>
  <c r="X90" i="11"/>
  <c r="X89"/>
  <c r="X92"/>
  <c r="V70" i="39" s="1"/>
  <c r="X100" i="11"/>
  <c r="X99"/>
  <c r="X102"/>
  <c r="Y78"/>
  <c r="Z77"/>
  <c r="Z67"/>
  <c r="Y68"/>
  <c r="Y88"/>
  <c r="Z87"/>
  <c r="Z97"/>
  <c r="Y98"/>
  <c r="W101"/>
  <c r="AD59"/>
  <c r="AE59" s="1"/>
  <c r="AD62"/>
  <c r="AD60"/>
  <c r="AE60" s="1"/>
  <c r="AE58"/>
  <c r="AG58"/>
  <c r="AH57"/>
  <c r="M56" i="39"/>
  <c r="L59"/>
  <c r="D32" i="9"/>
  <c r="D34" s="1"/>
  <c r="E31" s="1"/>
  <c r="D29"/>
  <c r="Q55" i="39"/>
  <c r="M67"/>
  <c r="N63"/>
  <c r="M43"/>
  <c r="N39"/>
  <c r="M83"/>
  <c r="N79"/>
  <c r="Q71"/>
  <c r="M72"/>
  <c r="L75"/>
  <c r="L85" s="1"/>
  <c r="L19" i="9" s="1"/>
  <c r="L27" s="1"/>
  <c r="L33" s="1"/>
  <c r="O71" i="39"/>
  <c r="O55"/>
  <c r="Y107" i="11" l="1"/>
  <c r="W6" i="6" s="1"/>
  <c r="W8" i="9" s="1"/>
  <c r="X109" i="11"/>
  <c r="V8" i="6" s="1"/>
  <c r="O12" i="17"/>
  <c r="Y11" i="11"/>
  <c r="Y13" s="1"/>
  <c r="X43"/>
  <c r="Y40"/>
  <c r="Y42"/>
  <c r="W30" i="39" s="1"/>
  <c r="Y39" i="11"/>
  <c r="Z30"/>
  <c r="Z32"/>
  <c r="X22" i="39" s="1"/>
  <c r="Z29" i="11"/>
  <c r="Z31" s="1"/>
  <c r="Z9"/>
  <c r="Z12"/>
  <c r="X6" i="39" s="1"/>
  <c r="Z10" i="11"/>
  <c r="Z11" s="1"/>
  <c r="Z20"/>
  <c r="Z22"/>
  <c r="X14" i="39" s="1"/>
  <c r="Z19" i="11"/>
  <c r="Z21" s="1"/>
  <c r="Y21"/>
  <c r="Y23" s="1"/>
  <c r="Y31"/>
  <c r="Y33" s="1"/>
  <c r="AA37"/>
  <c r="Z38"/>
  <c r="AB27"/>
  <c r="AA28"/>
  <c r="AB7"/>
  <c r="AA8"/>
  <c r="AB17"/>
  <c r="AA18"/>
  <c r="Q35" i="39"/>
  <c r="R31"/>
  <c r="N19"/>
  <c r="Q16"/>
  <c r="O16"/>
  <c r="O19" s="1"/>
  <c r="Q27"/>
  <c r="R24"/>
  <c r="Z9"/>
  <c r="Y11"/>
  <c r="W103" i="11"/>
  <c r="W112" s="1"/>
  <c r="W110"/>
  <c r="U21" i="9"/>
  <c r="U9" i="6"/>
  <c r="U11" s="1"/>
  <c r="U34" s="1"/>
  <c r="U35" s="1"/>
  <c r="U36" s="1"/>
  <c r="V8" i="9"/>
  <c r="V7"/>
  <c r="X108" i="11"/>
  <c r="V7" i="6" s="1"/>
  <c r="W7" i="9"/>
  <c r="V78" i="39"/>
  <c r="X111" i="11"/>
  <c r="V10" i="6" s="1"/>
  <c r="Q51" i="39"/>
  <c r="R48"/>
  <c r="AE15"/>
  <c r="AC15"/>
  <c r="AB8"/>
  <c r="AC8" s="1"/>
  <c r="AF7"/>
  <c r="AF23"/>
  <c r="K27" i="9"/>
  <c r="Y102" i="11"/>
  <c r="Y99"/>
  <c r="Y100"/>
  <c r="AA87"/>
  <c r="Z88"/>
  <c r="Y69"/>
  <c r="Y70"/>
  <c r="Y72"/>
  <c r="W54" i="39" s="1"/>
  <c r="Z78" i="11"/>
  <c r="AA77"/>
  <c r="AA97"/>
  <c r="Z98"/>
  <c r="Y89"/>
  <c r="Y90"/>
  <c r="Y92"/>
  <c r="W70" i="39" s="1"/>
  <c r="Z68" i="11"/>
  <c r="AA67"/>
  <c r="Y80"/>
  <c r="Y82"/>
  <c r="W62" i="39" s="1"/>
  <c r="Y79" i="11"/>
  <c r="Y81" s="1"/>
  <c r="X101"/>
  <c r="X83"/>
  <c r="X91"/>
  <c r="X93" s="1"/>
  <c r="X71"/>
  <c r="X73" s="1"/>
  <c r="AG60"/>
  <c r="AG61" s="1"/>
  <c r="AG59"/>
  <c r="AG62"/>
  <c r="AB46" i="39"/>
  <c r="AC46" s="1"/>
  <c r="AE62" i="11"/>
  <c r="AD61"/>
  <c r="AH58"/>
  <c r="AI57"/>
  <c r="N72" i="39"/>
  <c r="M75"/>
  <c r="O72"/>
  <c r="N43"/>
  <c r="Q39"/>
  <c r="N67"/>
  <c r="Q63"/>
  <c r="O63"/>
  <c r="O67" s="1"/>
  <c r="R55"/>
  <c r="E11" i="9"/>
  <c r="R71" i="39"/>
  <c r="N83"/>
  <c r="Q79"/>
  <c r="O79"/>
  <c r="O83" s="1"/>
  <c r="N56"/>
  <c r="M59"/>
  <c r="O75"/>
  <c r="O39"/>
  <c r="O43" s="1"/>
  <c r="V21" i="9" l="1"/>
  <c r="V9" i="6"/>
  <c r="V11" s="1"/>
  <c r="V34" s="1"/>
  <c r="V35" s="1"/>
  <c r="V36" s="1"/>
  <c r="C26" i="44"/>
  <c r="Z33" i="11"/>
  <c r="W9" i="9"/>
  <c r="Y71" i="11"/>
  <c r="Y73" s="1"/>
  <c r="Z23"/>
  <c r="AA19"/>
  <c r="AA20"/>
  <c r="AA22"/>
  <c r="AA10"/>
  <c r="AA12"/>
  <c r="AA9"/>
  <c r="AA29"/>
  <c r="AA30"/>
  <c r="AA32"/>
  <c r="Z39"/>
  <c r="Z42"/>
  <c r="Z40"/>
  <c r="Y41"/>
  <c r="Y43" s="1"/>
  <c r="AB18"/>
  <c r="AC17"/>
  <c r="AB8"/>
  <c r="AC7"/>
  <c r="AC27"/>
  <c r="AB28"/>
  <c r="AB37"/>
  <c r="AA38"/>
  <c r="Z13"/>
  <c r="R27" i="39"/>
  <c r="S24"/>
  <c r="AA9"/>
  <c r="Z11"/>
  <c r="Q19"/>
  <c r="R16"/>
  <c r="R35"/>
  <c r="S31"/>
  <c r="M85"/>
  <c r="M19" i="9" s="1"/>
  <c r="Y91" i="11"/>
  <c r="Y93" s="1"/>
  <c r="W78" i="39"/>
  <c r="Y111" i="11"/>
  <c r="W10" i="6" s="1"/>
  <c r="Z107" i="11"/>
  <c r="Y109"/>
  <c r="W8" i="6" s="1"/>
  <c r="V9" i="9"/>
  <c r="X103" i="11"/>
  <c r="X112" s="1"/>
  <c r="X110"/>
  <c r="Y101"/>
  <c r="Y110" s="1"/>
  <c r="Y108"/>
  <c r="W7" i="6" s="1"/>
  <c r="R51" i="39"/>
  <c r="S48"/>
  <c r="K33" i="9"/>
  <c r="AG23" i="39"/>
  <c r="AF15"/>
  <c r="AG7"/>
  <c r="AE8"/>
  <c r="Y83" i="11"/>
  <c r="Z69"/>
  <c r="Z72"/>
  <c r="Z70"/>
  <c r="AB97"/>
  <c r="AA98"/>
  <c r="Z80"/>
  <c r="Z82"/>
  <c r="Z79"/>
  <c r="AA88"/>
  <c r="AB87"/>
  <c r="AB67"/>
  <c r="AA68"/>
  <c r="Z100"/>
  <c r="Z102"/>
  <c r="Z99"/>
  <c r="AA78"/>
  <c r="AB77"/>
  <c r="Z90"/>
  <c r="Z92"/>
  <c r="Z89"/>
  <c r="Z91" s="1"/>
  <c r="AI58"/>
  <c r="AJ57"/>
  <c r="AH62"/>
  <c r="AF46" i="39" s="1"/>
  <c r="AH60" i="11"/>
  <c r="AH59"/>
  <c r="AE46" i="39"/>
  <c r="AD63" i="11"/>
  <c r="AE63" s="1"/>
  <c r="AE61"/>
  <c r="AG63"/>
  <c r="Q56" i="39"/>
  <c r="O56"/>
  <c r="O59" s="1"/>
  <c r="N59"/>
  <c r="Q83"/>
  <c r="R79"/>
  <c r="S55"/>
  <c r="S71"/>
  <c r="E14" i="9"/>
  <c r="Q67" i="39"/>
  <c r="R63"/>
  <c r="Q43"/>
  <c r="R39"/>
  <c r="Q72"/>
  <c r="N75"/>
  <c r="C27" i="44" l="1"/>
  <c r="N85" i="39"/>
  <c r="Z41" i="11"/>
  <c r="Z43" s="1"/>
  <c r="AA31"/>
  <c r="AA33" s="1"/>
  <c r="Z93"/>
  <c r="Y103"/>
  <c r="Y112" s="1"/>
  <c r="AA40"/>
  <c r="AA39"/>
  <c r="AA42"/>
  <c r="Y30" i="39" s="1"/>
  <c r="AB30" i="11"/>
  <c r="AB32"/>
  <c r="Z22" i="39" s="1"/>
  <c r="AB29" i="11"/>
  <c r="AB31" s="1"/>
  <c r="AC8"/>
  <c r="AD7"/>
  <c r="AC18"/>
  <c r="AD17"/>
  <c r="X30" i="39"/>
  <c r="Y22"/>
  <c r="Y14"/>
  <c r="AA11" i="11"/>
  <c r="AC37"/>
  <c r="AB38"/>
  <c r="AC28"/>
  <c r="AD27"/>
  <c r="AB9"/>
  <c r="AB12"/>
  <c r="Z6" i="39" s="1"/>
  <c r="AB10" i="11"/>
  <c r="AB19"/>
  <c r="AB20"/>
  <c r="AB22"/>
  <c r="Z14" i="39" s="1"/>
  <c r="Y6"/>
  <c r="AA21" i="11"/>
  <c r="T31" i="39"/>
  <c r="S35"/>
  <c r="R19"/>
  <c r="S16"/>
  <c r="AB9"/>
  <c r="AA11"/>
  <c r="S27"/>
  <c r="T24"/>
  <c r="AA107" i="11"/>
  <c r="Y6" i="6" s="1"/>
  <c r="W21" i="9"/>
  <c r="W9" i="6"/>
  <c r="W11" s="1"/>
  <c r="W34" s="1"/>
  <c r="W35" s="1"/>
  <c r="W36" s="1"/>
  <c r="X6"/>
  <c r="Z111" i="11"/>
  <c r="S51" i="39"/>
  <c r="T48"/>
  <c r="N19" i="9"/>
  <c r="N27" s="1"/>
  <c r="N33" s="1"/>
  <c r="O85" i="39"/>
  <c r="U12" i="17"/>
  <c r="AF8" i="39"/>
  <c r="AH7"/>
  <c r="AI7" s="1"/>
  <c r="AG15"/>
  <c r="AH23"/>
  <c r="M27" i="9"/>
  <c r="O19"/>
  <c r="AA79" i="11"/>
  <c r="AA80"/>
  <c r="AA82"/>
  <c r="Y62" i="39" s="1"/>
  <c r="Z108" i="11"/>
  <c r="AA70"/>
  <c r="AA72"/>
  <c r="Y54" i="39" s="1"/>
  <c r="AA69" i="11"/>
  <c r="AA71" s="1"/>
  <c r="AB88"/>
  <c r="AC87"/>
  <c r="X62" i="39"/>
  <c r="AA100" i="11"/>
  <c r="AA102"/>
  <c r="AA99"/>
  <c r="Z101"/>
  <c r="Z71"/>
  <c r="X70" i="39"/>
  <c r="AC77" i="11"/>
  <c r="AB78"/>
  <c r="X78" i="39"/>
  <c r="Z109" i="11"/>
  <c r="AC67"/>
  <c r="AB68"/>
  <c r="AA90"/>
  <c r="AA92"/>
  <c r="Y70" i="39" s="1"/>
  <c r="AA89" i="11"/>
  <c r="AA91" s="1"/>
  <c r="AC97"/>
  <c r="AB98"/>
  <c r="X54" i="39"/>
  <c r="Z81" i="11"/>
  <c r="AJ58"/>
  <c r="AK58" s="1"/>
  <c r="AM57"/>
  <c r="AH61"/>
  <c r="AI62"/>
  <c r="AI60"/>
  <c r="AI59"/>
  <c r="R67" i="39"/>
  <c r="S63"/>
  <c r="T71"/>
  <c r="T55"/>
  <c r="R72"/>
  <c r="Q75"/>
  <c r="R43"/>
  <c r="S39"/>
  <c r="E16" i="9"/>
  <c r="R83" i="39"/>
  <c r="S79"/>
  <c r="R56"/>
  <c r="Q59"/>
  <c r="AA41" i="11" l="1"/>
  <c r="AC30"/>
  <c r="AC29"/>
  <c r="AC32"/>
  <c r="AD37"/>
  <c r="AC38"/>
  <c r="AC22"/>
  <c r="AA14" i="39" s="1"/>
  <c r="AC19" i="11"/>
  <c r="AC21" s="1"/>
  <c r="AC23" s="1"/>
  <c r="AC20"/>
  <c r="AC9"/>
  <c r="AC10"/>
  <c r="AC12"/>
  <c r="AB107"/>
  <c r="Z6" i="6" s="1"/>
  <c r="Z7" i="9" s="1"/>
  <c r="AA93" i="11"/>
  <c r="AB21"/>
  <c r="AB23" s="1"/>
  <c r="AB11"/>
  <c r="AB13" s="1"/>
  <c r="AA23"/>
  <c r="AG27"/>
  <c r="AD28"/>
  <c r="AB40"/>
  <c r="AB42"/>
  <c r="AB39"/>
  <c r="AB41" s="1"/>
  <c r="AA13"/>
  <c r="AG17"/>
  <c r="AD18"/>
  <c r="AG7"/>
  <c r="AD8"/>
  <c r="AB33"/>
  <c r="AA43"/>
  <c r="U24" i="39"/>
  <c r="T27"/>
  <c r="S19"/>
  <c r="T16"/>
  <c r="U31"/>
  <c r="T35"/>
  <c r="Q85"/>
  <c r="AE9"/>
  <c r="AB11"/>
  <c r="AC9"/>
  <c r="AC11" s="1"/>
  <c r="Y8" i="9"/>
  <c r="Y7"/>
  <c r="Z110" i="11"/>
  <c r="AA108"/>
  <c r="Y7" i="6" s="1"/>
  <c r="AA109" i="11"/>
  <c r="Y8" i="6" s="1"/>
  <c r="AA73" i="11"/>
  <c r="Y78" i="39"/>
  <c r="AA111" i="11"/>
  <c r="Y10" i="6" s="1"/>
  <c r="X10"/>
  <c r="C28" i="44" s="1"/>
  <c r="X8" i="9"/>
  <c r="X7"/>
  <c r="T51" i="39"/>
  <c r="U48"/>
  <c r="Q19" i="9"/>
  <c r="M33"/>
  <c r="O27"/>
  <c r="AG8" i="39"/>
  <c r="AK23"/>
  <c r="AI23"/>
  <c r="AH15"/>
  <c r="AI15" s="1"/>
  <c r="AK7"/>
  <c r="AB70" i="11"/>
  <c r="AB69"/>
  <c r="AB72"/>
  <c r="Z73"/>
  <c r="AC98"/>
  <c r="AD97"/>
  <c r="AC68"/>
  <c r="AD67"/>
  <c r="X8" i="6"/>
  <c r="AD77" i="11"/>
  <c r="AC78"/>
  <c r="AD87"/>
  <c r="AC88"/>
  <c r="AA101"/>
  <c r="AA81"/>
  <c r="AA83" s="1"/>
  <c r="Z83"/>
  <c r="AB99"/>
  <c r="AB100"/>
  <c r="AB102"/>
  <c r="AB80"/>
  <c r="AB79"/>
  <c r="AB82"/>
  <c r="Z103"/>
  <c r="AB89"/>
  <c r="AB90"/>
  <c r="AB92"/>
  <c r="Z70" i="39" s="1"/>
  <c r="X7" i="6"/>
  <c r="AI61" i="11"/>
  <c r="AI63" s="1"/>
  <c r="AM58"/>
  <c r="AN57"/>
  <c r="AJ60"/>
  <c r="AK60" s="1"/>
  <c r="AJ59"/>
  <c r="AK59" s="1"/>
  <c r="AJ62"/>
  <c r="AH46" i="39" s="1"/>
  <c r="AG46"/>
  <c r="AH63" i="11"/>
  <c r="S83" i="39"/>
  <c r="T79"/>
  <c r="S43"/>
  <c r="T39"/>
  <c r="S72"/>
  <c r="R75"/>
  <c r="U71"/>
  <c r="S67"/>
  <c r="T63"/>
  <c r="S56"/>
  <c r="R59"/>
  <c r="E32" i="9"/>
  <c r="E34" s="1"/>
  <c r="E29"/>
  <c r="U55" i="39"/>
  <c r="C29" i="44" l="1"/>
  <c r="Z8" i="9"/>
  <c r="Z9" s="1"/>
  <c r="AC11" i="11"/>
  <c r="AC31"/>
  <c r="AC33" s="1"/>
  <c r="Y9" i="9"/>
  <c r="R85" i="39"/>
  <c r="R19" i="9" s="1"/>
  <c r="R27" s="1"/>
  <c r="R33" s="1"/>
  <c r="AB43" i="11"/>
  <c r="AH7"/>
  <c r="AG8"/>
  <c r="AH17"/>
  <c r="AG18"/>
  <c r="AG28"/>
  <c r="AH27"/>
  <c r="AA6" i="39"/>
  <c r="AG37" i="11"/>
  <c r="AD38"/>
  <c r="AC13"/>
  <c r="AD10"/>
  <c r="AE10" s="1"/>
  <c r="AD12"/>
  <c r="AB6" i="39" s="1"/>
  <c r="AD9" i="11"/>
  <c r="AE9" s="1"/>
  <c r="AE8"/>
  <c r="AD19"/>
  <c r="AE19" s="1"/>
  <c r="AD22"/>
  <c r="AD20"/>
  <c r="AE20" s="1"/>
  <c r="AE18"/>
  <c r="Z30" i="39"/>
  <c r="AD32" i="11"/>
  <c r="AB22" i="39" s="1"/>
  <c r="AD30" i="11"/>
  <c r="AE30" s="1"/>
  <c r="AD29"/>
  <c r="AE29" s="1"/>
  <c r="AC39"/>
  <c r="AC40"/>
  <c r="AC42"/>
  <c r="AA30" i="39" s="1"/>
  <c r="AA22"/>
  <c r="AE32" i="11"/>
  <c r="AE28"/>
  <c r="V31" i="39"/>
  <c r="U35"/>
  <c r="U16"/>
  <c r="T19"/>
  <c r="U27"/>
  <c r="V24"/>
  <c r="AF9"/>
  <c r="AE11"/>
  <c r="X9" i="9"/>
  <c r="Y21"/>
  <c r="AI46" i="39"/>
  <c r="AB91" i="11"/>
  <c r="AB93" s="1"/>
  <c r="Z112"/>
  <c r="AB81"/>
  <c r="AB83" s="1"/>
  <c r="AB111"/>
  <c r="AB108"/>
  <c r="Z7" i="6" s="1"/>
  <c r="Y9"/>
  <c r="Y11" s="1"/>
  <c r="Y34" s="1"/>
  <c r="Y35" s="1"/>
  <c r="Y36" s="1"/>
  <c r="AA103" i="11"/>
  <c r="AA112" s="1"/>
  <c r="AA110"/>
  <c r="AB109"/>
  <c r="AC107"/>
  <c r="V48" i="39"/>
  <c r="U51"/>
  <c r="AL7"/>
  <c r="AL23"/>
  <c r="AK15"/>
  <c r="AH8"/>
  <c r="Q27" i="9"/>
  <c r="Q33" s="1"/>
  <c r="X21"/>
  <c r="X9" i="6"/>
  <c r="X11" s="1"/>
  <c r="X34" s="1"/>
  <c r="X35" s="1"/>
  <c r="X36" s="1"/>
  <c r="Z62" i="39"/>
  <c r="AG87" i="11"/>
  <c r="AD88"/>
  <c r="AG77"/>
  <c r="AD78"/>
  <c r="AE78" s="1"/>
  <c r="AC69"/>
  <c r="AC70"/>
  <c r="AC72"/>
  <c r="AA54" i="39" s="1"/>
  <c r="AC100" i="11"/>
  <c r="AC102"/>
  <c r="AC99"/>
  <c r="AB101"/>
  <c r="AB71"/>
  <c r="Z78" i="39"/>
  <c r="AC89" i="11"/>
  <c r="AC92"/>
  <c r="AC90"/>
  <c r="AC82"/>
  <c r="AA62" i="39" s="1"/>
  <c r="AC79" i="11"/>
  <c r="AC80"/>
  <c r="AG67"/>
  <c r="AD68"/>
  <c r="AG97"/>
  <c r="AD98"/>
  <c r="Z54" i="39"/>
  <c r="AM62" i="11"/>
  <c r="AM60"/>
  <c r="AM59"/>
  <c r="AK62"/>
  <c r="AJ61"/>
  <c r="AN58"/>
  <c r="AO57"/>
  <c r="T67" i="39"/>
  <c r="U63"/>
  <c r="V71"/>
  <c r="T83"/>
  <c r="U79"/>
  <c r="V55"/>
  <c r="F31" i="9"/>
  <c r="C10" i="17"/>
  <c r="D14" s="1"/>
  <c r="T56" i="39"/>
  <c r="S59"/>
  <c r="T72"/>
  <c r="S75"/>
  <c r="S85" s="1"/>
  <c r="T43"/>
  <c r="U39"/>
  <c r="AD107" i="11" l="1"/>
  <c r="AB6" i="6" s="1"/>
  <c r="AB7" i="9" s="1"/>
  <c r="AC71" i="11"/>
  <c r="AC73" s="1"/>
  <c r="AC41"/>
  <c r="AC43" s="1"/>
  <c r="AD31"/>
  <c r="AC6" i="39"/>
  <c r="D5" i="45"/>
  <c r="E5"/>
  <c r="AB14" i="39"/>
  <c r="AC14" s="1"/>
  <c r="AE22" i="11"/>
  <c r="AG38"/>
  <c r="AH37"/>
  <c r="AG29"/>
  <c r="AG30"/>
  <c r="AG32"/>
  <c r="AH18"/>
  <c r="AI17"/>
  <c r="AH8"/>
  <c r="AI7"/>
  <c r="AC22" i="39"/>
  <c r="AD21" i="11"/>
  <c r="AD11"/>
  <c r="AD39"/>
  <c r="AE39" s="1"/>
  <c r="AD40"/>
  <c r="AE40" s="1"/>
  <c r="AD42"/>
  <c r="AE38"/>
  <c r="AH28"/>
  <c r="AI27"/>
  <c r="AG20"/>
  <c r="AG22"/>
  <c r="AG19"/>
  <c r="AG21" s="1"/>
  <c r="AG9"/>
  <c r="AG12"/>
  <c r="AG10"/>
  <c r="AE12"/>
  <c r="W24" i="39"/>
  <c r="V27"/>
  <c r="V35"/>
  <c r="W31"/>
  <c r="AG9"/>
  <c r="AF11"/>
  <c r="V16"/>
  <c r="U19"/>
  <c r="AC91" i="11"/>
  <c r="AC93" s="1"/>
  <c r="AC81"/>
  <c r="AC83" s="1"/>
  <c r="AB110"/>
  <c r="AC108"/>
  <c r="AC109"/>
  <c r="AA8" i="6" s="1"/>
  <c r="AA78" i="39"/>
  <c r="AC111" i="11"/>
  <c r="AA10" i="6" s="1"/>
  <c r="AA6"/>
  <c r="AB8" i="9" s="1"/>
  <c r="Z8" i="6"/>
  <c r="Z10"/>
  <c r="V51" i="39"/>
  <c r="W48"/>
  <c r="S19" i="9"/>
  <c r="AM23" i="39"/>
  <c r="AK8"/>
  <c r="AI8"/>
  <c r="AL15"/>
  <c r="AM7"/>
  <c r="AG98" i="11"/>
  <c r="AH97"/>
  <c r="AG68"/>
  <c r="AH67"/>
  <c r="AB73"/>
  <c r="AB103"/>
  <c r="AG78"/>
  <c r="AH77"/>
  <c r="AH87"/>
  <c r="AG88"/>
  <c r="AC101"/>
  <c r="AD99"/>
  <c r="AD102"/>
  <c r="AD100"/>
  <c r="AE98"/>
  <c r="AD69"/>
  <c r="AE69" s="1"/>
  <c r="AD72"/>
  <c r="AD70"/>
  <c r="AE70" s="1"/>
  <c r="AE68"/>
  <c r="AA70" i="39"/>
  <c r="AD79" i="11"/>
  <c r="AE79" s="1"/>
  <c r="AD82"/>
  <c r="AB62" i="39" s="1"/>
  <c r="AC62" s="1"/>
  <c r="AD80" i="11"/>
  <c r="AE80" s="1"/>
  <c r="AD89"/>
  <c r="AE89" s="1"/>
  <c r="AD92"/>
  <c r="AB70" i="39" s="1"/>
  <c r="AD90" i="11"/>
  <c r="AE90" s="1"/>
  <c r="AE88"/>
  <c r="AJ63"/>
  <c r="AK63" s="1"/>
  <c r="AK61"/>
  <c r="AO58"/>
  <c r="AP57"/>
  <c r="AK46" i="39"/>
  <c r="AM61" i="11"/>
  <c r="AN62"/>
  <c r="AL46" i="39" s="1"/>
  <c r="AN59" i="11"/>
  <c r="AN60"/>
  <c r="U43" i="39"/>
  <c r="V39"/>
  <c r="U56"/>
  <c r="T59"/>
  <c r="F11" i="9"/>
  <c r="W55" i="39"/>
  <c r="U83"/>
  <c r="V79"/>
  <c r="W71"/>
  <c r="U67"/>
  <c r="V63"/>
  <c r="U72"/>
  <c r="T75"/>
  <c r="T85" s="1"/>
  <c r="E24" i="17"/>
  <c r="E22" i="18"/>
  <c r="AE107" i="11" l="1"/>
  <c r="C30" i="44"/>
  <c r="AD33" i="11"/>
  <c r="AE33" s="1"/>
  <c r="AE31"/>
  <c r="AG11"/>
  <c r="AG31"/>
  <c r="AG33" s="1"/>
  <c r="AG23"/>
  <c r="AH29"/>
  <c r="AH32"/>
  <c r="AF22" i="39" s="1"/>
  <c r="AH30" i="11"/>
  <c r="AD13"/>
  <c r="AE13" s="1"/>
  <c r="AE11"/>
  <c r="AH10"/>
  <c r="AH9"/>
  <c r="AH12"/>
  <c r="AF6" i="39" s="1"/>
  <c r="AH19" i="11"/>
  <c r="AH22"/>
  <c r="AF14" i="39" s="1"/>
  <c r="AH20" i="11"/>
  <c r="AH38"/>
  <c r="AI37"/>
  <c r="AB112"/>
  <c r="AD41"/>
  <c r="AG13"/>
  <c r="AE6" i="39"/>
  <c r="AE14"/>
  <c r="AJ27" i="11"/>
  <c r="AI28"/>
  <c r="AB30" i="39"/>
  <c r="AC30" s="1"/>
  <c r="AE42" i="11"/>
  <c r="AD23"/>
  <c r="AE23" s="1"/>
  <c r="AE21"/>
  <c r="AJ7"/>
  <c r="AI8"/>
  <c r="AJ17"/>
  <c r="AI18"/>
  <c r="AE22" i="39"/>
  <c r="AG42" i="11"/>
  <c r="AG39"/>
  <c r="AG40"/>
  <c r="X31" i="39"/>
  <c r="W35"/>
  <c r="W16"/>
  <c r="V19"/>
  <c r="AH9"/>
  <c r="AI9" s="1"/>
  <c r="AI11" s="1"/>
  <c r="AG11"/>
  <c r="X24"/>
  <c r="W27"/>
  <c r="AN61" i="11"/>
  <c r="AN63" s="1"/>
  <c r="AD81"/>
  <c r="AD83" s="1"/>
  <c r="AE83" s="1"/>
  <c r="AD71"/>
  <c r="AD73" s="1"/>
  <c r="AE73" s="1"/>
  <c r="AE99"/>
  <c r="AD108"/>
  <c r="AB7" i="6" s="1"/>
  <c r="Z9"/>
  <c r="Z11" s="1"/>
  <c r="Z34" s="1"/>
  <c r="Z35" s="1"/>
  <c r="Z36" s="1"/>
  <c r="Z21" i="9"/>
  <c r="AA8"/>
  <c r="AC8" s="1"/>
  <c r="AA7"/>
  <c r="AC6" i="6"/>
  <c r="AD109" i="11"/>
  <c r="AG107"/>
  <c r="AC103"/>
  <c r="AC112" s="1"/>
  <c r="AC110"/>
  <c r="AB9" i="9"/>
  <c r="AA7" i="6"/>
  <c r="AA9" s="1"/>
  <c r="AA11" s="1"/>
  <c r="AA34" s="1"/>
  <c r="AA35" s="1"/>
  <c r="AA36" s="1"/>
  <c r="AD111" i="11"/>
  <c r="W51" i="39"/>
  <c r="X48"/>
  <c r="T19" i="9"/>
  <c r="T27" s="1"/>
  <c r="T33" s="1"/>
  <c r="AM15" i="39"/>
  <c r="AL8"/>
  <c r="AN23"/>
  <c r="AN7"/>
  <c r="AO7" s="1"/>
  <c r="S27" i="9"/>
  <c r="S33" s="1"/>
  <c r="AD101" i="11"/>
  <c r="AE101" s="1"/>
  <c r="AE100"/>
  <c r="AH88"/>
  <c r="AI87"/>
  <c r="AG82"/>
  <c r="AG79"/>
  <c r="AG80"/>
  <c r="AG72"/>
  <c r="AG70"/>
  <c r="AG69"/>
  <c r="AG100"/>
  <c r="AG102"/>
  <c r="AG99"/>
  <c r="AE82"/>
  <c r="AD91"/>
  <c r="AC70" i="39"/>
  <c r="AE92" i="11"/>
  <c r="AB54" i="39"/>
  <c r="AC54" s="1"/>
  <c r="AE72" i="11"/>
  <c r="AB78" i="39"/>
  <c r="AC78" s="1"/>
  <c r="AE102" i="11"/>
  <c r="AG89"/>
  <c r="AG92"/>
  <c r="AG90"/>
  <c r="AI77"/>
  <c r="AH78"/>
  <c r="AI67"/>
  <c r="AH68"/>
  <c r="AI97"/>
  <c r="AH98"/>
  <c r="AE71"/>
  <c r="AM63"/>
  <c r="AO59"/>
  <c r="AO60"/>
  <c r="AO62"/>
  <c r="AM46" i="39" s="1"/>
  <c r="AP58" i="11"/>
  <c r="AS57"/>
  <c r="AS58" s="1"/>
  <c r="F5" i="45"/>
  <c r="C5"/>
  <c r="V72" i="39"/>
  <c r="U75"/>
  <c r="V67"/>
  <c r="W63"/>
  <c r="F14" i="9"/>
  <c r="V56" i="39"/>
  <c r="U59"/>
  <c r="V43"/>
  <c r="W39"/>
  <c r="J5" i="45"/>
  <c r="C40" i="17"/>
  <c r="D41" s="1"/>
  <c r="X71" i="39"/>
  <c r="V83"/>
  <c r="W79"/>
  <c r="X55"/>
  <c r="AA9" i="9" l="1"/>
  <c r="AC9" s="1"/>
  <c r="AA11" i="17" s="1"/>
  <c r="C31" i="44"/>
  <c r="AG41" i="11"/>
  <c r="AH31"/>
  <c r="AH33" s="1"/>
  <c r="AH21"/>
  <c r="AH23" s="1"/>
  <c r="AH11"/>
  <c r="AH13" s="1"/>
  <c r="AE81"/>
  <c r="AG43"/>
  <c r="AI20"/>
  <c r="AI22"/>
  <c r="AI19"/>
  <c r="AI21" s="1"/>
  <c r="AI10"/>
  <c r="AI9"/>
  <c r="AI12"/>
  <c r="AI30"/>
  <c r="AI32"/>
  <c r="AG22" i="39" s="1"/>
  <c r="AI29" i="11"/>
  <c r="AI38"/>
  <c r="AJ37"/>
  <c r="AH107"/>
  <c r="AF6" i="6" s="1"/>
  <c r="AE108" i="11"/>
  <c r="AE30" i="39"/>
  <c r="AJ18" i="11"/>
  <c r="AM17"/>
  <c r="AJ8"/>
  <c r="AK8" s="1"/>
  <c r="AM7"/>
  <c r="AM27"/>
  <c r="AJ28"/>
  <c r="AD43"/>
  <c r="AE43" s="1"/>
  <c r="AE41"/>
  <c r="AH39"/>
  <c r="AH40"/>
  <c r="AH42"/>
  <c r="AF30" i="39" s="1"/>
  <c r="Y31"/>
  <c r="X35"/>
  <c r="U85"/>
  <c r="U19" i="9" s="1"/>
  <c r="X27" i="39"/>
  <c r="Y24"/>
  <c r="AK9"/>
  <c r="AH11"/>
  <c r="X16"/>
  <c r="W19"/>
  <c r="AG71" i="11"/>
  <c r="AD103"/>
  <c r="AD110"/>
  <c r="AE110" s="1"/>
  <c r="AB10" i="6"/>
  <c r="AE111" i="11"/>
  <c r="AA21" i="9"/>
  <c r="AC7" i="6"/>
  <c r="AB8"/>
  <c r="AC8" s="1"/>
  <c r="AE109" i="11"/>
  <c r="AG111"/>
  <c r="AC7" i="9"/>
  <c r="AG101" i="11"/>
  <c r="AG103" s="1"/>
  <c r="AG108"/>
  <c r="AE6" i="6"/>
  <c r="AG91" i="11"/>
  <c r="AG93" s="1"/>
  <c r="AG109"/>
  <c r="Y48" i="39"/>
  <c r="X51"/>
  <c r="AQ23"/>
  <c r="AO23"/>
  <c r="AQ7"/>
  <c r="AM8"/>
  <c r="AN15"/>
  <c r="AI98" i="11"/>
  <c r="AJ97"/>
  <c r="AI68"/>
  <c r="AJ67"/>
  <c r="AI78"/>
  <c r="AJ77"/>
  <c r="AE70" i="39"/>
  <c r="AE78"/>
  <c r="AE54"/>
  <c r="AE62"/>
  <c r="AH90" i="11"/>
  <c r="AH89"/>
  <c r="AH92"/>
  <c r="AF70" i="39" s="1"/>
  <c r="AH102" i="11"/>
  <c r="AH99"/>
  <c r="AH100"/>
  <c r="AH69"/>
  <c r="AH72"/>
  <c r="AF54" i="39" s="1"/>
  <c r="AH70" i="11"/>
  <c r="AH80"/>
  <c r="AH82"/>
  <c r="AF62" i="39" s="1"/>
  <c r="AH79" i="11"/>
  <c r="AH81" s="1"/>
  <c r="AD93"/>
  <c r="AE93" s="1"/>
  <c r="AE91"/>
  <c r="AG73"/>
  <c r="AG81"/>
  <c r="AJ87"/>
  <c r="AI88"/>
  <c r="AP60"/>
  <c r="AP62"/>
  <c r="AP59"/>
  <c r="AQ58"/>
  <c r="AS59"/>
  <c r="AS60"/>
  <c r="AS62"/>
  <c r="AQ46" i="39" s="1"/>
  <c r="AO61" i="11"/>
  <c r="AQ60"/>
  <c r="W67" i="39"/>
  <c r="X63"/>
  <c r="Y55"/>
  <c r="W83"/>
  <c r="X79"/>
  <c r="Y71"/>
  <c r="E42" i="17"/>
  <c r="G5" i="45"/>
  <c r="H5"/>
  <c r="W43" i="39"/>
  <c r="X39"/>
  <c r="W56"/>
  <c r="V59"/>
  <c r="F16" i="9"/>
  <c r="W72" i="39"/>
  <c r="V75"/>
  <c r="V85" s="1"/>
  <c r="V19" i="9" s="1"/>
  <c r="V27" s="1"/>
  <c r="V33" s="1"/>
  <c r="AC10" i="6" l="1"/>
  <c r="C32" i="44"/>
  <c r="C33" s="1"/>
  <c r="AH91" i="11"/>
  <c r="AH93" s="1"/>
  <c r="AI23"/>
  <c r="AB9" i="6"/>
  <c r="AB11" s="1"/>
  <c r="AB34" s="1"/>
  <c r="AB35" s="1"/>
  <c r="AB36" s="1"/>
  <c r="AB21" i="9"/>
  <c r="AC21" s="1"/>
  <c r="AC9" i="6"/>
  <c r="AC11" s="1"/>
  <c r="AC34" s="1"/>
  <c r="I10" i="45" s="1"/>
  <c r="AF7" i="9"/>
  <c r="AJ30" i="11"/>
  <c r="AK30" s="1"/>
  <c r="AJ29"/>
  <c r="AK29" s="1"/>
  <c r="AJ32"/>
  <c r="AM8"/>
  <c r="AN7"/>
  <c r="AN17"/>
  <c r="AM18"/>
  <c r="AM37"/>
  <c r="AJ38"/>
  <c r="AG14" i="39"/>
  <c r="AH41" i="11"/>
  <c r="AK28"/>
  <c r="AI11"/>
  <c r="AM28"/>
  <c r="AN27"/>
  <c r="AJ10"/>
  <c r="AK10" s="1"/>
  <c r="AJ9"/>
  <c r="AJ12"/>
  <c r="AH6" i="39" s="1"/>
  <c r="AJ19" i="11"/>
  <c r="AK19" s="1"/>
  <c r="AJ20"/>
  <c r="AK20" s="1"/>
  <c r="AJ22"/>
  <c r="AH14" i="39" s="1"/>
  <c r="AI40" i="11"/>
  <c r="AI42"/>
  <c r="AG30" i="39" s="1"/>
  <c r="AI39" i="11"/>
  <c r="AK38"/>
  <c r="AI31"/>
  <c r="AG6" i="39"/>
  <c r="AK18" i="11"/>
  <c r="Y16" i="39"/>
  <c r="X19"/>
  <c r="AL9"/>
  <c r="AK11"/>
  <c r="Z24"/>
  <c r="Y27"/>
  <c r="Z31"/>
  <c r="Y35"/>
  <c r="AH101" i="11"/>
  <c r="AH103" s="1"/>
  <c r="AH109"/>
  <c r="AF8" i="6" s="1"/>
  <c r="AF78" i="39"/>
  <c r="AH111" i="11"/>
  <c r="AF10" i="6" s="1"/>
  <c r="AE7" i="9"/>
  <c r="AF8"/>
  <c r="AE8"/>
  <c r="AE10" i="6"/>
  <c r="AE103" i="11"/>
  <c r="AD112"/>
  <c r="AE112" s="1"/>
  <c r="AS61"/>
  <c r="AH83"/>
  <c r="AG110"/>
  <c r="AE8" i="6"/>
  <c r="AE7"/>
  <c r="AH108" i="11"/>
  <c r="AF7" i="6" s="1"/>
  <c r="AI107" i="11"/>
  <c r="Y51" i="39"/>
  <c r="Z48"/>
  <c r="AQ15"/>
  <c r="AO15"/>
  <c r="AN8"/>
  <c r="U27" i="9"/>
  <c r="AI90" i="11"/>
  <c r="AI92"/>
  <c r="AG70" i="39" s="1"/>
  <c r="AI89" i="11"/>
  <c r="AJ78"/>
  <c r="AM77"/>
  <c r="AJ68"/>
  <c r="AK68" s="1"/>
  <c r="AM67"/>
  <c r="AJ98"/>
  <c r="AM97"/>
  <c r="AH71"/>
  <c r="AJ88"/>
  <c r="AK88" s="1"/>
  <c r="AM87"/>
  <c r="AG83"/>
  <c r="AG112" s="1"/>
  <c r="AI80"/>
  <c r="AI82"/>
  <c r="AG62" i="39" s="1"/>
  <c r="AI79" i="11"/>
  <c r="AI72"/>
  <c r="AG54" i="39" s="1"/>
  <c r="AI69" i="11"/>
  <c r="AI70"/>
  <c r="AI100"/>
  <c r="AI99"/>
  <c r="AI102"/>
  <c r="AS63"/>
  <c r="AP61"/>
  <c r="AP63" s="1"/>
  <c r="AQ59"/>
  <c r="AO63"/>
  <c r="AN46" i="39"/>
  <c r="AO46" s="1"/>
  <c r="AQ62" i="11"/>
  <c r="X72" i="39"/>
  <c r="W75"/>
  <c r="F32" i="9"/>
  <c r="F34" s="1"/>
  <c r="G31" s="1"/>
  <c r="F29"/>
  <c r="X56" i="39"/>
  <c r="W59"/>
  <c r="X83"/>
  <c r="Y79"/>
  <c r="Z55"/>
  <c r="X67"/>
  <c r="Y63"/>
  <c r="X43"/>
  <c r="Y39"/>
  <c r="Z71"/>
  <c r="C36" i="44" l="1"/>
  <c r="C37"/>
  <c r="AI6" i="39"/>
  <c r="AF9" i="9"/>
  <c r="AK12" i="11"/>
  <c r="AJ11"/>
  <c r="AK11" s="1"/>
  <c r="AC35" i="6"/>
  <c r="AA29" i="17" s="1"/>
  <c r="AB31" s="1"/>
  <c r="AJ13" i="11"/>
  <c r="AQ61"/>
  <c r="AJ31"/>
  <c r="AJ33" s="1"/>
  <c r="W85" i="39"/>
  <c r="W19" i="9" s="1"/>
  <c r="W27" s="1"/>
  <c r="W33" s="1"/>
  <c r="AI33" i="11"/>
  <c r="AK33" s="1"/>
  <c r="AM30"/>
  <c r="AM29"/>
  <c r="AM32"/>
  <c r="AJ42"/>
  <c r="AH30" i="39" s="1"/>
  <c r="AI30" s="1"/>
  <c r="AJ40" i="11"/>
  <c r="AJ39"/>
  <c r="AM19"/>
  <c r="AM22"/>
  <c r="AM20"/>
  <c r="AO7"/>
  <c r="AN8"/>
  <c r="AH22" i="39"/>
  <c r="AI22" s="1"/>
  <c r="AK32" i="11"/>
  <c r="AI41"/>
  <c r="AI43" s="1"/>
  <c r="AI14" i="39"/>
  <c r="AJ21" i="11"/>
  <c r="AK9"/>
  <c r="AK42"/>
  <c r="AK22"/>
  <c r="AN28"/>
  <c r="AO27"/>
  <c r="AI13"/>
  <c r="AK13" s="1"/>
  <c r="AH43"/>
  <c r="AN37"/>
  <c r="AM38"/>
  <c r="AN18"/>
  <c r="AO17"/>
  <c r="AM12"/>
  <c r="AM9"/>
  <c r="AM10"/>
  <c r="AK40"/>
  <c r="AM9" i="39"/>
  <c r="AL11"/>
  <c r="Z16"/>
  <c r="Y19"/>
  <c r="AA31"/>
  <c r="Z35"/>
  <c r="AA24"/>
  <c r="Z27"/>
  <c r="AF21" i="9"/>
  <c r="AF9" i="6"/>
  <c r="AF11" s="1"/>
  <c r="AF34" s="1"/>
  <c r="AF35" s="1"/>
  <c r="AF36" s="1"/>
  <c r="AI108" i="11"/>
  <c r="AG7" i="6" s="1"/>
  <c r="AI71" i="11"/>
  <c r="AI73" s="1"/>
  <c r="AJ107"/>
  <c r="AH6" i="6" s="1"/>
  <c r="AH110" i="11"/>
  <c r="AG78" i="39"/>
  <c r="AI111" i="11"/>
  <c r="AI101"/>
  <c r="AI103" s="1"/>
  <c r="AI109"/>
  <c r="AG6" i="6"/>
  <c r="AE21" i="9"/>
  <c r="AE9"/>
  <c r="AE9" i="6"/>
  <c r="AE11" s="1"/>
  <c r="AE34" s="1"/>
  <c r="AE35" s="1"/>
  <c r="AE36" s="1"/>
  <c r="Z51" i="39"/>
  <c r="AA48"/>
  <c r="AQ8"/>
  <c r="U33" i="9"/>
  <c r="AO8" i="39"/>
  <c r="AN87" i="11"/>
  <c r="AM88"/>
  <c r="AM98"/>
  <c r="AN97"/>
  <c r="AM68"/>
  <c r="AN67"/>
  <c r="AN77"/>
  <c r="AM78"/>
  <c r="AQ63"/>
  <c r="AI81"/>
  <c r="AJ92"/>
  <c r="AJ90"/>
  <c r="AJ89"/>
  <c r="AH73"/>
  <c r="AJ100"/>
  <c r="AJ99"/>
  <c r="AJ102"/>
  <c r="AK98"/>
  <c r="AJ72"/>
  <c r="AH54" i="39" s="1"/>
  <c r="AI54" s="1"/>
  <c r="AJ69" i="11"/>
  <c r="AJ70"/>
  <c r="AK70" s="1"/>
  <c r="AJ82"/>
  <c r="AH62" i="39" s="1"/>
  <c r="AI62" s="1"/>
  <c r="AJ79" i="11"/>
  <c r="AK79" s="1"/>
  <c r="AJ80"/>
  <c r="AK80" s="1"/>
  <c r="AK78"/>
  <c r="AI91"/>
  <c r="AK89"/>
  <c r="AK90"/>
  <c r="Y43" i="39"/>
  <c r="Z39"/>
  <c r="Y67"/>
  <c r="Z63"/>
  <c r="AA55"/>
  <c r="Y83"/>
  <c r="Z79"/>
  <c r="Y56"/>
  <c r="X59"/>
  <c r="AA71"/>
  <c r="G11" i="9"/>
  <c r="Y72" i="39"/>
  <c r="X75"/>
  <c r="X85" s="1"/>
  <c r="X19" i="9" s="1"/>
  <c r="AM11" i="11" l="1"/>
  <c r="AM13" s="1"/>
  <c r="AC36" i="6"/>
  <c r="AJ41" i="11"/>
  <c r="AH112"/>
  <c r="AM31"/>
  <c r="AM21"/>
  <c r="AM23" s="1"/>
  <c r="AK31"/>
  <c r="AK107"/>
  <c r="AJ43"/>
  <c r="AK43" s="1"/>
  <c r="AK41"/>
  <c r="AO18"/>
  <c r="AP17"/>
  <c r="AM39"/>
  <c r="AM40"/>
  <c r="AM42"/>
  <c r="AP27"/>
  <c r="AO28"/>
  <c r="AN12"/>
  <c r="AL6" i="39" s="1"/>
  <c r="AN10" i="11"/>
  <c r="AN9"/>
  <c r="AM33"/>
  <c r="AK39"/>
  <c r="AK6" i="39"/>
  <c r="AN20" i="11"/>
  <c r="AN19"/>
  <c r="AN22"/>
  <c r="AL14" i="39" s="1"/>
  <c r="AO37" i="11"/>
  <c r="AN38"/>
  <c r="AN32"/>
  <c r="AL22" i="39" s="1"/>
  <c r="AN29" i="11"/>
  <c r="AN30"/>
  <c r="AJ23"/>
  <c r="AK23" s="1"/>
  <c r="AK21"/>
  <c r="AP7"/>
  <c r="AO8"/>
  <c r="AK14" i="39"/>
  <c r="AK22"/>
  <c r="AA27"/>
  <c r="AB24"/>
  <c r="AB31"/>
  <c r="AA35"/>
  <c r="AC31"/>
  <c r="AC35" s="1"/>
  <c r="AA16"/>
  <c r="Z19"/>
  <c r="AN9"/>
  <c r="AO9"/>
  <c r="AM11"/>
  <c r="AO11"/>
  <c r="AK72" i="11"/>
  <c r="AK99"/>
  <c r="AJ108"/>
  <c r="AG8" i="6"/>
  <c r="AG21" i="9" s="1"/>
  <c r="AG10" i="6"/>
  <c r="AH7" i="9"/>
  <c r="AH78" i="39"/>
  <c r="AI78" s="1"/>
  <c r="AJ111" i="11"/>
  <c r="AH10" i="6" s="1"/>
  <c r="AJ101" i="11"/>
  <c r="AJ103" s="1"/>
  <c r="AK103" s="1"/>
  <c r="AJ109"/>
  <c r="AH8" i="6" s="1"/>
  <c r="AG8" i="9"/>
  <c r="AG7"/>
  <c r="AH8"/>
  <c r="AI6" i="6"/>
  <c r="AM107" i="11"/>
  <c r="AI110"/>
  <c r="AA51" i="39"/>
  <c r="AB48"/>
  <c r="X27" i="9"/>
  <c r="AJ71" i="11"/>
  <c r="AK69"/>
  <c r="AI83"/>
  <c r="AO77"/>
  <c r="AN78"/>
  <c r="AM69"/>
  <c r="AM72"/>
  <c r="AM70"/>
  <c r="AM102"/>
  <c r="AM99"/>
  <c r="AM100"/>
  <c r="AO87"/>
  <c r="AN88"/>
  <c r="AI93"/>
  <c r="AH70" i="39"/>
  <c r="AI70" s="1"/>
  <c r="AK92" i="11"/>
  <c r="AM79"/>
  <c r="AM80"/>
  <c r="AM82"/>
  <c r="AN68"/>
  <c r="AO67"/>
  <c r="AN98"/>
  <c r="AO97"/>
  <c r="AM92"/>
  <c r="AM89"/>
  <c r="AM90"/>
  <c r="AK82"/>
  <c r="AK100"/>
  <c r="AJ81"/>
  <c r="AJ83" s="1"/>
  <c r="AJ91"/>
  <c r="AJ93" s="1"/>
  <c r="AK93" s="1"/>
  <c r="AK102"/>
  <c r="AB71" i="39"/>
  <c r="Z83"/>
  <c r="AA79"/>
  <c r="AB55"/>
  <c r="Z67"/>
  <c r="AA63"/>
  <c r="Z43"/>
  <c r="AA39"/>
  <c r="Z72"/>
  <c r="Y75"/>
  <c r="G14" i="9"/>
  <c r="Z56" i="39"/>
  <c r="Y59"/>
  <c r="C38" i="44" l="1"/>
  <c r="AK101" i="11"/>
  <c r="AG9" i="6"/>
  <c r="AI8" i="9"/>
  <c r="AM91" i="11"/>
  <c r="AM81"/>
  <c r="AM109"/>
  <c r="AK8" i="6" s="1"/>
  <c r="AI112" i="11"/>
  <c r="AN31"/>
  <c r="AN33" s="1"/>
  <c r="AM41"/>
  <c r="AG11" i="6"/>
  <c r="AG34" s="1"/>
  <c r="AG35" s="1"/>
  <c r="AG36" s="1"/>
  <c r="AI10"/>
  <c r="AN21" i="11"/>
  <c r="AM43"/>
  <c r="AS7"/>
  <c r="AS8" s="1"/>
  <c r="AP8"/>
  <c r="AO38"/>
  <c r="AP37"/>
  <c r="AO30"/>
  <c r="AO29"/>
  <c r="AO32"/>
  <c r="AP18"/>
  <c r="AS17"/>
  <c r="AS18" s="1"/>
  <c r="AN11"/>
  <c r="AO9"/>
  <c r="AO10"/>
  <c r="AO12"/>
  <c r="AM6" i="39" s="1"/>
  <c r="AN40" i="11"/>
  <c r="AN39"/>
  <c r="AN42"/>
  <c r="AL30" i="39" s="1"/>
  <c r="AP28" i="11"/>
  <c r="AS27"/>
  <c r="AS28" s="1"/>
  <c r="AK30" i="39"/>
  <c r="AO20" i="11"/>
  <c r="AO19"/>
  <c r="AO22"/>
  <c r="AN23"/>
  <c r="AB35" i="39"/>
  <c r="AE31"/>
  <c r="AQ9"/>
  <c r="AQ11" s="1"/>
  <c r="AN11"/>
  <c r="AB16"/>
  <c r="AA19"/>
  <c r="AB27"/>
  <c r="AE24"/>
  <c r="AC24"/>
  <c r="AC27" s="1"/>
  <c r="Y85"/>
  <c r="Y19" i="9" s="1"/>
  <c r="Y27" s="1"/>
  <c r="Y33" s="1"/>
  <c r="AK6" i="6"/>
  <c r="AG9" i="9"/>
  <c r="AI7"/>
  <c r="AH7" i="6"/>
  <c r="C39" i="44" s="1"/>
  <c r="C40" s="1"/>
  <c r="AK108" i="11"/>
  <c r="AN107"/>
  <c r="AL6" i="6" s="1"/>
  <c r="AM108" i="11"/>
  <c r="AJ110"/>
  <c r="AK110" s="1"/>
  <c r="AK111"/>
  <c r="AK109"/>
  <c r="AM111"/>
  <c r="AH9" i="9"/>
  <c r="AI8" i="6"/>
  <c r="AE48" i="39"/>
  <c r="AB51"/>
  <c r="AC48"/>
  <c r="AC51" s="1"/>
  <c r="X33" i="9"/>
  <c r="AM93" i="11"/>
  <c r="AM83"/>
  <c r="AP97"/>
  <c r="AO98"/>
  <c r="AP67"/>
  <c r="AO68"/>
  <c r="AO88"/>
  <c r="AP87"/>
  <c r="AK78" i="39"/>
  <c r="AO78" i="11"/>
  <c r="AP77"/>
  <c r="AJ73"/>
  <c r="AK73" s="1"/>
  <c r="AK71"/>
  <c r="AK70" i="39"/>
  <c r="AN100" i="11"/>
  <c r="AN102"/>
  <c r="AN99"/>
  <c r="AN101" s="1"/>
  <c r="AN70"/>
  <c r="AN69"/>
  <c r="AN72"/>
  <c r="AL54" i="39" s="1"/>
  <c r="AK62"/>
  <c r="AN89" i="11"/>
  <c r="AN92"/>
  <c r="AL70" i="39" s="1"/>
  <c r="AN90" i="11"/>
  <c r="AM101"/>
  <c r="AK54" i="39"/>
  <c r="AN82" i="11"/>
  <c r="AL62" i="39" s="1"/>
  <c r="AN80" i="11"/>
  <c r="AN79"/>
  <c r="AM71"/>
  <c r="AK83"/>
  <c r="AK91"/>
  <c r="AK81"/>
  <c r="AA43" i="39"/>
  <c r="AB39"/>
  <c r="AA67"/>
  <c r="AB63"/>
  <c r="AE55"/>
  <c r="AC55"/>
  <c r="AA83"/>
  <c r="AB79"/>
  <c r="AE71"/>
  <c r="AC71"/>
  <c r="AA56"/>
  <c r="Z59"/>
  <c r="G16" i="9"/>
  <c r="AA72" i="39"/>
  <c r="Z75"/>
  <c r="AO21" i="11" l="1"/>
  <c r="AN41"/>
  <c r="AN43" s="1"/>
  <c r="AN71"/>
  <c r="AN73" s="1"/>
  <c r="AO11"/>
  <c r="AO13" s="1"/>
  <c r="Z85" i="39"/>
  <c r="Z19" i="9" s="1"/>
  <c r="Z27" s="1"/>
  <c r="Z33" s="1"/>
  <c r="AN81" i="11"/>
  <c r="AN83" s="1"/>
  <c r="AM14" i="39"/>
  <c r="AP30" i="11"/>
  <c r="AQ30" s="1"/>
  <c r="AP29"/>
  <c r="AP32"/>
  <c r="AN22" i="39" s="1"/>
  <c r="AQ28" i="11"/>
  <c r="AP20"/>
  <c r="AQ20" s="1"/>
  <c r="AP19"/>
  <c r="AQ19" s="1"/>
  <c r="AP22"/>
  <c r="AN14" i="39" s="1"/>
  <c r="AS37" i="11"/>
  <c r="AS38" s="1"/>
  <c r="AP38"/>
  <c r="AP12"/>
  <c r="AN6" i="39" s="1"/>
  <c r="AO6" s="1"/>
  <c r="AP10" i="11"/>
  <c r="AQ10" s="1"/>
  <c r="AP9"/>
  <c r="AS29"/>
  <c r="AS32"/>
  <c r="AQ22" i="39" s="1"/>
  <c r="AS30" i="11"/>
  <c r="AN13"/>
  <c r="AS19"/>
  <c r="AS22"/>
  <c r="AQ14" i="39" s="1"/>
  <c r="AS20" i="11"/>
  <c r="AM22" i="39"/>
  <c r="AO22" s="1"/>
  <c r="AO39" i="11"/>
  <c r="AO42"/>
  <c r="AM30" i="39" s="1"/>
  <c r="AO40" i="11"/>
  <c r="AO41" s="1"/>
  <c r="AS10"/>
  <c r="AS9"/>
  <c r="AS12"/>
  <c r="AQ6" i="39" s="1"/>
  <c r="AO107" i="11"/>
  <c r="AM6" i="6" s="1"/>
  <c r="AO23" i="11"/>
  <c r="AQ12"/>
  <c r="AQ18"/>
  <c r="AQ8"/>
  <c r="AO31"/>
  <c r="AE16" i="39"/>
  <c r="AB19"/>
  <c r="AC16"/>
  <c r="AC19" s="1"/>
  <c r="AF24"/>
  <c r="AE27"/>
  <c r="AE35"/>
  <c r="AF31"/>
  <c r="AL78"/>
  <c r="AN111" i="11"/>
  <c r="AL10" i="6" s="1"/>
  <c r="AK7"/>
  <c r="AK21" i="9" s="1"/>
  <c r="AM110" i="11"/>
  <c r="AN108"/>
  <c r="AL7" i="6" s="1"/>
  <c r="AN109" i="11"/>
  <c r="AI9" i="9"/>
  <c r="AG11" i="17" s="1"/>
  <c r="AJ112" i="11"/>
  <c r="AK112" s="1"/>
  <c r="AN103"/>
  <c r="AM7" i="9"/>
  <c r="AK10" i="6"/>
  <c r="AL7" i="9"/>
  <c r="AH21"/>
  <c r="AI21" s="1"/>
  <c r="AI7" i="6"/>
  <c r="AI9" s="1"/>
  <c r="AI11" s="1"/>
  <c r="AI34" s="1"/>
  <c r="AH9"/>
  <c r="AH11" s="1"/>
  <c r="AH34" s="1"/>
  <c r="AH35" s="1"/>
  <c r="AH36" s="1"/>
  <c r="AL8" i="9"/>
  <c r="AK7"/>
  <c r="C43" i="44"/>
  <c r="AK9" i="6"/>
  <c r="AK8" i="9"/>
  <c r="AF48" i="39"/>
  <c r="AE51"/>
  <c r="AM73" i="11"/>
  <c r="AS77"/>
  <c r="AS78" s="1"/>
  <c r="AP78"/>
  <c r="AS87"/>
  <c r="AS88" s="1"/>
  <c r="AP88"/>
  <c r="AQ88" s="1"/>
  <c r="AO72"/>
  <c r="AO70"/>
  <c r="AO69"/>
  <c r="AO99"/>
  <c r="AO102"/>
  <c r="AO100"/>
  <c r="AM103"/>
  <c r="AO82"/>
  <c r="AM62" i="39" s="1"/>
  <c r="AO79" i="11"/>
  <c r="AO80"/>
  <c r="AO81" s="1"/>
  <c r="AO83" s="1"/>
  <c r="AO92"/>
  <c r="AO90"/>
  <c r="AO89"/>
  <c r="AP68"/>
  <c r="AQ68" s="1"/>
  <c r="AS67"/>
  <c r="AS68" s="1"/>
  <c r="AP98"/>
  <c r="AP107" s="1"/>
  <c r="AN6" i="6" s="1"/>
  <c r="AS97" i="11"/>
  <c r="AS98" s="1"/>
  <c r="AS107" s="1"/>
  <c r="AQ6" i="6" s="1"/>
  <c r="AN91" i="11"/>
  <c r="AN110" s="1"/>
  <c r="AF55" i="39"/>
  <c r="AB67"/>
  <c r="AE63"/>
  <c r="AC63"/>
  <c r="AC67" s="1"/>
  <c r="AB43"/>
  <c r="AE39"/>
  <c r="AC39"/>
  <c r="AC43" s="1"/>
  <c r="AB72"/>
  <c r="AA75"/>
  <c r="G32" i="9"/>
  <c r="G34" s="1"/>
  <c r="H31" s="1"/>
  <c r="G29"/>
  <c r="AB56" i="39"/>
  <c r="AA59"/>
  <c r="AF71"/>
  <c r="AB83"/>
  <c r="AE79"/>
  <c r="AC79"/>
  <c r="AC83" s="1"/>
  <c r="AP11" i="11" l="1"/>
  <c r="AP13" s="1"/>
  <c r="AO43"/>
  <c r="AM112"/>
  <c r="AO71"/>
  <c r="AO73" s="1"/>
  <c r="AS11"/>
  <c r="AS13" s="1"/>
  <c r="AS21"/>
  <c r="AS23" s="1"/>
  <c r="AA85" i="39"/>
  <c r="AA19" i="9" s="1"/>
  <c r="AA27" s="1"/>
  <c r="AA33" s="1"/>
  <c r="AK11" i="6"/>
  <c r="AK34" s="1"/>
  <c r="AK35" s="1"/>
  <c r="AK36" s="1"/>
  <c r="AS40" i="11"/>
  <c r="AS39"/>
  <c r="AS42"/>
  <c r="AQ30" i="39" s="1"/>
  <c r="AO33" i="11"/>
  <c r="AQ38"/>
  <c r="AP40"/>
  <c r="AQ40" s="1"/>
  <c r="AP39"/>
  <c r="AQ39" s="1"/>
  <c r="AP42"/>
  <c r="AQ13"/>
  <c r="AO14" i="39"/>
  <c r="AM8" i="9"/>
  <c r="AM9" s="1"/>
  <c r="AQ9" i="11"/>
  <c r="AQ32"/>
  <c r="AQ11"/>
  <c r="AS31"/>
  <c r="AS33" s="1"/>
  <c r="AP21"/>
  <c r="AP31"/>
  <c r="AP33" s="1"/>
  <c r="AQ33" s="1"/>
  <c r="AQ22"/>
  <c r="AQ29"/>
  <c r="AF16" i="39"/>
  <c r="AE19"/>
  <c r="AF35"/>
  <c r="AG31"/>
  <c r="AG24"/>
  <c r="AF27"/>
  <c r="AO101" i="11"/>
  <c r="AO103" s="1"/>
  <c r="AQ7" i="9"/>
  <c r="AN7"/>
  <c r="AO7" s="1"/>
  <c r="AQ8"/>
  <c r="AM78" i="39"/>
  <c r="AO111" i="11"/>
  <c r="AK9" i="9"/>
  <c r="AL8" i="6"/>
  <c r="AL9" s="1"/>
  <c r="AL11" s="1"/>
  <c r="AL34" s="1"/>
  <c r="AL35" s="1"/>
  <c r="AL36" s="1"/>
  <c r="AO109" i="11"/>
  <c r="AM8" i="6" s="1"/>
  <c r="AO91" i="11"/>
  <c r="AO93" s="1"/>
  <c r="AL9" i="9"/>
  <c r="I12" i="45"/>
  <c r="AI35" i="6"/>
  <c r="AG29" i="17" s="1"/>
  <c r="AO108" i="11"/>
  <c r="AM7" i="6" s="1"/>
  <c r="AO6"/>
  <c r="AN8" i="9"/>
  <c r="AQ107" i="11"/>
  <c r="AF51" i="39"/>
  <c r="AG48"/>
  <c r="AS99" i="11"/>
  <c r="AS100"/>
  <c r="AS102"/>
  <c r="AS72"/>
  <c r="AQ54" i="39" s="1"/>
  <c r="AS69" i="11"/>
  <c r="AS70"/>
  <c r="AM70" i="39"/>
  <c r="AP92" i="11"/>
  <c r="AN70" i="39" s="1"/>
  <c r="AP90" i="11"/>
  <c r="AQ90" s="1"/>
  <c r="AP89"/>
  <c r="AQ89" s="1"/>
  <c r="AP80"/>
  <c r="AQ80" s="1"/>
  <c r="AP79"/>
  <c r="AQ79" s="1"/>
  <c r="AP82"/>
  <c r="AN93"/>
  <c r="AN112" s="1"/>
  <c r="AP100"/>
  <c r="AP99"/>
  <c r="AP102"/>
  <c r="AQ98"/>
  <c r="AP70"/>
  <c r="AQ70" s="1"/>
  <c r="AP69"/>
  <c r="AQ69" s="1"/>
  <c r="AP72"/>
  <c r="AN54" i="39" s="1"/>
  <c r="AM54"/>
  <c r="AQ72" i="11"/>
  <c r="AS92"/>
  <c r="AQ70" i="39" s="1"/>
  <c r="AS90" i="11"/>
  <c r="AS89"/>
  <c r="AS79"/>
  <c r="AS82"/>
  <c r="AQ62" i="39" s="1"/>
  <c r="AS80" i="11"/>
  <c r="AQ78"/>
  <c r="AG71" i="39"/>
  <c r="H11" i="9"/>
  <c r="H14" s="1"/>
  <c r="H16" s="1"/>
  <c r="AE72" i="39"/>
  <c r="AC72"/>
  <c r="AC75" s="1"/>
  <c r="AB75"/>
  <c r="AE43"/>
  <c r="AF39"/>
  <c r="AG55"/>
  <c r="AE83"/>
  <c r="AF79"/>
  <c r="AE56"/>
  <c r="AC56"/>
  <c r="AC59" s="1"/>
  <c r="AB59"/>
  <c r="AE67"/>
  <c r="AF63"/>
  <c r="C44" i="44" l="1"/>
  <c r="AO8" i="9"/>
  <c r="AS91" i="11"/>
  <c r="AS93" s="1"/>
  <c r="AO54" i="39"/>
  <c r="AP41" i="11"/>
  <c r="AP43" s="1"/>
  <c r="AQ43" s="1"/>
  <c r="AS41"/>
  <c r="AS43" s="1"/>
  <c r="AB85" i="39"/>
  <c r="AB19" i="9" s="1"/>
  <c r="AP23" i="11"/>
  <c r="AQ23" s="1"/>
  <c r="AQ21"/>
  <c r="AN30" i="39"/>
  <c r="AO30" s="1"/>
  <c r="AQ42" i="11"/>
  <c r="AP111"/>
  <c r="AN10" i="6" s="1"/>
  <c r="AP109" i="11"/>
  <c r="AN8" i="6" s="1"/>
  <c r="AO8" s="1"/>
  <c r="AL21" i="9"/>
  <c r="AQ41" i="11"/>
  <c r="AQ31"/>
  <c r="AS109"/>
  <c r="AQ8" i="6" s="1"/>
  <c r="AI36"/>
  <c r="AH24" i="39"/>
  <c r="AI24" s="1"/>
  <c r="AI27" s="1"/>
  <c r="AG27"/>
  <c r="AG35"/>
  <c r="AH31"/>
  <c r="AG16"/>
  <c r="AF19"/>
  <c r="AQ9" i="9"/>
  <c r="AQ78" i="39"/>
  <c r="AS111" i="11"/>
  <c r="AQ10" i="6" s="1"/>
  <c r="AM10"/>
  <c r="C45" i="44" s="1"/>
  <c r="AO112" i="11"/>
  <c r="AQ99"/>
  <c r="AP108"/>
  <c r="AM21" i="9"/>
  <c r="AM9" i="6"/>
  <c r="AH31" i="17"/>
  <c r="AQ100" i="11"/>
  <c r="AP101"/>
  <c r="AP103" s="1"/>
  <c r="AP81"/>
  <c r="AP83" s="1"/>
  <c r="AQ83" s="1"/>
  <c r="AP91"/>
  <c r="AQ92"/>
  <c r="AS71"/>
  <c r="AS73" s="1"/>
  <c r="AS101"/>
  <c r="AS108"/>
  <c r="AQ7" i="6" s="1"/>
  <c r="AN9" i="9"/>
  <c r="AO9" s="1"/>
  <c r="AM11" i="17" s="1"/>
  <c r="AS11" s="1"/>
  <c r="AO110" i="11"/>
  <c r="AG51" i="39"/>
  <c r="AH48"/>
  <c r="AN78"/>
  <c r="AO78" s="1"/>
  <c r="AQ102" i="11"/>
  <c r="AN62" i="39"/>
  <c r="AO62" s="1"/>
  <c r="AQ82" i="11"/>
  <c r="AS81"/>
  <c r="AS83" s="1"/>
  <c r="AP71"/>
  <c r="AO70" i="39"/>
  <c r="AF67"/>
  <c r="AG63"/>
  <c r="AF56"/>
  <c r="AE59"/>
  <c r="AF83"/>
  <c r="AG79"/>
  <c r="AH55"/>
  <c r="AH71"/>
  <c r="AF43"/>
  <c r="AG39"/>
  <c r="AF72"/>
  <c r="AE75"/>
  <c r="AE85" s="1"/>
  <c r="H32" i="9"/>
  <c r="H34" s="1"/>
  <c r="H29"/>
  <c r="AI55" i="39"/>
  <c r="AQ111" i="11" l="1"/>
  <c r="C50" i="44"/>
  <c r="AQ21" i="9"/>
  <c r="AQ109" i="11"/>
  <c r="AC85" i="39"/>
  <c r="AA12" i="17" s="1"/>
  <c r="AQ81" i="11"/>
  <c r="AO10" i="6"/>
  <c r="AQ101" i="11"/>
  <c r="AM11" i="6"/>
  <c r="AM34" s="1"/>
  <c r="AM35" s="1"/>
  <c r="AM36" s="1"/>
  <c r="AK31" i="39"/>
  <c r="AH35"/>
  <c r="AH27"/>
  <c r="AK24"/>
  <c r="AI31"/>
  <c r="AI35" s="1"/>
  <c r="AH16"/>
  <c r="AG19"/>
  <c r="AI16"/>
  <c r="AI19" s="1"/>
  <c r="AQ103" i="11"/>
  <c r="AS103"/>
  <c r="AS112" s="1"/>
  <c r="AS110"/>
  <c r="AN7" i="6"/>
  <c r="C46" i="44" s="1"/>
  <c r="C47" s="1"/>
  <c r="AQ108" i="11"/>
  <c r="AP93"/>
  <c r="AQ93" s="1"/>
  <c r="AQ91"/>
  <c r="AP110"/>
  <c r="AQ110" s="1"/>
  <c r="AQ9" i="6"/>
  <c r="AQ11" s="1"/>
  <c r="AQ34" s="1"/>
  <c r="AK48" i="39"/>
  <c r="AH51"/>
  <c r="AI48"/>
  <c r="AI51" s="1"/>
  <c r="AE19" i="9"/>
  <c r="AB27"/>
  <c r="AC19"/>
  <c r="AP73" i="11"/>
  <c r="AQ73" s="1"/>
  <c r="AQ71"/>
  <c r="AG72" i="39"/>
  <c r="AF75"/>
  <c r="AG67"/>
  <c r="AH63"/>
  <c r="I31" i="9"/>
  <c r="I10" i="17"/>
  <c r="J14" s="1"/>
  <c r="AG43" i="39"/>
  <c r="AH39"/>
  <c r="AK71"/>
  <c r="AI71"/>
  <c r="AK55"/>
  <c r="AG83"/>
  <c r="AH79"/>
  <c r="AG56"/>
  <c r="AF59"/>
  <c r="E6" i="45" l="1"/>
  <c r="D6"/>
  <c r="AK35" i="39"/>
  <c r="AL31"/>
  <c r="AF85"/>
  <c r="AF19" i="9" s="1"/>
  <c r="AF27" s="1"/>
  <c r="AF33" s="1"/>
  <c r="AK16" i="39"/>
  <c r="AH19"/>
  <c r="AK27"/>
  <c r="AL24"/>
  <c r="AN21" i="9"/>
  <c r="AO21" s="1"/>
  <c r="AN9" i="6"/>
  <c r="AN11" s="1"/>
  <c r="AN34" s="1"/>
  <c r="AN35" s="1"/>
  <c r="AN36" s="1"/>
  <c r="AO7"/>
  <c r="AO9" s="1"/>
  <c r="AO11" s="1"/>
  <c r="AO34" s="1"/>
  <c r="AQ35"/>
  <c r="AQ36" s="1"/>
  <c r="I16" i="45"/>
  <c r="AP112" i="11"/>
  <c r="AQ112" s="1"/>
  <c r="AL48" i="39"/>
  <c r="AK51"/>
  <c r="AB33" i="9"/>
  <c r="AC27"/>
  <c r="AE27"/>
  <c r="AH83" i="39"/>
  <c r="AK79"/>
  <c r="AI79"/>
  <c r="AI83" s="1"/>
  <c r="AL55"/>
  <c r="AH43"/>
  <c r="AK39"/>
  <c r="K24" i="17"/>
  <c r="E23" i="18"/>
  <c r="AH67" i="39"/>
  <c r="AK63"/>
  <c r="AI63"/>
  <c r="AI67" s="1"/>
  <c r="AH56"/>
  <c r="AG59"/>
  <c r="AL71"/>
  <c r="I11" i="9"/>
  <c r="I14" s="1"/>
  <c r="I16" s="1"/>
  <c r="AH72" i="39"/>
  <c r="AG75"/>
  <c r="AG85" s="1"/>
  <c r="AG19" i="9" s="1"/>
  <c r="AG27" s="1"/>
  <c r="AG33" s="1"/>
  <c r="AI39" i="39"/>
  <c r="AI43" s="1"/>
  <c r="AL16" l="1"/>
  <c r="AK19"/>
  <c r="AL27"/>
  <c r="AM24"/>
  <c r="AM31"/>
  <c r="AL35"/>
  <c r="I14" i="45"/>
  <c r="AO35" i="6"/>
  <c r="AM29" i="17" s="1"/>
  <c r="AM48" i="39"/>
  <c r="AL51"/>
  <c r="AE33" i="9"/>
  <c r="AK72" i="39"/>
  <c r="AH75"/>
  <c r="AI72"/>
  <c r="AI75" s="1"/>
  <c r="I32" i="9"/>
  <c r="I34" s="1"/>
  <c r="J31" s="1"/>
  <c r="I29"/>
  <c r="AM71" i="39"/>
  <c r="AK56"/>
  <c r="AH59"/>
  <c r="AK67"/>
  <c r="AL63"/>
  <c r="C6" i="45"/>
  <c r="F6"/>
  <c r="AK43" i="39"/>
  <c r="AL39"/>
  <c r="AK83"/>
  <c r="AL79"/>
  <c r="I40" i="17"/>
  <c r="J41" s="1"/>
  <c r="J6" i="45"/>
  <c r="AM55" i="39"/>
  <c r="AI56"/>
  <c r="AI59" s="1"/>
  <c r="AH85" l="1"/>
  <c r="AH19" i="9" s="1"/>
  <c r="AH27" s="1"/>
  <c r="AH33" s="1"/>
  <c r="AN31" i="39"/>
  <c r="AO31" s="1"/>
  <c r="AO35" s="1"/>
  <c r="AM35"/>
  <c r="AN24"/>
  <c r="AM27"/>
  <c r="AM16"/>
  <c r="AL19"/>
  <c r="AO24"/>
  <c r="AO27" s="1"/>
  <c r="AS29" i="17"/>
  <c r="AT31" s="1"/>
  <c r="AN31"/>
  <c r="AO36" i="6"/>
  <c r="AM51" i="39"/>
  <c r="AN48"/>
  <c r="AI85"/>
  <c r="AG12" i="17" s="1"/>
  <c r="AI19" i="9"/>
  <c r="AN55" i="39"/>
  <c r="AO55" s="1"/>
  <c r="AL43"/>
  <c r="AM39"/>
  <c r="AL56"/>
  <c r="AK59"/>
  <c r="J11" i="9"/>
  <c r="J14" s="1"/>
  <c r="J16" s="1"/>
  <c r="H6" i="45"/>
  <c r="K42" i="17"/>
  <c r="G6" i="45"/>
  <c r="AL83" i="39"/>
  <c r="AM79"/>
  <c r="AL67"/>
  <c r="AM63"/>
  <c r="AN71"/>
  <c r="AL72"/>
  <c r="AK75"/>
  <c r="AI27" i="9" l="1"/>
  <c r="AN16" i="39"/>
  <c r="AM19"/>
  <c r="AO16"/>
  <c r="AO19" s="1"/>
  <c r="AN27"/>
  <c r="AQ24"/>
  <c r="AQ27" s="1"/>
  <c r="AN35"/>
  <c r="AQ31"/>
  <c r="AQ35" s="1"/>
  <c r="AK85"/>
  <c r="AK19" i="9" s="1"/>
  <c r="AN51" i="39"/>
  <c r="AQ48"/>
  <c r="AQ51" s="1"/>
  <c r="AO48"/>
  <c r="AO51" s="1"/>
  <c r="J32" i="9"/>
  <c r="J34" s="1"/>
  <c r="K31" s="1"/>
  <c r="J29"/>
  <c r="AM43" i="39"/>
  <c r="AN39"/>
  <c r="AQ71"/>
  <c r="AO71"/>
  <c r="AM67"/>
  <c r="AN63"/>
  <c r="AO63" s="1"/>
  <c r="AO67" s="1"/>
  <c r="AM83"/>
  <c r="AN79"/>
  <c r="AM72"/>
  <c r="AL75"/>
  <c r="AM56"/>
  <c r="AL59"/>
  <c r="AQ55"/>
  <c r="AL85" l="1"/>
  <c r="AL19" i="9" s="1"/>
  <c r="AL27" s="1"/>
  <c r="AL33" s="1"/>
  <c r="AQ16" i="39"/>
  <c r="AQ19" s="1"/>
  <c r="AN19"/>
  <c r="AK27" i="9"/>
  <c r="AQ79" i="39"/>
  <c r="AQ83" s="1"/>
  <c r="AN83"/>
  <c r="K11" i="9"/>
  <c r="K14" s="1"/>
  <c r="K16" s="1"/>
  <c r="AN56" i="39"/>
  <c r="AM59"/>
  <c r="AO56"/>
  <c r="AO59" s="1"/>
  <c r="AN72"/>
  <c r="AM75"/>
  <c r="AO72"/>
  <c r="AO75" s="1"/>
  <c r="AQ63"/>
  <c r="AQ67" s="1"/>
  <c r="AN67"/>
  <c r="AN43"/>
  <c r="AQ39"/>
  <c r="AQ43" s="1"/>
  <c r="AO39"/>
  <c r="AO43" s="1"/>
  <c r="AO79"/>
  <c r="AO83" s="1"/>
  <c r="AM85" l="1"/>
  <c r="AM19" i="9" s="1"/>
  <c r="AK33"/>
  <c r="K32"/>
  <c r="K34" s="1"/>
  <c r="K29"/>
  <c r="AQ72" i="39"/>
  <c r="AQ75" s="1"/>
  <c r="AN75"/>
  <c r="AQ56"/>
  <c r="AQ59" s="1"/>
  <c r="AN59"/>
  <c r="AN85" l="1"/>
  <c r="AO85" s="1"/>
  <c r="AM12" i="17" s="1"/>
  <c r="AQ85" i="39"/>
  <c r="AQ19" i="9" s="1"/>
  <c r="AQ27" s="1"/>
  <c r="AQ33" s="1"/>
  <c r="AN19"/>
  <c r="AN27" s="1"/>
  <c r="AN33" s="1"/>
  <c r="AM27"/>
  <c r="L31"/>
  <c r="O10" i="17"/>
  <c r="P14" s="1"/>
  <c r="E7" i="45" l="1"/>
  <c r="D7"/>
  <c r="AS12" i="17"/>
  <c r="AO19" i="9"/>
  <c r="AM33"/>
  <c r="AO27"/>
  <c r="L11"/>
  <c r="L14" s="1"/>
  <c r="L16" s="1"/>
  <c r="Q24" i="17"/>
  <c r="E24" i="18"/>
  <c r="L32" i="9" l="1"/>
  <c r="L34" s="1"/>
  <c r="M31" s="1"/>
  <c r="L29"/>
  <c r="O40" i="17"/>
  <c r="P41" s="1"/>
  <c r="J7" i="45"/>
  <c r="F7"/>
  <c r="C7"/>
  <c r="G7" l="1"/>
  <c r="H7"/>
  <c r="Q42" i="17"/>
  <c r="M11" i="9"/>
  <c r="M14" s="1"/>
  <c r="M16" s="1"/>
  <c r="M32" l="1"/>
  <c r="M34" s="1"/>
  <c r="N31" s="1"/>
  <c r="M29"/>
  <c r="N11" l="1"/>
  <c r="N14" l="1"/>
  <c r="O11"/>
  <c r="N16" l="1"/>
  <c r="O14"/>
  <c r="N32" l="1"/>
  <c r="N34" s="1"/>
  <c r="N29"/>
  <c r="O16"/>
  <c r="O29" s="1"/>
  <c r="Q31" l="1"/>
  <c r="O34"/>
  <c r="U10" i="17"/>
  <c r="V14" s="1"/>
  <c r="E8" i="45" l="1"/>
  <c r="D8"/>
  <c r="E25" i="18"/>
  <c r="W24" i="17"/>
  <c r="Q11" i="9"/>
  <c r="U40" i="17" l="1"/>
  <c r="V41" s="1"/>
  <c r="J8" i="45"/>
  <c r="Q14" i="9"/>
  <c r="C8" i="45"/>
  <c r="F8"/>
  <c r="Q16" i="9" l="1"/>
  <c r="H8" i="45"/>
  <c r="W42" i="17"/>
  <c r="G8" i="45"/>
  <c r="Q32" i="9" l="1"/>
  <c r="Q34" s="1"/>
  <c r="R31" s="1"/>
  <c r="Q29"/>
  <c r="R11" l="1"/>
  <c r="R14" l="1"/>
  <c r="R16" l="1"/>
  <c r="R32" l="1"/>
  <c r="R34" s="1"/>
  <c r="S31" s="1"/>
  <c r="R29"/>
  <c r="S11" l="1"/>
  <c r="S14" l="1"/>
  <c r="S16" l="1"/>
  <c r="S32" l="1"/>
  <c r="S34" s="1"/>
  <c r="T31" s="1"/>
  <c r="S29"/>
  <c r="T11" l="1"/>
  <c r="T14" l="1"/>
  <c r="T16" l="1"/>
  <c r="T32" l="1"/>
  <c r="T34" s="1"/>
  <c r="U31" s="1"/>
  <c r="T29"/>
  <c r="U11" l="1"/>
  <c r="U14" l="1"/>
  <c r="U16" l="1"/>
  <c r="U32" l="1"/>
  <c r="U34" s="1"/>
  <c r="V31" s="1"/>
  <c r="U29"/>
  <c r="V11" l="1"/>
  <c r="V14" s="1"/>
  <c r="V16" s="1"/>
  <c r="V32" l="1"/>
  <c r="V34" s="1"/>
  <c r="W31" s="1"/>
  <c r="V29"/>
  <c r="W11" l="1"/>
  <c r="W14" s="1"/>
  <c r="W16" s="1"/>
  <c r="W32" l="1"/>
  <c r="W34" s="1"/>
  <c r="X31" s="1"/>
  <c r="W29"/>
  <c r="X11" l="1"/>
  <c r="X14" s="1"/>
  <c r="X16" s="1"/>
  <c r="X32" l="1"/>
  <c r="X34" s="1"/>
  <c r="Y31" s="1"/>
  <c r="X29"/>
  <c r="Y11" l="1"/>
  <c r="Y14" s="1"/>
  <c r="Y16" s="1"/>
  <c r="Y32" l="1"/>
  <c r="Y34" s="1"/>
  <c r="Z31" s="1"/>
  <c r="Y29"/>
  <c r="Z11" l="1"/>
  <c r="Z14" s="1"/>
  <c r="Z16" s="1"/>
  <c r="Z32" l="1"/>
  <c r="Z34" s="1"/>
  <c r="AA31" s="1"/>
  <c r="Z29"/>
  <c r="AA11" l="1"/>
  <c r="AA14" s="1"/>
  <c r="AA16" s="1"/>
  <c r="AA32" l="1"/>
  <c r="AA34" s="1"/>
  <c r="AB31" s="1"/>
  <c r="AA29"/>
  <c r="AB11" l="1"/>
  <c r="AB14" l="1"/>
  <c r="AC11"/>
  <c r="AB16" l="1"/>
  <c r="AC14"/>
  <c r="AB32" l="1"/>
  <c r="AB34" s="1"/>
  <c r="AB29"/>
  <c r="AC16"/>
  <c r="AC29" s="1"/>
  <c r="AE31" l="1"/>
  <c r="AA10" i="17"/>
  <c r="AB14" s="1"/>
  <c r="AC34" i="9"/>
  <c r="D10" i="45" l="1"/>
  <c r="E10"/>
  <c r="AC24" i="17"/>
  <c r="E26" i="18"/>
  <c r="AE11" i="9"/>
  <c r="C10" i="45" l="1"/>
  <c r="F10"/>
  <c r="AE14" i="9"/>
  <c r="J10" i="45"/>
  <c r="AA40" i="17"/>
  <c r="AB41" s="1"/>
  <c r="AC42" l="1"/>
  <c r="G10" i="45"/>
  <c r="H10"/>
  <c r="AE16" i="9"/>
  <c r="AE32" l="1"/>
  <c r="AE34" s="1"/>
  <c r="AF31" s="1"/>
  <c r="AE29"/>
  <c r="AF11" l="1"/>
  <c r="AF14" l="1"/>
  <c r="AF16" l="1"/>
  <c r="AF32" l="1"/>
  <c r="AF34" s="1"/>
  <c r="AG31" s="1"/>
  <c r="AF29"/>
  <c r="AG11" l="1"/>
  <c r="AG14" l="1"/>
  <c r="AG16" l="1"/>
  <c r="AG32" l="1"/>
  <c r="AG34" s="1"/>
  <c r="AH31" s="1"/>
  <c r="AG29"/>
  <c r="AH11" l="1"/>
  <c r="AH14" l="1"/>
  <c r="AI11"/>
  <c r="AH16" l="1"/>
  <c r="AI14"/>
  <c r="AH32" l="1"/>
  <c r="AH34" s="1"/>
  <c r="AH29"/>
  <c r="AI16"/>
  <c r="AI29" s="1"/>
  <c r="AK31" l="1"/>
  <c r="AI34"/>
  <c r="AG10" i="17" s="1"/>
  <c r="AH14" s="1"/>
  <c r="E12" i="45" l="1"/>
  <c r="D12"/>
  <c r="AI24" i="17"/>
  <c r="E27" i="18"/>
  <c r="AK11" i="9"/>
  <c r="C12" i="45" l="1"/>
  <c r="F12"/>
  <c r="AK14" i="9"/>
  <c r="J12" i="45"/>
  <c r="AG40" i="17"/>
  <c r="AH41" s="1"/>
  <c r="AI42" l="1"/>
  <c r="G12" i="45"/>
  <c r="H12"/>
  <c r="AK16" i="9"/>
  <c r="AK32" l="1"/>
  <c r="AK34" s="1"/>
  <c r="AL31" s="1"/>
  <c r="AK29"/>
  <c r="AL11" l="1"/>
  <c r="AL14" l="1"/>
  <c r="AL16" l="1"/>
  <c r="AL32" l="1"/>
  <c r="AL34" s="1"/>
  <c r="AM31" s="1"/>
  <c r="AL29"/>
  <c r="AM11" l="1"/>
  <c r="AM14" l="1"/>
  <c r="AM16" l="1"/>
  <c r="AM32" l="1"/>
  <c r="AM34" s="1"/>
  <c r="AN31" s="1"/>
  <c r="AM29"/>
  <c r="AN11" l="1"/>
  <c r="AN14" l="1"/>
  <c r="AO11"/>
  <c r="AN16" l="1"/>
  <c r="AO14"/>
  <c r="AN32" l="1"/>
  <c r="AN34" s="1"/>
  <c r="AO34" s="1"/>
  <c r="AN29"/>
  <c r="AO16"/>
  <c r="AO29" s="1"/>
  <c r="AQ31" l="1"/>
  <c r="AM10" i="17"/>
  <c r="AN14" s="1"/>
  <c r="D14" i="45" l="1"/>
  <c r="E14"/>
  <c r="AO24" i="17"/>
  <c r="E28" i="18"/>
  <c r="AQ11" i="9"/>
  <c r="AQ14" s="1"/>
  <c r="AQ16" s="1"/>
  <c r="C14" i="45" l="1"/>
  <c r="F14"/>
  <c r="AQ32" i="9"/>
  <c r="AQ34" s="1"/>
  <c r="AS10" i="17" s="1"/>
  <c r="AT14" s="1"/>
  <c r="AQ29" i="9"/>
  <c r="AM40" i="17"/>
  <c r="AN41" s="1"/>
  <c r="J14" i="45"/>
  <c r="E16" l="1"/>
  <c r="D16"/>
  <c r="G14"/>
  <c r="H14"/>
  <c r="AO42" i="17"/>
  <c r="AU24"/>
  <c r="E29" i="18"/>
  <c r="J16" i="45" l="1"/>
  <c r="AS40" i="17"/>
  <c r="AT41" s="1"/>
  <c r="C16" i="45"/>
  <c r="F16"/>
  <c r="G16" l="1"/>
  <c r="H16"/>
  <c r="AU42" i="17"/>
</calcChain>
</file>

<file path=xl/comments1.xml><?xml version="1.0" encoding="utf-8"?>
<comments xmlns="http://schemas.openxmlformats.org/spreadsheetml/2006/main">
  <authors>
    <author>Author</author>
  </authors>
  <commentList>
    <comment ref="D15" authorId="0">
      <text>
        <r>
          <rPr>
            <b/>
            <sz val="8"/>
            <color indexed="81"/>
            <rFont val="Tahoma"/>
            <family val="2"/>
          </rPr>
          <t>Many businesses sell hundreds or thousands of products. It would be overwhelming to create projections for every product you sell. So if you sell many products, think about how you can consolidate them into up to ten product "lines," and then base your projections on these groups of products instead of each individual product.</t>
        </r>
      </text>
    </comment>
    <comment ref="D18" authorId="0">
      <text>
        <r>
          <rPr>
            <b/>
            <sz val="8"/>
            <color indexed="81"/>
            <rFont val="Tahoma"/>
            <family val="2"/>
          </rPr>
          <t>NOTE: for our purposes, this line should NOT include credit card sales, which are, effectively, cash sales because you receive payment in a matter days, not weeks.</t>
        </r>
      </text>
    </comment>
    <comment ref="D20" authorId="0">
      <text>
        <r>
          <rPr>
            <b/>
            <sz val="8"/>
            <color indexed="81"/>
            <rFont val="Tahoma"/>
            <family val="2"/>
          </rPr>
          <t>If, for instance,  your terms will be "Net 30," put 30 here. You may enter any number of days between 0 and 120.</t>
        </r>
      </text>
    </comment>
    <comment ref="D24" authorId="0">
      <text>
        <r>
          <rPr>
            <b/>
            <sz val="8"/>
            <color indexed="81"/>
            <rFont val="Tahoma"/>
            <family val="2"/>
          </rPr>
          <t>This number should reflect the amount you will spend on ONE FULL-TIME employee--the worksheets will automatically multiply this amount by the total number of employees you expect to hire, as shown in the Staffing Budget worksheet (automatically adusting the numbers for full- and part-time employees accordingly).</t>
        </r>
      </text>
    </comment>
    <comment ref="D30" authorId="0">
      <text>
        <r>
          <rPr>
            <b/>
            <sz val="8"/>
            <color indexed="81"/>
            <rFont val="Tahoma"/>
            <family val="2"/>
          </rPr>
          <t>If you're not sure what percentage to enter here, leave it at the default (15%).</t>
        </r>
      </text>
    </comment>
    <comment ref="D34" authorId="0">
      <text>
        <r>
          <rPr>
            <b/>
            <sz val="8"/>
            <color indexed="81"/>
            <rFont val="Tahoma"/>
            <family val="2"/>
          </rPr>
          <t xml:space="preserve">In general, this number will include money you plan to personally invest in the business. If you will be receiving loans or investment income from others, you can account for those on the upcoming Capital Investments worksheet instead of here.
</t>
        </r>
      </text>
    </comment>
    <comment ref="D36" authorId="0">
      <text>
        <r>
          <rPr>
            <b/>
            <sz val="8"/>
            <color indexed="81"/>
            <rFont val="Tahoma"/>
            <family val="2"/>
          </rPr>
          <t>If you're not sure what percentage to enter here, leave it at the default (25%).</t>
        </r>
      </text>
    </comment>
    <comment ref="D38" authorId="0">
      <text>
        <r>
          <rPr>
            <b/>
            <sz val="8"/>
            <color indexed="81"/>
            <rFont val="Tahoma"/>
            <family val="2"/>
          </rPr>
          <t>If you're not sure what percentage to enter here, leave it at the default (1.00%).</t>
        </r>
      </text>
    </comment>
  </commentList>
</comments>
</file>

<file path=xl/comments2.xml><?xml version="1.0" encoding="utf-8"?>
<comments xmlns="http://schemas.openxmlformats.org/spreadsheetml/2006/main">
  <authors>
    <author>Author</author>
  </authors>
  <commentList>
    <comment ref="B2" authorId="0">
      <text>
        <r>
          <rPr>
            <b/>
            <sz val="8"/>
            <color indexed="81"/>
            <rFont val="Tahoma"/>
            <family val="2"/>
          </rPr>
          <t xml:space="preserve">For information about this worksheet, see Chapter 10, "Marketing Plan &amp; Sales Strategy" in </t>
        </r>
        <r>
          <rPr>
            <b/>
            <i/>
            <sz val="8"/>
            <color indexed="81"/>
            <rFont val="Tahoma"/>
            <family val="2"/>
          </rPr>
          <t xml:space="preserve">The Successful Business Plan, </t>
        </r>
        <r>
          <rPr>
            <b/>
            <sz val="8"/>
            <color indexed="81"/>
            <rFont val="Tahoma"/>
            <family val="2"/>
          </rPr>
          <t>4th ed. The worksheet is on page 150.</t>
        </r>
      </text>
    </comment>
    <comment ref="B5" authorId="0">
      <text>
        <r>
          <rPr>
            <b/>
            <sz val="8"/>
            <color indexed="81"/>
            <rFont val="Tahoma"/>
            <family val="2"/>
          </rPr>
          <t xml:space="preserve">Change the text in this cell to reflect the name of a major product, product line or service your firm will offer.  
If you </t>
        </r>
      </text>
    </comment>
    <comment ref="D6" authorId="0">
      <text>
        <r>
          <rPr>
            <b/>
            <sz val="8"/>
            <color indexed="81"/>
            <rFont val="Tahoma"/>
            <family val="2"/>
          </rPr>
          <t>MONTHLY GROWTH RATE
As a convenience, the Worksheets can automatically increase the value in each cell on this line using the rate you enter here. You can also enter each cell's value by hand, if you prefer, which makes sense if you need to show ups and downs in sales due to seasonal fluctuations, etc.</t>
        </r>
      </text>
    </comment>
    <comment ref="E6" authorId="0">
      <text>
        <r>
          <rPr>
            <b/>
            <sz val="8"/>
            <color indexed="81"/>
            <rFont val="Tahoma"/>
            <family val="2"/>
          </rPr>
          <t>Enter the number of units you expect to sell during this month. If you are running a service-based company charging on an hourly basis, enter the number of billable hours you expect you and your employees to work during this month. If you will be selling your service on a per-project basis, enter the number of projects you expect to sell during this period.</t>
        </r>
      </text>
    </comment>
    <comment ref="AG6" authorId="0">
      <text>
        <r>
          <rPr>
            <b/>
            <sz val="8"/>
            <color indexed="81"/>
            <rFont val="Tahoma"/>
            <family val="2"/>
          </rPr>
          <t>Note that in year three we use quarterly numbers, not monthly numbers--so make sure you enter your amounts accordingly!</t>
        </r>
      </text>
    </comment>
    <comment ref="E7" authorId="0">
      <text>
        <r>
          <rPr>
            <b/>
            <sz val="8"/>
            <color indexed="81"/>
            <rFont val="Tahoma"/>
            <family val="2"/>
          </rPr>
          <t>Enter your sales price for each unit here. If you are running a service-based company, enter your hourly rate or approximate per-project rate.</t>
        </r>
      </text>
    </comment>
    <comment ref="F7" authorId="0">
      <text>
        <r>
          <rPr>
            <b/>
            <sz val="8"/>
            <color indexed="81"/>
            <rFont val="Tahoma"/>
            <family val="2"/>
          </rPr>
          <t>As a convenience, the Worksheets will automatically copy the number you put in the prior cell into this cell. However, you should feel free to overwrite the copied number with whatever makes more sense for your business.</t>
        </r>
      </text>
    </comment>
    <comment ref="C9" authorId="0">
      <text>
        <r>
          <rPr>
            <b/>
            <sz val="8"/>
            <color indexed="81"/>
            <rFont val="Tahoma"/>
            <family val="2"/>
          </rPr>
          <t>COMMISSIONED SALES
What percentage of this product line's sales will be made on commission? In other words, what percentage of your sales will be made by a salesperson who is paid commission?</t>
        </r>
      </text>
    </comment>
    <comment ref="D9" authorId="0">
      <text>
        <r>
          <rPr>
            <b/>
            <sz val="8"/>
            <color indexed="81"/>
            <rFont val="Tahoma"/>
            <family val="2"/>
          </rPr>
          <t>SALES COMMISSION RATE
What will be the commission rate paid to your salesperson for each sale?</t>
        </r>
      </text>
    </comment>
    <comment ref="D10" authorId="0">
      <text>
        <r>
          <rPr>
            <b/>
            <sz val="8"/>
            <color indexed="81"/>
            <rFont val="Tahoma"/>
            <family val="2"/>
          </rPr>
          <t>RETURNS AND ALLOWANCES
A percentage of your products will be returned due to defects, etc. What do you estimate will be the rate of return? This is, of course, just an estimate--but it is important to anticipate  losses. Refunds, breakage, spoilage, theft, and unsaleable excess inventory can all put a significant dent in your net sales.</t>
        </r>
      </text>
    </comment>
    <comment ref="D12" authorId="0">
      <text>
        <r>
          <rPr>
            <b/>
            <sz val="8"/>
            <color indexed="81"/>
            <rFont val="Tahoma"/>
            <family val="2"/>
          </rPr>
          <t>COST OF GOODS
Approximately what percentage of your product's sale price will be spent on manufacturing? If you are a reseller or retailer, what percentage of your product's sale price will be spent on buying the product from your distributor? A service business may not need to track cost of goods, in which case you can set this number to zero.</t>
        </r>
      </text>
    </comment>
    <comment ref="B1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2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3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4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5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6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7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8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9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List>
</comments>
</file>

<file path=xl/comments3.xml><?xml version="1.0" encoding="utf-8"?>
<comments xmlns="http://schemas.openxmlformats.org/spreadsheetml/2006/main">
  <authors>
    <author>Author</author>
  </authors>
  <commentList>
    <comment ref="B2" authorId="0">
      <text>
        <r>
          <rPr>
            <b/>
            <sz val="8"/>
            <color indexed="81"/>
            <rFont val="Tahoma"/>
            <family val="2"/>
          </rPr>
          <t>This bonus worksheet, not found in "The Successful Business Plan," will help you manage your inventory expenditures. For each product line, enter the dollar amount you will spend each period on inventory. If yours is a service business, you  can probably ignore this worksheet.</t>
        </r>
      </text>
    </comment>
    <comment ref="C6" authorId="0">
      <text>
        <r>
          <rPr>
            <b/>
            <sz val="8"/>
            <color indexed="81"/>
            <rFont val="Tahoma"/>
            <family val="2"/>
          </rPr>
          <t>This Cost of Goods number is pulled over from your Sales Projections and shows how much product you plan to sell each month. It's here simply to aid you in determining how much inventory you need to purchase.</t>
        </r>
      </text>
    </comment>
    <comment ref="C11" authorId="0">
      <text>
        <r>
          <rPr>
            <b/>
            <sz val="8"/>
            <color indexed="81"/>
            <rFont val="Tahoma"/>
            <family val="2"/>
          </rPr>
          <t>Are these cells showing red? As an aid to you, these cells will show in red until you indicate the purchase of enough inventory to cover your Cost of Goods for the period.</t>
        </r>
      </text>
    </comment>
    <comment ref="B13"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21"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37"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45"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53"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61"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69"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 ref="B77" authorId="0">
      <text>
        <r>
          <rPr>
            <b/>
            <sz val="8"/>
            <color indexed="81"/>
            <rFont val="Tahoma"/>
            <family val="2"/>
          </rPr>
          <t>If you only have less than 10 product lines, you can't delete the rows for excess product lines,  but you can them hide them.  If the cells are hidden, they won't be included in the subtotals at the bottom of this worksheet.
On Excel 2008 for Mac &amp; Excel 2003:
1) Select the rows to hide by click on the row headers along left edge of Excel window
2) Format-&gt;Rows-&gt;Hide
On Excel 2007
1) Select the rows to hide by click on the row headers along left edge of Excel window
2) Right click to pop up a context menu
3) From the menu, select "Hide"</t>
        </r>
      </text>
    </comment>
  </commentList>
</comments>
</file>

<file path=xl/comments4.xml><?xml version="1.0" encoding="utf-8"?>
<comments xmlns="http://schemas.openxmlformats.org/spreadsheetml/2006/main">
  <authors>
    <author>Author</author>
  </authors>
  <commentList>
    <comment ref="B2" authorId="0">
      <text>
        <r>
          <rPr>
            <b/>
            <sz val="8"/>
            <color indexed="81"/>
            <rFont val="Tahoma"/>
            <family val="2"/>
          </rPr>
          <t xml:space="preserve">This bonus worksheet (not found in the </t>
        </r>
        <r>
          <rPr>
            <b/>
            <i/>
            <sz val="8"/>
            <color indexed="81"/>
            <rFont val="Tahoma"/>
            <family val="2"/>
          </rPr>
          <t>Succesful Business Plan</t>
        </r>
        <r>
          <rPr>
            <b/>
            <sz val="8"/>
            <color indexed="81"/>
            <rFont val="Tahoma"/>
            <family val="2"/>
          </rPr>
          <t>) allows you to track capital expenditures and manage depreciation for those expenditures.</t>
        </r>
      </text>
    </comment>
    <comment ref="B5" authorId="0">
      <text>
        <r>
          <rPr>
            <b/>
            <sz val="8"/>
            <color indexed="81"/>
            <rFont val="Tahoma"/>
            <family val="2"/>
          </rPr>
          <t xml:space="preserve">Facilities include, land, buildings, building upgrades, fixtures, etc.
</t>
        </r>
        <r>
          <rPr>
            <b/>
            <sz val="8"/>
            <color indexed="10"/>
            <rFont val="Tahoma"/>
            <family val="2"/>
          </rPr>
          <t>NOTE:</t>
        </r>
        <r>
          <rPr>
            <b/>
            <sz val="8"/>
            <color indexed="81"/>
            <rFont val="Tahoma"/>
            <family val="2"/>
          </rPr>
          <t xml:space="preserve"> If you will need more than 10 items in each category on this worksheet, combine items into groups and enter data for the entire group on a single line.</t>
        </r>
      </text>
    </comment>
    <comment ref="C6" authorId="0">
      <text>
        <r>
          <rPr>
            <b/>
            <sz val="8"/>
            <color indexed="81"/>
            <rFont val="Tahoma"/>
            <family val="2"/>
          </rPr>
          <t>Enter the cost of the item(s) here. This will be used to calculate depreciation, and will be added to your financial statements.</t>
        </r>
      </text>
    </comment>
    <comment ref="D6" authorId="0">
      <text>
        <r>
          <rPr>
            <b/>
            <sz val="8"/>
            <color indexed="81"/>
            <rFont val="Tahoma"/>
            <family val="2"/>
          </rPr>
          <t xml:space="preserve">Enter the month you will purchase the item(s).
</t>
        </r>
        <r>
          <rPr>
            <b/>
            <sz val="8"/>
            <color indexed="10"/>
            <rFont val="Tahoma"/>
            <family val="2"/>
          </rPr>
          <t>Note:</t>
        </r>
        <r>
          <rPr>
            <b/>
            <sz val="8"/>
            <color indexed="81"/>
            <rFont val="Tahoma"/>
            <family val="2"/>
          </rPr>
          <t xml:space="preserve"> When entering dates on this worksheet, make sure that they don't fall </t>
        </r>
        <r>
          <rPr>
            <b/>
            <i/>
            <sz val="8"/>
            <color indexed="81"/>
            <rFont val="Tahoma"/>
            <family val="2"/>
          </rPr>
          <t>prior</t>
        </r>
        <r>
          <rPr>
            <b/>
            <sz val="8"/>
            <color indexed="81"/>
            <rFont val="Tahoma"/>
            <family val="2"/>
          </rPr>
          <t xml:space="preserve"> to your current startup date (as entered on the Setup worksheet). Doing so will cause "#NUM!" calculation errors on later worksheets. However, you need not change the dates on lines you are not using.</t>
        </r>
      </text>
    </comment>
    <comment ref="E6" authorId="0">
      <text>
        <r>
          <rPr>
            <b/>
            <sz val="8"/>
            <color indexed="81"/>
            <rFont val="Tahoma"/>
            <family val="2"/>
          </rPr>
          <t>Enter the year you will purchase the item(s).</t>
        </r>
      </text>
    </comment>
    <comment ref="F6" authorId="0">
      <text>
        <r>
          <rPr>
            <b/>
            <sz val="8"/>
            <color indexed="81"/>
            <rFont val="Tahoma"/>
            <family val="2"/>
          </rPr>
          <t xml:space="preserve">Enter the number of years you will use the item(s) before it wears out, you retire it, or sell it.
This number will be used to calculate depreciation in your financial statements using the Straight Line method.
</t>
        </r>
        <r>
          <rPr>
            <b/>
            <sz val="8"/>
            <color indexed="10"/>
            <rFont val="Tahoma"/>
            <family val="2"/>
          </rPr>
          <t xml:space="preserve">NOTE: </t>
        </r>
        <r>
          <rPr>
            <b/>
            <sz val="8"/>
            <color indexed="81"/>
            <rFont val="Tahoma"/>
            <family val="2"/>
          </rPr>
          <t>If you'd rather "expense" the item(s) in the year it is purchased, regardless of how many years you will use it, leave the number set to 1 year, and it will not be depreciated on your financial statements.
For information about the tax implications/requirements of depreciation, please consult a competent accountant.</t>
        </r>
      </text>
    </comment>
    <comment ref="G6" authorId="0">
      <text>
        <r>
          <rPr>
            <b/>
            <sz val="8"/>
            <color indexed="81"/>
            <rFont val="Tahoma"/>
            <family val="2"/>
          </rPr>
          <t>This is the value of the item at the time you stop using it, or the price you might receive for it if you sell it.
For example, a $1000 desk might be worth $300 when you sell it after five years of use. You would enter $300 in this cell.
If you will not be depreciating the item (the Years of Service column is set to 1 year), you can ignore this.</t>
        </r>
      </text>
    </comment>
    <comment ref="B17" authorId="0">
      <text>
        <r>
          <rPr>
            <b/>
            <sz val="8"/>
            <color indexed="81"/>
            <rFont val="Tahoma"/>
            <family val="2"/>
          </rPr>
          <t>Equipment includes machinery, furniture, vehicles, etc.</t>
        </r>
      </text>
    </comment>
    <comment ref="B39" authorId="0">
      <text>
        <r>
          <rPr>
            <b/>
            <sz val="8"/>
            <color indexed="81"/>
            <rFont val="Tahoma"/>
            <family val="2"/>
          </rPr>
          <t>Includes PCs, servers, monitors, printers, scanners, other peripherals, and software applications.</t>
        </r>
      </text>
    </comment>
    <comment ref="B56" authorId="0">
      <text>
        <r>
          <rPr>
            <b/>
            <sz val="8"/>
            <color indexed="81"/>
            <rFont val="Tahoma"/>
            <family val="2"/>
          </rPr>
          <t>Telecommunications includes phone systems, fax machines, etc.</t>
        </r>
      </text>
    </comment>
    <comment ref="B63" authorId="0">
      <text>
        <r>
          <rPr>
            <b/>
            <sz val="8"/>
            <color indexed="81"/>
            <rFont val="Tahoma"/>
            <family val="2"/>
          </rPr>
          <t>Land purchases are not depreciable.</t>
        </r>
      </text>
    </comment>
  </commentList>
</comments>
</file>

<file path=xl/comments5.xml><?xml version="1.0" encoding="utf-8"?>
<comments xmlns="http://schemas.openxmlformats.org/spreadsheetml/2006/main">
  <authors>
    <author>Author</author>
  </authors>
  <commentList>
    <comment ref="B2" authorId="0">
      <text>
        <r>
          <rPr>
            <b/>
            <sz val="8"/>
            <color indexed="81"/>
            <rFont val="Tahoma"/>
            <family val="2"/>
          </rPr>
          <t xml:space="preserve">For information about this worksheet, see "Staffing Budget" on page 244 in </t>
        </r>
        <r>
          <rPr>
            <b/>
            <i/>
            <sz val="8"/>
            <color indexed="81"/>
            <rFont val="Tahoma"/>
            <family val="2"/>
          </rPr>
          <t>The Successful Business Plan,</t>
        </r>
        <r>
          <rPr>
            <b/>
            <sz val="8"/>
            <color indexed="81"/>
            <rFont val="Tahoma"/>
            <family val="2"/>
          </rPr>
          <t xml:space="preserve"> 4th ed. The worksheet is on page 248.</t>
        </r>
      </text>
    </comment>
    <comment ref="C6" authorId="0">
      <text>
        <r>
          <rPr>
            <b/>
            <sz val="8"/>
            <color indexed="81"/>
            <rFont val="Tahoma"/>
            <family val="2"/>
          </rPr>
          <t>Enter the number of employees you expect to have working for you in this category during this month. If you have part-time employees, you can enter a decimal number (e.g., "1.5" for one full-time employee plus a half-time employee).</t>
        </r>
      </text>
    </comment>
    <comment ref="AE6" authorId="0">
      <text>
        <r>
          <rPr>
            <b/>
            <sz val="8"/>
            <color indexed="81"/>
            <rFont val="Tahoma"/>
            <family val="2"/>
          </rPr>
          <t>Note that in year two we use quarterly numbers, not monthly numbers--so make sure you enter your numbers accordingly!</t>
        </r>
      </text>
    </comment>
    <comment ref="C7" authorId="0">
      <text>
        <r>
          <rPr>
            <b/>
            <sz val="8"/>
            <color indexed="81"/>
            <rFont val="Tahoma"/>
            <family val="2"/>
          </rPr>
          <t>Enter the amount you expect to pay each employee in this category this month. The Worksheets will multiply the number of employees (from the line above) with this number to generate your total cost (less benefits and taxes, below).</t>
        </r>
      </text>
    </comment>
    <comment ref="C8" authorId="0">
      <text>
        <r>
          <rPr>
            <b/>
            <sz val="8"/>
            <color indexed="81"/>
            <rFont val="Tahoma"/>
            <family val="2"/>
          </rPr>
          <t>This value is calculated using the number you entered on the "Setup and Assumptions" worksheet and the number of employees you entered above.</t>
        </r>
      </text>
    </comment>
    <comment ref="AE13" authorId="0">
      <text>
        <r>
          <rPr>
            <b/>
            <sz val="8"/>
            <color indexed="81"/>
            <rFont val="Tahoma"/>
            <family val="2"/>
          </rPr>
          <t>Note that in year two we use quarterly numbers, not monthly numbers--so make sure you enter your numbers accordingly!</t>
        </r>
      </text>
    </comment>
    <comment ref="AE20" authorId="0">
      <text>
        <r>
          <rPr>
            <b/>
            <sz val="8"/>
            <color indexed="81"/>
            <rFont val="Tahoma"/>
            <family val="2"/>
          </rPr>
          <t>Note that in year two we use quarterly numbers, not monthly numbers--so make sure you enter your numbers accordingly!</t>
        </r>
      </text>
    </comment>
    <comment ref="AE27" authorId="0">
      <text>
        <r>
          <rPr>
            <b/>
            <sz val="8"/>
            <color indexed="81"/>
            <rFont val="Tahoma"/>
            <family val="2"/>
          </rPr>
          <t>Note that in year two we use quarterly numbers, not monthly numbers--so make sure you enter your numbers accordingly!</t>
        </r>
      </text>
    </comment>
    <comment ref="AE34" authorId="0">
      <text>
        <r>
          <rPr>
            <b/>
            <sz val="8"/>
            <color indexed="81"/>
            <rFont val="Tahoma"/>
            <family val="2"/>
          </rPr>
          <t>Note that in year two we use quarterly numbers, not monthly numbers--so make sure you enter your numbers accordingly!</t>
        </r>
      </text>
    </comment>
  </commentList>
</comments>
</file>

<file path=xl/comments6.xml><?xml version="1.0" encoding="utf-8"?>
<comments xmlns="http://schemas.openxmlformats.org/spreadsheetml/2006/main">
  <authors>
    <author>Author</author>
  </authors>
  <commentList>
    <comment ref="B2" authorId="0">
      <text>
        <r>
          <rPr>
            <b/>
            <sz val="8"/>
            <color indexed="81"/>
            <rFont val="Tahoma"/>
            <family val="2"/>
          </rPr>
          <t xml:space="preserve">For information about this worksheet, see Chapter 10, "Marketing Plan &amp; Sales Strategy" in </t>
        </r>
        <r>
          <rPr>
            <b/>
            <i/>
            <sz val="8"/>
            <color indexed="81"/>
            <rFont val="Tahoma"/>
            <family val="2"/>
          </rPr>
          <t>The Successful Business Plan,</t>
        </r>
        <r>
          <rPr>
            <b/>
            <sz val="8"/>
            <color indexed="81"/>
            <rFont val="Tahoma"/>
            <family val="2"/>
          </rPr>
          <t xml:space="preserve"> 4th ed. The worksheet is on page 148.</t>
        </r>
      </text>
    </comment>
  </commentList>
</comments>
</file>

<file path=xl/comments7.xml><?xml version="1.0" encoding="utf-8"?>
<comments xmlns="http://schemas.openxmlformats.org/spreadsheetml/2006/main">
  <authors>
    <author>Author</author>
  </authors>
  <commentList>
    <comment ref="B2" authorId="0">
      <text>
        <r>
          <rPr>
            <b/>
            <sz val="8"/>
            <color indexed="81"/>
            <rFont val="Tahoma"/>
            <family val="2"/>
          </rPr>
          <t xml:space="preserve">For information about this worksheet, see Chapter 13, "Management &amp; Organization" in </t>
        </r>
        <r>
          <rPr>
            <b/>
            <i/>
            <sz val="8"/>
            <color indexed="81"/>
            <rFont val="Tahoma"/>
            <family val="2"/>
          </rPr>
          <t xml:space="preserve">The Successful Business Plan, </t>
        </r>
        <r>
          <rPr>
            <b/>
            <sz val="8"/>
            <color indexed="81"/>
            <rFont val="Tahoma"/>
            <family val="2"/>
          </rPr>
          <t>4th ed. The worksheet is on page 199.</t>
        </r>
      </text>
    </comment>
    <comment ref="B5" authorId="0">
      <text>
        <r>
          <rPr>
            <b/>
            <sz val="8"/>
            <color indexed="81"/>
            <rFont val="Tahoma"/>
            <family val="2"/>
          </rPr>
          <t>For professional services related to technology or marketing, use the Technology Budget or Marketing Budget spreadsheets.</t>
        </r>
      </text>
    </comment>
    <comment ref="C6" authorId="0">
      <text>
        <r>
          <rPr>
            <b/>
            <sz val="8"/>
            <color indexed="81"/>
            <rFont val="Tahoma"/>
            <family val="2"/>
          </rPr>
          <t>The number you enter here will be equally divided among the 12 months of the year on your Income Statement.</t>
        </r>
      </text>
    </comment>
  </commentList>
</comments>
</file>

<file path=xl/comments8.xml><?xml version="1.0" encoding="utf-8"?>
<comments xmlns="http://schemas.openxmlformats.org/spreadsheetml/2006/main">
  <authors>
    <author>Author</author>
  </authors>
  <commentList>
    <comment ref="B2" authorId="0">
      <text>
        <r>
          <rPr>
            <b/>
            <sz val="8"/>
            <color indexed="81"/>
            <rFont val="Tahoma"/>
            <family val="2"/>
          </rPr>
          <t xml:space="preserve">This bonus worksheet (not found in the </t>
        </r>
        <r>
          <rPr>
            <b/>
            <i/>
            <sz val="8"/>
            <color indexed="81"/>
            <rFont val="Tahoma"/>
            <family val="2"/>
          </rPr>
          <t>Succesful Business Plan</t>
        </r>
        <r>
          <rPr>
            <b/>
            <sz val="8"/>
            <color indexed="81"/>
            <rFont val="Tahoma"/>
            <family val="2"/>
          </rPr>
          <t>) will help you manage loans and investments in your business.</t>
        </r>
      </text>
    </comment>
    <comment ref="B5" authorId="0">
      <text>
        <r>
          <rPr>
            <b/>
            <sz val="8"/>
            <color indexed="81"/>
            <rFont val="Tahoma"/>
            <family val="2"/>
          </rPr>
          <t>Equity capital investments can come from a number of sources, including venture capitalists, angel investors, and family members. Generally, these investors are purchasing a percentage of (or shares in) your company. They expect to reap the rewards of your business' success through periodic dividend payments (a share of the profits) and/or when the company is sold.</t>
        </r>
      </text>
    </comment>
    <comment ref="C6" authorId="0">
      <text>
        <r>
          <rPr>
            <b/>
            <sz val="8"/>
            <color indexed="81"/>
            <rFont val="Tahoma"/>
            <family val="2"/>
          </rPr>
          <t>Enter the amount that will be invested in your business from this source. If this investor will inject cash into your business more than one time, use separate lines for each investment.</t>
        </r>
      </text>
    </comment>
    <comment ref="D6" authorId="0">
      <text>
        <r>
          <rPr>
            <b/>
            <sz val="8"/>
            <color indexed="81"/>
            <rFont val="Tahoma"/>
            <family val="2"/>
          </rPr>
          <t xml:space="preserve">Enter the month that you will receive the investment cash.
</t>
        </r>
        <r>
          <rPr>
            <b/>
            <sz val="8"/>
            <color indexed="10"/>
            <rFont val="Tahoma"/>
            <family val="2"/>
          </rPr>
          <t>Note:</t>
        </r>
        <r>
          <rPr>
            <b/>
            <sz val="8"/>
            <color indexed="81"/>
            <rFont val="Tahoma"/>
            <family val="2"/>
          </rPr>
          <t xml:space="preserve"> When entering dates on this worksheet, make sure that they don't fall </t>
        </r>
        <r>
          <rPr>
            <b/>
            <i/>
            <sz val="8"/>
            <color indexed="81"/>
            <rFont val="Tahoma"/>
            <family val="2"/>
          </rPr>
          <t>prior</t>
        </r>
        <r>
          <rPr>
            <b/>
            <sz val="8"/>
            <color indexed="81"/>
            <rFont val="Tahoma"/>
            <family val="2"/>
          </rPr>
          <t xml:space="preserve"> to your current startup date (as entered on the Setup worksheet). Doing so will cause "#NUM!" calculation errors on later worksheets. However, you need not change the dates on lines you are not using.</t>
        </r>
      </text>
    </comment>
    <comment ref="E6" authorId="0">
      <text>
        <r>
          <rPr>
            <b/>
            <sz val="8"/>
            <color indexed="81"/>
            <rFont val="Tahoma"/>
            <family val="2"/>
          </rPr>
          <t>Enter the year you will receive the investment cash.</t>
        </r>
      </text>
    </comment>
    <comment ref="B23" authorId="0">
      <text>
        <r>
          <rPr>
            <b/>
            <sz val="8"/>
            <color indexed="81"/>
            <rFont val="Tahoma"/>
            <family val="2"/>
          </rPr>
          <t>Unlike equity capital inventments, lenders are typically not interested in purchasing shares in your company--they simply want to be paid back on a fixed schedule, with interest. Lenders can include banks and family members.</t>
        </r>
      </text>
    </comment>
    <comment ref="F24" authorId="0">
      <text>
        <r>
          <rPr>
            <b/>
            <sz val="8"/>
            <color indexed="81"/>
            <rFont val="Tahoma"/>
            <family val="2"/>
          </rPr>
          <t>Enter the term (length) of the loan in MONTHS. For example, if this will be a three year loan, enter 36 here.</t>
        </r>
      </text>
    </comment>
    <comment ref="G24" authorId="0">
      <text>
        <r>
          <rPr>
            <b/>
            <sz val="8"/>
            <color indexed="81"/>
            <rFont val="Tahoma"/>
            <family val="2"/>
          </rPr>
          <t>Enter the loan's interest rate.</t>
        </r>
      </text>
    </comment>
  </commentList>
</comments>
</file>

<file path=xl/comments9.xml><?xml version="1.0" encoding="utf-8"?>
<comments xmlns="http://schemas.openxmlformats.org/spreadsheetml/2006/main">
  <authors>
    <author>Author</author>
  </authors>
  <commentList>
    <comment ref="B2" authorId="0">
      <text>
        <r>
          <rPr>
            <sz val="8"/>
            <color indexed="81"/>
            <rFont val="Tahoma"/>
            <family val="2"/>
          </rPr>
          <t>For information about this worksheet, see "Income Statements" on page 246  in The Successful Business Plan, 4th ed. The worksheet is on page 254.</t>
        </r>
      </text>
    </comment>
  </commentList>
</comments>
</file>

<file path=xl/comments10.xml><?xml version="1.0" encoding="utf-8"?>
<comments xmlns="http://schemas.openxmlformats.org/spreadsheetml/2006/main">
  <authors>
    <author>Author</author>
  </authors>
  <commentList>
    <comment ref="B2" authorId="0">
      <text>
        <r>
          <rPr>
            <b/>
            <sz val="8"/>
            <color indexed="81"/>
            <rFont val="Tahoma"/>
            <family val="2"/>
          </rPr>
          <t xml:space="preserve">For information about this worksheet, see "Cash-Flow Projections" on page 258 in </t>
        </r>
        <r>
          <rPr>
            <b/>
            <i/>
            <sz val="8"/>
            <color indexed="81"/>
            <rFont val="Tahoma"/>
            <family val="2"/>
          </rPr>
          <t>The Successful Business Plan,</t>
        </r>
        <r>
          <rPr>
            <b/>
            <sz val="8"/>
            <color indexed="81"/>
            <rFont val="Tahoma"/>
            <family val="2"/>
          </rPr>
          <t xml:space="preserve"> 4th ed. The worksheet is on page 262.</t>
        </r>
      </text>
    </comment>
    <comment ref="C11" authorId="0">
      <text>
        <r>
          <rPr>
            <b/>
            <sz val="8"/>
            <color indexed="81"/>
            <rFont val="Tahoma"/>
            <family val="2"/>
          </rPr>
          <t xml:space="preserve">This line item is automatically calculated for you based on the  interest rate you entered on the "Setup and Assumptions" sheet. </t>
        </r>
      </text>
    </comment>
    <comment ref="C24" authorId="0">
      <text>
        <r>
          <rPr>
            <b/>
            <sz val="8"/>
            <color indexed="81"/>
            <rFont val="Tahoma"/>
            <family val="2"/>
          </rPr>
          <t>Note that on your Income Statements, we've generated an estimate for income taxes. This line on the Cash Flow statement is where you should reflect the actual payments you intend to make on a regular basis (probably quarterly).</t>
        </r>
      </text>
    </comment>
  </commentList>
</comments>
</file>

<file path=xl/comments11.xml><?xml version="1.0" encoding="utf-8"?>
<comments xmlns="http://schemas.openxmlformats.org/spreadsheetml/2006/main">
  <authors>
    <author>Author</author>
  </authors>
  <commentList>
    <comment ref="B2" authorId="0">
      <text>
        <r>
          <rPr>
            <b/>
            <sz val="8"/>
            <color indexed="81"/>
            <rFont val="Tahoma"/>
            <family val="2"/>
          </rPr>
          <t>For information about this worksheet, see "Balance Sheet" on page 259 in The Successful Business Plan, 4th ed. The worksheet is on page 265.</t>
        </r>
      </text>
    </comment>
    <comment ref="C29" authorId="0">
      <text>
        <r>
          <rPr>
            <b/>
            <sz val="8"/>
            <color indexed="81"/>
            <rFont val="Tahoma"/>
            <family val="2"/>
          </rPr>
          <t>If you see a number here, it reflects the difference between the projected income taxes owed (as calculated on your Income Statements) and what you've said you will actually pay (as entered on your Cash Flow statements).</t>
        </r>
      </text>
    </comment>
  </commentList>
</comments>
</file>

<file path=xl/comments12.xml><?xml version="1.0" encoding="utf-8"?>
<comments xmlns="http://schemas.openxmlformats.org/spreadsheetml/2006/main">
  <authors>
    <author>Author</author>
  </authors>
  <commentList>
    <comment ref="B2" authorId="0">
      <text>
        <r>
          <rPr>
            <b/>
            <sz val="8"/>
            <color indexed="81"/>
            <rFont val="Tahoma"/>
            <family val="2"/>
          </rPr>
          <t xml:space="preserve">For information about this worksheet, see "Break-Even Analysis" on page 269 in </t>
        </r>
        <r>
          <rPr>
            <b/>
            <i/>
            <sz val="8"/>
            <color indexed="81"/>
            <rFont val="Tahoma"/>
            <family val="2"/>
          </rPr>
          <t>The Successful Business Plan,</t>
        </r>
        <r>
          <rPr>
            <b/>
            <sz val="8"/>
            <color indexed="81"/>
            <rFont val="Tahoma"/>
            <family val="2"/>
          </rPr>
          <t xml:space="preserve"> 4th ed. Note that this Worksheet differs from that shown in the book slightly by also factoring the costs of sales commissions and returns/allowances. This gives you a more accurate break-even estimate.</t>
        </r>
      </text>
    </comment>
    <comment ref="C6" authorId="0">
      <text>
        <r>
          <rPr>
            <b/>
            <sz val="8"/>
            <color indexed="81"/>
            <rFont val="Tahoma"/>
            <family val="2"/>
          </rPr>
          <t>This is the amount of sales you will need to make each month to break even.</t>
        </r>
      </text>
    </comment>
  </commentList>
</comments>
</file>

<file path=xl/comments13.xml><?xml version="1.0" encoding="utf-8"?>
<comments xmlns="http://schemas.openxmlformats.org/spreadsheetml/2006/main">
  <authors>
    <author>Author</author>
  </authors>
  <commentList>
    <comment ref="B2" authorId="0">
      <text>
        <r>
          <rPr>
            <b/>
            <sz val="8"/>
            <color indexed="81"/>
            <rFont val="Tahoma"/>
            <family val="2"/>
          </rPr>
          <t>This sheet provides a mathematical snapshot of your company's performance. These ratios are often used by lenders or investors in determining how well a company is managing its finances.</t>
        </r>
      </text>
    </comment>
    <comment ref="C4" authorId="0">
      <text>
        <r>
          <rPr>
            <b/>
            <sz val="8"/>
            <color indexed="81"/>
            <rFont val="Tahoma"/>
            <family val="2"/>
          </rPr>
          <t>Working Capital is the amount of readily available funds the company has to cover upcoming expenses. More is better!</t>
        </r>
      </text>
    </comment>
    <comment ref="D4" authorId="0">
      <text>
        <r>
          <rPr>
            <b/>
            <sz val="8"/>
            <color indexed="81"/>
            <rFont val="Tahoma"/>
            <family val="2"/>
          </rPr>
          <t>This ratio divides your current assets by your current liabilities. In general, it should be greater than 2. If an "N.A." appears in the cell, it indicates that you had no liabilities with which to calculate the ratio.</t>
        </r>
      </text>
    </comment>
    <comment ref="E4" authorId="0">
      <text>
        <r>
          <rPr>
            <b/>
            <sz val="8"/>
            <color indexed="81"/>
            <rFont val="Tahoma"/>
            <family val="2"/>
          </rPr>
          <t>Similar to the Current Ratio, but we've subtracted inventory from your assets. A number greater than 1 is desirable. If an "N.A." appears in the cell, it indicates that you had no liabilities with which to calculate the ratio.</t>
        </r>
      </text>
    </comment>
    <comment ref="F4" authorId="0">
      <text>
        <r>
          <rPr>
            <b/>
            <sz val="8"/>
            <color indexed="81"/>
            <rFont val="Tahoma"/>
            <family val="2"/>
          </rPr>
          <t>This ratio divides your net sales for the period by your "working capital," (your current assets minus your current liabilities). In other words, it shows by what multiple your sales exceed your working capital. In general, 5 or above is good to aim for, but this can vary based on your industry, etc.</t>
        </r>
      </text>
    </comment>
    <comment ref="G4" authorId="0">
      <text>
        <r>
          <rPr>
            <b/>
            <sz val="8"/>
            <color indexed="81"/>
            <rFont val="Tahoma"/>
            <family val="2"/>
          </rPr>
          <t>To calculate you Debt to Equity ratio, we divided your total liabilities by your net worth. A high number (greater than 1), indicates a high debt load relative to your assets. Potential funders may be wary of investing in such a case.</t>
        </r>
      </text>
    </comment>
    <comment ref="H4" authorId="0">
      <text>
        <r>
          <rPr>
            <b/>
            <sz val="8"/>
            <color indexed="81"/>
            <rFont val="Tahoma"/>
            <family val="2"/>
          </rPr>
          <t>This ratio is achieved by dividing your net worth into your net income for the period. It shows the rate of return you and your investors are receiving on your investments in the company. The higher the better!</t>
        </r>
      </text>
    </comment>
    <comment ref="I4" authorId="0">
      <text>
        <r>
          <rPr>
            <b/>
            <sz val="8"/>
            <color indexed="81"/>
            <rFont val="Tahoma"/>
            <family val="2"/>
          </rPr>
          <t>This ratio is calculated by dividing your net income for the period by your net sales for the period. The higher the number here, the more profit you are extracting from each sale. Your ideal number will depend greatly on your industry, margins, etc.</t>
        </r>
      </text>
    </comment>
    <comment ref="J4" authorId="0">
      <text>
        <r>
          <rPr>
            <b/>
            <sz val="8"/>
            <color indexed="81"/>
            <rFont val="Tahoma"/>
            <family val="2"/>
          </rPr>
          <t>Your Return on Assets indicates how much profit you are generating on all the investments you've made in the company's assets. In particular, this will help you (and your investors) determine if you are achieving a good rate-of-return on your investments. This will depend greatly on your industry.</t>
        </r>
      </text>
    </comment>
  </commentList>
</comments>
</file>

<file path=xl/comments14.xml><?xml version="1.0" encoding="utf-8"?>
<comments xmlns="http://schemas.openxmlformats.org/spreadsheetml/2006/main">
  <authors>
    <author>Author</author>
  </authors>
  <commentList>
    <comment ref="C4" authorId="0">
      <text>
        <r>
          <rPr>
            <b/>
            <sz val="12"/>
            <color indexed="10"/>
            <rFont val="Tahoma"/>
            <family val="2"/>
          </rPr>
          <t>IMPORTANT:
Do not remove or change anything on this worksheet! Doing so may render this product unusable!</t>
        </r>
      </text>
    </comment>
    <comment ref="AB70" authorId="0">
      <text>
        <r>
          <rPr>
            <b/>
            <sz val="8"/>
            <color indexed="81"/>
            <rFont val="Tahoma"/>
            <family val="2"/>
          </rPr>
          <t>This goes into Cash Flow statement.</t>
        </r>
      </text>
    </comment>
    <comment ref="AB72" authorId="0">
      <text>
        <r>
          <rPr>
            <b/>
            <sz val="8"/>
            <color indexed="81"/>
            <rFont val="Tahoma"/>
            <family val="2"/>
          </rPr>
          <t>This goes into Income statement under "non-depreciable capital purchases"</t>
        </r>
      </text>
    </comment>
  </commentList>
</comments>
</file>

<file path=xl/sharedStrings.xml><?xml version="1.0" encoding="utf-8"?>
<sst xmlns="http://schemas.openxmlformats.org/spreadsheetml/2006/main" count="1154" uniqueCount="384">
  <si>
    <t>Cash Sales</t>
  </si>
  <si>
    <t>Collections</t>
  </si>
  <si>
    <t>Total Cash from Sales</t>
  </si>
  <si>
    <t>Income from Financing</t>
  </si>
  <si>
    <t>Interest Income</t>
  </si>
  <si>
    <t>Loan Proceeds</t>
  </si>
  <si>
    <t>Total Cash from Financing</t>
  </si>
  <si>
    <t>January</t>
  </si>
  <si>
    <t>February</t>
  </si>
  <si>
    <t>March</t>
  </si>
  <si>
    <t>April</t>
  </si>
  <si>
    <t>June</t>
  </si>
  <si>
    <t>July</t>
  </si>
  <si>
    <t>August</t>
  </si>
  <si>
    <t>September</t>
  </si>
  <si>
    <t>October</t>
  </si>
  <si>
    <t>November</t>
  </si>
  <si>
    <t>December</t>
  </si>
  <si>
    <t>TOTAL</t>
  </si>
  <si>
    <t>Management</t>
  </si>
  <si>
    <t># Employees</t>
  </si>
  <si>
    <t>Salary/Wages</t>
  </si>
  <si>
    <t>Benefits</t>
  </si>
  <si>
    <t>Payroll Taxes</t>
  </si>
  <si>
    <t>Total Costs</t>
  </si>
  <si>
    <t>Administrative/Support</t>
  </si>
  <si>
    <t>Sales/Marketing</t>
  </si>
  <si>
    <t>Operations/Production</t>
  </si>
  <si>
    <t>Other</t>
  </si>
  <si>
    <t>GRAND TOTAL COSTS</t>
  </si>
  <si>
    <t>Net Sales</t>
  </si>
  <si>
    <t>GROSS PROFIT</t>
  </si>
  <si>
    <t>Salaries and wages</t>
  </si>
  <si>
    <t>Employee benefits</t>
  </si>
  <si>
    <t>Payroll taxes</t>
  </si>
  <si>
    <t>Professional services</t>
  </si>
  <si>
    <t>Rent</t>
  </si>
  <si>
    <t>Maintenance</t>
  </si>
  <si>
    <t>Insurance</t>
  </si>
  <si>
    <t>Utilities</t>
  </si>
  <si>
    <t>Office supplies</t>
  </si>
  <si>
    <t>Postage and shipping</t>
  </si>
  <si>
    <t>Equipment rental</t>
  </si>
  <si>
    <t>Marketing and advertising</t>
  </si>
  <si>
    <t>Travel</t>
  </si>
  <si>
    <t>Entertainment</t>
  </si>
  <si>
    <t>Other (change title here)</t>
  </si>
  <si>
    <t>Net income before taxes</t>
  </si>
  <si>
    <t>Provision for taxes on income</t>
  </si>
  <si>
    <t>EXPENSES -  General and Administrative</t>
  </si>
  <si>
    <t>1st Quarter</t>
  </si>
  <si>
    <t>2nd Quarter</t>
  </si>
  <si>
    <t>3rd Quarter</t>
  </si>
  <si>
    <t>4th Quarter</t>
  </si>
  <si>
    <t>Year 2</t>
  </si>
  <si>
    <t>Year 3</t>
  </si>
  <si>
    <t>Year 4</t>
  </si>
  <si>
    <t>Professional Assistance</t>
  </si>
  <si>
    <t>Marketing/PR Consultants</t>
  </si>
  <si>
    <t>Advertising Agencies</t>
  </si>
  <si>
    <t>Direct Mail Specialists</t>
  </si>
  <si>
    <t>Brochures/Leaflets/Flyers</t>
  </si>
  <si>
    <t>Merchandising Displays</t>
  </si>
  <si>
    <t>Sampling/Premiums</t>
  </si>
  <si>
    <t>Media Advertising</t>
  </si>
  <si>
    <t>Online</t>
  </si>
  <si>
    <t>Television and Radio</t>
  </si>
  <si>
    <t>Other Media</t>
  </si>
  <si>
    <t>Phone Directories</t>
  </si>
  <si>
    <t>Advertising Specialties</t>
  </si>
  <si>
    <t>Direct Mail</t>
  </si>
  <si>
    <t>Website</t>
  </si>
  <si>
    <t>Maintenance and Hosting</t>
  </si>
  <si>
    <t>Trade Shows</t>
  </si>
  <si>
    <t>Fees and Setup</t>
  </si>
  <si>
    <t>Travel/Shipping</t>
  </si>
  <si>
    <t>Exhibits/Signs</t>
  </si>
  <si>
    <t>Informal Marketing / Networking</t>
  </si>
  <si>
    <t>Unit Volume</t>
  </si>
  <si>
    <t>Unit Price</t>
  </si>
  <si>
    <t>(Commissions)</t>
  </si>
  <si>
    <t>(Returns and Allowances)</t>
  </si>
  <si>
    <t>Totals for All Product Lines</t>
  </si>
  <si>
    <t>Total Unit Volume</t>
  </si>
  <si>
    <t>(Total Commissions)</t>
  </si>
  <si>
    <t>(Total Returns and Allowances)</t>
  </si>
  <si>
    <t>Graphic/Web Design</t>
  </si>
  <si>
    <t>Print (newspaper, etc.)</t>
  </si>
  <si>
    <t>Development/Programming</t>
  </si>
  <si>
    <t>Public Relations/Materials</t>
  </si>
  <si>
    <t>Memberships/Meetings</t>
  </si>
  <si>
    <t>Signs/Billboards</t>
  </si>
  <si>
    <t>INCOME</t>
  </si>
  <si>
    <t>Gross Sales</t>
  </si>
  <si>
    <t>(Returns and allowances)</t>
  </si>
  <si>
    <t>(Cost of Goods)</t>
  </si>
  <si>
    <t>Total Gross Sales</t>
  </si>
  <si>
    <t>Marketing Budget</t>
  </si>
  <si>
    <t>Sales Projections</t>
  </si>
  <si>
    <t>Income Statements</t>
  </si>
  <si>
    <t>TOTAL EXPENSES</t>
  </si>
  <si>
    <t>Cash Flow</t>
  </si>
  <si>
    <t>CASH RECEIPTS</t>
  </si>
  <si>
    <t>Income from Sales</t>
  </si>
  <si>
    <t>Other Cash Receipts</t>
  </si>
  <si>
    <t>TOTAL CASH RECEIPTS</t>
  </si>
  <si>
    <t>CASH DISBURSEMENTS</t>
  </si>
  <si>
    <t>Operating Expenses</t>
  </si>
  <si>
    <t>Loan Payments</t>
  </si>
  <si>
    <t>Income Tax Payments</t>
  </si>
  <si>
    <t>Owner's Draw</t>
  </si>
  <si>
    <t>TOTAL CASH DISBURSEMENTS</t>
  </si>
  <si>
    <t>NET CASH FLOW</t>
  </si>
  <si>
    <t>Opening Cash Balance</t>
  </si>
  <si>
    <t>Cash Receipts</t>
  </si>
  <si>
    <t>Cash Disbursements</t>
  </si>
  <si>
    <t>ENDING CASH BALANCE</t>
  </si>
  <si>
    <t>COMPANY INFORMATION</t>
  </si>
  <si>
    <t>What month will you officially start your company?</t>
  </si>
  <si>
    <t>What year will you officially start your company?</t>
  </si>
  <si>
    <t>What is your company's name?</t>
  </si>
  <si>
    <t>Balance Sheet</t>
  </si>
  <si>
    <t>ASSETS</t>
  </si>
  <si>
    <t>Current Assets</t>
  </si>
  <si>
    <t>Cash</t>
  </si>
  <si>
    <t>Accounts Receivable</t>
  </si>
  <si>
    <t>Inventory</t>
  </si>
  <si>
    <t>Total Current Assets</t>
  </si>
  <si>
    <t>Fixed Assets</t>
  </si>
  <si>
    <t>Land</t>
  </si>
  <si>
    <t>Total Fixed Assets</t>
  </si>
  <si>
    <t>Other Assets</t>
  </si>
  <si>
    <t>TOTAL ASSETS</t>
  </si>
  <si>
    <t>LIABILITIES</t>
  </si>
  <si>
    <t>Current Liabilities</t>
  </si>
  <si>
    <t>Short-Term Notes Payable</t>
  </si>
  <si>
    <t>Total Current Liabilities</t>
  </si>
  <si>
    <t>Long-Term Liabilities</t>
  </si>
  <si>
    <t>Long-Term Notes Payable</t>
  </si>
  <si>
    <t>Total Long-Term Liabilities</t>
  </si>
  <si>
    <t>Retained Earnings</t>
  </si>
  <si>
    <t>Total Net Worth</t>
  </si>
  <si>
    <t>TOTAL LIABILITIES AND NET WORTH</t>
  </si>
  <si>
    <t>SALES ASSUMPTIONS</t>
  </si>
  <si>
    <t>PERSONNEL ASSUMPTIONS</t>
  </si>
  <si>
    <r>
      <t xml:space="preserve">Approximately how much do you expect to spend </t>
    </r>
    <r>
      <rPr>
        <b/>
        <sz val="10"/>
        <rFont val="Arial"/>
        <family val="2"/>
      </rPr>
      <t>per year</t>
    </r>
    <r>
      <rPr>
        <sz val="10"/>
        <rFont val="Arial"/>
        <family val="2"/>
      </rPr>
      <t xml:space="preserve"> on benefits for </t>
    </r>
    <r>
      <rPr>
        <b/>
        <sz val="10"/>
        <rFont val="Arial"/>
        <family val="2"/>
      </rPr>
      <t>each</t>
    </r>
    <r>
      <rPr>
        <sz val="10"/>
        <rFont val="Arial"/>
        <family val="2"/>
      </rPr>
      <t xml:space="preserve"> employee (medical insurance, etc.)?</t>
    </r>
  </si>
  <si>
    <t>Approximately what percentage of each employee's salary or wages do you plan to set aside for payroll taxes?</t>
  </si>
  <si>
    <t>With health insurance and other benefits costing more each year, your plan should account for annual increases. How much do you estimate your benefit costs will increase each year?</t>
  </si>
  <si>
    <t>FINANCIAL ASSUMPTIONS</t>
  </si>
  <si>
    <t>At approximately what rate do you expect to be taxed on your net income?</t>
  </si>
  <si>
    <t>May</t>
  </si>
  <si>
    <t>Most businesses sell at least some of their products/services on credit (e.g., "net 30" as opposed to cash). What percentage of your sales will be made on credit?</t>
  </si>
  <si>
    <t>NET WORTH</t>
  </si>
  <si>
    <t>NET PROFIT</t>
  </si>
  <si>
    <t>Telecommunications</t>
  </si>
  <si>
    <t>Professional Services</t>
  </si>
  <si>
    <t>Management consultants</t>
  </si>
  <si>
    <t>Attorneys</t>
  </si>
  <si>
    <t>Accountants</t>
  </si>
  <si>
    <t>Industry specialists</t>
  </si>
  <si>
    <t>General</t>
  </si>
  <si>
    <t>Telephone service</t>
  </si>
  <si>
    <t>Break-even Estimates</t>
  </si>
  <si>
    <t>Annual Average</t>
  </si>
  <si>
    <t>Commissions/Returns &amp; Allowances</t>
  </si>
  <si>
    <t>First Quarter</t>
  </si>
  <si>
    <t>Second Quarter</t>
  </si>
  <si>
    <t>Third Quarter</t>
  </si>
  <si>
    <t>Fourth Quarter</t>
  </si>
  <si>
    <t>Staffing Budget</t>
  </si>
  <si>
    <t>Welcome!</t>
  </si>
  <si>
    <t>Each worksheet is composed of "cells" containing either black text or blue text. All you need to do is enter data in the blue cells--the black cells are automatically calculated for you.</t>
  </si>
  <si>
    <t>W A R N I N G !</t>
  </si>
  <si>
    <t>(Less Accumlated Depreciation)</t>
  </si>
  <si>
    <t>While you work, keep an eye out for red triangles that appear with some cells on the worksheets. These triangles indicate the presence of a "help balloon" that will popup when you roll over the triangle, presenting you with additional information and tips about the section you are working on.</t>
  </si>
  <si>
    <t>Setup and Assumptions</t>
  </si>
  <si>
    <t>Year 5</t>
  </si>
  <si>
    <t>Monthly Average</t>
  </si>
  <si>
    <t>Quarterly Average</t>
  </si>
  <si>
    <t>If you will use an interest-bearing account for your banking, at what rate will you accrue interest?</t>
  </si>
  <si>
    <t>Assumptions</t>
  </si>
  <si>
    <t>(Cost of Goods Sold)</t>
  </si>
  <si>
    <t>If you plan to increase salaries on an annual basis, how much to you plan to increase them by?</t>
  </si>
  <si>
    <t>Total Net Sales</t>
  </si>
  <si>
    <t>(Total Cost of Goods Sold)</t>
  </si>
  <si>
    <t>TOTAL GROSS PROFIT</t>
  </si>
  <si>
    <t>The Worksheets can accommodate sales projections for up to 10 major product/service lines. How many major product/service lines do you plan to have for your business?</t>
  </si>
  <si>
    <t>Number of Products</t>
  </si>
  <si>
    <t>One</t>
  </si>
  <si>
    <t>Two</t>
  </si>
  <si>
    <t>Three</t>
  </si>
  <si>
    <t>Four</t>
  </si>
  <si>
    <t>Five</t>
  </si>
  <si>
    <t>Six</t>
  </si>
  <si>
    <t>Seven</t>
  </si>
  <si>
    <t>Eight</t>
  </si>
  <si>
    <t>Nine</t>
  </si>
  <si>
    <t>Ten</t>
  </si>
  <si>
    <t>For sales you make on credit, what terms will you extend? In other words, how many days will pass from the date of sale to when you expect to be paid?</t>
  </si>
  <si>
    <t>A</t>
  </si>
  <si>
    <t>B</t>
  </si>
  <si>
    <t>CREDIT MULTIPLIER</t>
  </si>
  <si>
    <t>Multiple</t>
  </si>
  <si>
    <t>With "Credit Sales"</t>
  </si>
  <si>
    <t>Item</t>
  </si>
  <si>
    <t>Purchase
Date</t>
  </si>
  <si>
    <t>Technology consultants</t>
  </si>
  <si>
    <t>Salvage
Value</t>
  </si>
  <si>
    <t>Month</t>
  </si>
  <si>
    <t>Year</t>
  </si>
  <si>
    <t>Other Current Liabilities</t>
  </si>
  <si>
    <t>Other Long-Term Liabilities</t>
  </si>
  <si>
    <t>Other Current Assets</t>
  </si>
  <si>
    <t>Facilities</t>
  </si>
  <si>
    <t>Equipment</t>
  </si>
  <si>
    <t>Item 2 (change title here)</t>
  </si>
  <si>
    <t>Item 3 (change title here)</t>
  </si>
  <si>
    <t>Item 4 (change title here)</t>
  </si>
  <si>
    <t>Item 5 (change title here)</t>
  </si>
  <si>
    <t>Item 6 (change title here)</t>
  </si>
  <si>
    <t>Item 7 (change title here)</t>
  </si>
  <si>
    <t>Cost</t>
  </si>
  <si>
    <t>Years of
Service</t>
  </si>
  <si>
    <t>Item 8 (change title here)</t>
  </si>
  <si>
    <t>Item 9 (change title here)</t>
  </si>
  <si>
    <t>Item 10 (change title here)</t>
  </si>
  <si>
    <t>Capital Purchases</t>
  </si>
  <si>
    <t>Plan Years:</t>
  </si>
  <si>
    <t>Depreciation Schedule from CapEx Worksheet</t>
  </si>
  <si>
    <t>Month of</t>
  </si>
  <si>
    <t>Purch</t>
  </si>
  <si>
    <t>Depreciation</t>
  </si>
  <si>
    <t>Land is a 
non-depreciable
asset</t>
  </si>
  <si>
    <t>Computer Hardware/Software</t>
  </si>
  <si>
    <t>Item 11 (change title here)</t>
  </si>
  <si>
    <t>Item 12 (change title here)</t>
  </si>
  <si>
    <t>Item 13 (change title here)</t>
  </si>
  <si>
    <t>Item 14 (change title here)</t>
  </si>
  <si>
    <t>Item 15 (change title here)</t>
  </si>
  <si>
    <t>Item 16 (change title here)</t>
  </si>
  <si>
    <t>Item 17 (change title here)</t>
  </si>
  <si>
    <t>Item 18 (change title here)</t>
  </si>
  <si>
    <t>Item 19 (change title here)</t>
  </si>
  <si>
    <t>Item 20 (change title here)</t>
  </si>
  <si>
    <t>Computers &amp; Telecommunications</t>
  </si>
  <si>
    <t>Equip</t>
  </si>
  <si>
    <t>Comp</t>
  </si>
  <si>
    <t>Equity Capital Investments</t>
  </si>
  <si>
    <t>TOTAL NON-DEPRE</t>
  </si>
  <si>
    <t>Years</t>
  </si>
  <si>
    <t>of Service</t>
  </si>
  <si>
    <t>Items/Parts 1</t>
  </si>
  <si>
    <t>Items/Parts 2</t>
  </si>
  <si>
    <t>Items/Parts 3</t>
  </si>
  <si>
    <t>Items/Parts 4</t>
  </si>
  <si>
    <t>Total Inventory Expense</t>
  </si>
  <si>
    <t>Cost of Goods Sold</t>
  </si>
  <si>
    <t>GRAND TOTAL INVENTORY</t>
  </si>
  <si>
    <t>Capital Investments and Loans</t>
  </si>
  <si>
    <t>Loans</t>
  </si>
  <si>
    <t>Amount</t>
  </si>
  <si>
    <t>Date</t>
  </si>
  <si>
    <t>Loan Period</t>
  </si>
  <si>
    <t>Interest Rate</t>
  </si>
  <si>
    <t>Investor Dividend Payments</t>
  </si>
  <si>
    <t>Source Name</t>
  </si>
  <si>
    <t>Total Capital Investments</t>
  </si>
  <si>
    <t>Capital investments are not paid back on a loan schedule.</t>
  </si>
  <si>
    <t>Total Loans</t>
  </si>
  <si>
    <t>TOTAL INVESTMENTS AND LOANS</t>
  </si>
  <si>
    <t>Loan Investment Payback Schedule</t>
  </si>
  <si>
    <t>Rate</t>
  </si>
  <si>
    <t>Periods</t>
  </si>
  <si>
    <t>Begin Pay</t>
  </si>
  <si>
    <t>TOTAL:</t>
  </si>
  <si>
    <t>Investment Proceeds</t>
  </si>
  <si>
    <t>Loan Calculations for Balance Sheet</t>
  </si>
  <si>
    <t>Paid</t>
  </si>
  <si>
    <t>Due Short</t>
  </si>
  <si>
    <t>Due Long</t>
  </si>
  <si>
    <t>Paid-In Capital</t>
  </si>
  <si>
    <t>Quick Ratio</t>
  </si>
  <si>
    <t>Key Ratios</t>
  </si>
  <si>
    <t>Current Ratio</t>
  </si>
  <si>
    <t>Cash
Turnover</t>
  </si>
  <si>
    <t>Working Capital Calc</t>
  </si>
  <si>
    <t>Q1</t>
  </si>
  <si>
    <t>Q2</t>
  </si>
  <si>
    <t>Q3</t>
  </si>
  <si>
    <t>Q4</t>
  </si>
  <si>
    <t>Y2</t>
  </si>
  <si>
    <t>Y3</t>
  </si>
  <si>
    <t>Y4</t>
  </si>
  <si>
    <t>Y5</t>
  </si>
  <si>
    <t>Debt to
Equity</t>
  </si>
  <si>
    <t>Return on
Sales</t>
  </si>
  <si>
    <t>Return on
Assets</t>
  </si>
  <si>
    <t>Return on
Investment</t>
  </si>
  <si>
    <t>Working
Capital</t>
  </si>
  <si>
    <t>Product Line 1</t>
  </si>
  <si>
    <t>Product Line 2</t>
  </si>
  <si>
    <t>Product Line 3</t>
  </si>
  <si>
    <t>Product Line 4</t>
  </si>
  <si>
    <t>Product Line 5</t>
  </si>
  <si>
    <t>Product Line 6</t>
  </si>
  <si>
    <t>Product Line 7</t>
  </si>
  <si>
    <t>Product Line 8</t>
  </si>
  <si>
    <t>Product Line 9</t>
  </si>
  <si>
    <t>Product Line 10</t>
  </si>
  <si>
    <t>Item 1 (change title here)</t>
  </si>
  <si>
    <t>Version:</t>
  </si>
  <si>
    <t>Income Taxes Due</t>
  </si>
  <si>
    <t>Start Date:</t>
  </si>
  <si>
    <t>What will be the opening balance in your bank account on the first day of business? This will be the opening balance in your Cash Flow Statements.</t>
  </si>
  <si>
    <t>Interest on loans</t>
  </si>
  <si>
    <t>Loan Interest Payments</t>
  </si>
  <si>
    <t>IT APPEARS THAT YOU DO NOT HAVE EXCEL'S MACRO CAPABILITY ENABLED. THESE FINANCIAL WORKSHEETS WILL NOT FUNCTION WITHOUT MACROS ENABLED.</t>
  </si>
  <si>
    <r>
      <rPr>
        <b/>
        <u/>
        <sz val="10"/>
        <rFont val="Arial"/>
        <family val="2"/>
      </rPr>
      <t>Excel 2003</t>
    </r>
    <r>
      <rPr>
        <b/>
        <sz val="10"/>
        <rFont val="Arial"/>
        <family val="2"/>
      </rPr>
      <t>:</t>
    </r>
    <r>
      <rPr>
        <sz val="10"/>
        <rFont val="Arial"/>
        <family val="2"/>
      </rPr>
      <t xml:space="preserve"> To enable macros, go to the "Tools" menu and select "Options." In the window that opens, click on the "Security" tab. Select "Macro Security" and set your security level to "Medium." Click OK to close the window.
Then, close this workbook, and re-open it. A dialog box will ask you if you want to enable macros. Make sure you click the "Enable Macros" button. The workbook will then open and function normally.</t>
    </r>
  </si>
  <si>
    <t>Version 2.5
Copyright © 2003-2008 The Planning Shop</t>
  </si>
  <si>
    <r>
      <rPr>
        <b/>
        <u/>
        <sz val="10"/>
        <rFont val="Arial"/>
        <family val="2"/>
      </rPr>
      <t>Excel 2007</t>
    </r>
    <r>
      <rPr>
        <b/>
        <sz val="10"/>
        <rFont val="Arial"/>
        <family val="2"/>
      </rPr>
      <t xml:space="preserve">: </t>
    </r>
    <r>
      <rPr>
        <sz val="10"/>
        <rFont val="Arial"/>
        <family val="2"/>
      </rPr>
      <t xml:space="preserve">To enable macros, click the "Options" button in the Security Warning that appears at the top of this page. </t>
    </r>
  </si>
  <si>
    <t>A "Security Alert - Macros &amp; Active X" window should appear. Select the "Enable this content" radio button, and then click the "OK" button.  Your workbook should be ready to use now.</t>
  </si>
  <si>
    <r>
      <t xml:space="preserve">For more in-depth help and assistance, click on the "EFW Help" or "Electronic Financial Worksheets Help" menu in the toolbar. The help files contain extensive information about each worksheet, along with a "Frequently Asked Questions" (FAQ).
To get started, </t>
    </r>
    <r>
      <rPr>
        <b/>
        <sz val="10"/>
        <rFont val="Arial"/>
        <family val="2"/>
      </rPr>
      <t>click on the right-pointing arrow in the EFW toolbar</t>
    </r>
    <r>
      <rPr>
        <sz val="10"/>
        <rFont val="Arial"/>
        <family val="2"/>
      </rPr>
      <t xml:space="preserve"> to reach the "Setup and Assumptions" worksheet, where you'll enter some basic information about your business.</t>
    </r>
  </si>
  <si>
    <t xml:space="preserve"> </t>
  </si>
  <si>
    <t>Your Company Name</t>
  </si>
  <si>
    <r>
      <rPr>
        <b/>
        <i/>
        <sz val="10"/>
        <rFont val="Arial"/>
        <family val="2"/>
      </rPr>
      <t>Thank you for purchasing The Planning Shop's Electronic Financial Worksheets. These worksheets will help you develop clear, compelling financial projections for your business. If you are unfamiliar with the business planning process, we encourage you to refer to our book, The Successful Business Plan: Secrets &amp; Strategies, by Rhonda Abrams, for comprehensive, step-by-step guidance. It is available through our website, www.PlanningShop.com.</t>
    </r>
    <r>
      <rPr>
        <sz val="10"/>
        <rFont val="Arial"/>
        <family val="2"/>
      </rPr>
      <t xml:space="preserve">
First, a few tips to get you started:
You may start directly editing this file.  If you later decide to start over and need a fresh copy of this file, find the blank "ORIGINAL_EFWorksheets(2.5)" file in your TPS_Financial_Worksheets directory.   Make a copy of this file (just in case you might need to start over yet again), and then start editing the copy.
If you're using Excel 2003, you'll notice The Planning Shop toolbar above.  If you're using Excel 2007, The Planning Shop toolbar is hidden at first. Click on "The Planning Shop" tab along the top edge of the Excel Ribbon to make it visible.  You'll use the toolbar to navigate through the various charts and worksheets included with this product.  The toolbar looks slightly different in Excel 2003 &amp; Excel 2007, but the functionality is the same. </t>
    </r>
  </si>
  <si>
    <t xml:space="preserve">Start </t>
  </si>
  <si>
    <t>Year 1 String</t>
  </si>
  <si>
    <t>Year 2 String</t>
  </si>
  <si>
    <t>Year 3 String</t>
  </si>
  <si>
    <t>Year 4 String</t>
  </si>
  <si>
    <t>Year 5 String</t>
  </si>
  <si>
    <t>Chart Titles</t>
  </si>
  <si>
    <t>5-Year Net Sales</t>
  </si>
  <si>
    <t>5-Year Financials At-a-Glance</t>
  </si>
  <si>
    <t>DOUBLE LIST FOR Months on top of worksheets</t>
  </si>
  <si>
    <t>Start Month</t>
  </si>
  <si>
    <t>Startup Year</t>
  </si>
  <si>
    <t>Startup Month</t>
  </si>
  <si>
    <t>From Setup</t>
  </si>
  <si>
    <t>Match Position in Doublelist</t>
  </si>
  <si>
    <t>Adjust index to 1-12</t>
  </si>
  <si>
    <t>Abbrev</t>
  </si>
  <si>
    <t>Startup Month Abbrev</t>
  </si>
  <si>
    <t xml:space="preserve">LICENSE AGREEMENT FOR THE PLANNING SHOP’S ELECTRONIC FINANCIAL WORKSHEETS
This License Agreement is a legal agreement between you (the product purchaser/user) and  The Planning Shop for the Electronic Financial Worksheets product (“Software”) that  accompanies this Agreement, including all associated documentation and packaging. By  installing and/or using the Software, you accept the terms of this Agreement.
PRODUCT LICENSE
The Software is protected by intellectual property laws and treaties. It is owned by The  Planning Shop and licensed to you for your use (not sold). You acknowledge that The  Planning Shop has conferred to you NO title or ownership of the Software or any of its  constituent parts. Re-distribution of the Software or any of constituent its parts,  whether in an original or modified form, is strictly forbidden.
1. General License. You may install one copy of the Software on a single computing  device for use by a single user. Additional users, whether using the same computing  device or a separate device, must purchase additional licenses. Multi-user licenses are  available from The Planning Shop. A second copy of the Software may be stored on a  separate device for the sole purpose of backing up the original copy. You may not copy,  distribute, or resell the Software.
2. Unauthorized Use. You may not modify, disassemble, or reverse engineer the Software  or its code for any form of distribution. The Software, its content, design and  programming are copyrighted by The Planning Shop.
3. WARRANTY. THIS SOFTWARE IS PROVIDED AS IS. THE PLANNING SHOP AND ITS AFFILIATED  PARTIES MAKE NO CLAIMS, PROMISES OR GUARANTEES ABOUT THE ACCURACY, COMPLETENESS, OR  ADEQUACY OF THE SOFTWARE FOR ANY PURPOPSE AND EXPRESSLY DISCLAIMS LIABILITY FOR ERRORS,  OMISSIONS, FAILURES, OR DEFECTS. NO WARRANTY OF ANY KIND, IMPLIED, EXPRESS OR STATUTORY,  INCLUDING BUT NOT LIMITED TO THE WARRANTIES OF NON-INFRINGEMENT OF THIRD PARTY RIGHTS,  TITLE, MERCHANTABILITY, FITNESS FOR A PARTICULAR PURPOSE AND FREEDOM FROM COMPUTER  VIRUS, IS GIVEN IN CONJUNCTION WITH THE SOFTWARE.
</t>
  </si>
  <si>
    <t>4. DAMAGES. IN NO EVENT WILL THE PLANNING SHOP BE LIABLE FOR ANY DAMAGES, INCLUDING  WITHOUT LIMITATION DIRECT OR INDIRECT, SPECIAL, INCIDENTAL, OR CONSEQUENTIAL DAMAGES,  LOSSES OR EXPENSES ARISING IN CONNECTION WITH THIS SOFTWARE OR USE THEREOF OR INABILITY  TO USE BY ANY PARTY, OR IN CONNECTION WITH ANY FAILURE OF PERFORMANCE, ERROR, OMISSION,  DEFECT, OR COMPUTER VIRUS EVEN IF THE PLANNING SHOP, OR AFFILIATED PARTIES, ARE ADVISED  OF THE POSSIBILITY OF SUCH DAMAGES, LOSSES OR EXPENSES.
5. Governing Law. This Agreement shall be treated as though it were executed and  performed in Palo Alto, California, and shall be governed by and construed in accordance  with the laws of the State of California, USA (without regard to conflict of law  principles). All actions shall be subject to the limitations set forth in Section 3 and  Section 4. The language in this Agreement shall be interpreted as in accordance with its  fair meaning and not strictly for or against either party. All legal proceedings arising  out of or in connection with this Agreement shall be brought solely in Palo Alto,  California. You expressly submit to the exclusive jurisdiction of said courts and  consent to extraterritorial service of process. Should any part of this Agreement be  held invalid or unenforceable, that portion shall be construed consistent with  applicable law and the remaining portions shall remain in full force and effect.
6. Contact. Should you have any questions concerning this agreement, or if you desire to  contact The Planning Shop for any reason, you may do so at: The Planning Shop, 555  Bryant Street #180, Palo Alto, California, USA, 94301.</t>
  </si>
  <si>
    <t>The Planning Shop</t>
  </si>
  <si>
    <t>Electronic Financial Worksheets</t>
  </si>
  <si>
    <t>SUBJECT TO END-USER LICENSE AGREEMENT</t>
  </si>
  <si>
    <t>Copyright 2003-2008 The Planning Shop.  All rights reserved.</t>
  </si>
  <si>
    <t>www.planningshop.com</t>
  </si>
  <si>
    <t>Version 2.5, Mac OS X Leopard, Excel 2008</t>
  </si>
  <si>
    <t>TPS Electronic Financial Worksheets are supported on the following platforms:</t>
  </si>
  <si>
    <t>1. Microsoft Windows Vista with Microsoft Excel 2007</t>
  </si>
  <si>
    <t>2. Microsoft Windows XP with Microsoft Excel 2007</t>
  </si>
  <si>
    <t>3. Microsoft Windows Vista with Microsoft Excel 2003</t>
  </si>
  <si>
    <t>4. Microsoft Windows XP with Microsoft Excel 2003</t>
  </si>
  <si>
    <t>5. Mac OS X Leopard with Microsoft Excel 2008</t>
  </si>
  <si>
    <t>Windows</t>
  </si>
  <si>
    <t>Mac</t>
  </si>
  <si>
    <t>If you use Windows (#1 - #4 above), then you need to install EFWorksheets(2.5).exe.</t>
  </si>
  <si>
    <t>If you use Mac (#5 - #6 above), you need to install EFWorksheetsMac(2.5).dmg</t>
  </si>
  <si>
    <t>Differences between Mac and Windows</t>
  </si>
  <si>
    <t>*  See http://www.macintouch.com/reviews/office2008/</t>
  </si>
  <si>
    <t>2) EFW Help is not available directly from Excel.  Instead, you should open the EFWHelp.PDF file that was copied to your Mac alongside the EFWorksheetsMac(2.5) .XLS file.</t>
  </si>
  <si>
    <t>4) In Windows, when you change the start date for your business on the Setup worksheet, the dates for all purchases on the CapEx worksheet and all investments on the CapInvest worksheet are automatically updated.  This is not possible in Mac, however.  You will need to make sure that any purchases and investments you enter are all after the business start date.  We've provided extra error messages to help you do this.</t>
  </si>
  <si>
    <t>1) There is no EFW Toolbar in EFW for Mac.  Instead, you will need to navigate between worksheets and charts using the Excel worksheet tabs (along the bottom edge of the workbook).</t>
  </si>
  <si>
    <t>Moving your EFW workbook between Mac and Windows</t>
  </si>
  <si>
    <t>2) If you install EFW for Mac and later open the workbook on Windows, the workbook will only have the Mac-level of functionality.  The extra functionality in the EFW Windows workbook will not be available.</t>
  </si>
  <si>
    <t>1) If you installed EFW for Windows, and later open the workbook on a Mac: you'll receive a message warning that macros will be removed.  If you click "Accept" you'll be able to use the workbook, but the extra Windows functionality will be unavailable.</t>
  </si>
  <si>
    <t>For more in-depth help and assistance, refer to the "EFW Help" PDF file in your TPS Financial Worksheets folder.  The document contains step-by-step instructions and includes a "Frequently Asked Questions" section.
To get started, find the Excel worksheet listing (each worksheet is listed on a tab) along the bottom of the Excel window. Click on the "Setup"  tab to reach the "Setup and Assumptions" worksheet, where you'll enter some basic information about your business.</t>
  </si>
  <si>
    <t>a) Unprotect the SalesProj and Inventory worksheets (Tools--&gt; Protection --&gt; Unprotect worksheet)
b) Select the rows you want to hide by clicking on the Excel row heading (leftmost edge)
c) Select  Format--&gt;Rows--&gt;Hide from the Excel menu
d) Re-protect the worksheet so you don't accidentally change our formulas:  Tools--&gt; Protection --&gt;Protect worksheet. Use no password.</t>
  </si>
  <si>
    <t>We are as disappointed as you are that we can't provide the same level of functionality in Mac as we do for Windows. We very much hope that Microsoft will remedy the situation in the next release of Excel for Mac, and that we'll then be able to offer identical functionality.</t>
  </si>
  <si>
    <t>We advise you to completely edit your EFW workbook on either Mac or Windows, and to not switch between the two platforms.  However, if you must:</t>
  </si>
  <si>
    <r>
      <rPr>
        <b/>
        <i/>
        <sz val="10"/>
        <rFont val="Arial"/>
        <family val="2"/>
      </rPr>
      <t>Thank you for purchasing The Planning Shop's Electronic Financial Worksheets. These worksheets will help you develop clear, compelling financial projections for your business. If you are unfamiliar with the business planning process, we encourage you to refer to our book, The Successful Business Plan: Secrets &amp; Strategies, by Rhonda Abrams, for comprehensive, step-by-step guidance. It is available through our website, www.PlanningShop.com.</t>
    </r>
    <r>
      <rPr>
        <sz val="10"/>
        <rFont val="Arial"/>
        <family val="2"/>
      </rPr>
      <t xml:space="preserve">
First, a few tips to get you started:
You may start directly editing this file.  If you later decide to start over and need a fresh copy of this file, find the blank "ORIGINAL_EFWorksheets(2.5)" file in your TPS_Financial_Worksheets directory.   Make a copy of this file (just in case you might need to start over yet again), and then start editing the copy.  
You installed the Mac version of the EFW workbooks.  If you are used the Windows version, you'll notice that the EFW toolbar is not available, as it is for Windows.  Instead, to navigate between worksheets and charts, use the Excel worksheet tabs along the bottom edge of the Excel window. 
</t>
    </r>
  </si>
  <si>
    <t>Start  with the "Setup" worksheet.  Enter your data, and then work your way through the workbook, one worksheet at a time, by clicking the next worksheet to the right.  There are 23 worksheets/charts in this workbook.  The last one (furthest to the right) is "NS5Yr."
Each worksheet is composed of "cells" containing either black text or blue text. All you need to do is enter data in the blue cells--the black cells are automatically calculated for you.</t>
  </si>
  <si>
    <t>Version 2.5 (Mac)
Copyright © 2003-2008 The Planning Shop</t>
  </si>
  <si>
    <t>About Our Support of Mac vs. Windows</t>
  </si>
  <si>
    <t>About TPS Electronic Financial Worksheets</t>
  </si>
  <si>
    <t>License Agreement</t>
  </si>
  <si>
    <t>Welcome to the Mac Version of TPS Electronic Financial Worksheets 2.5</t>
  </si>
  <si>
    <t>6. Mac OS X Leopard with Microsoft Excel 2004</t>
  </si>
  <si>
    <t>Both the Mac and Windows versions of TPS Electronic Worksheets 2.5 will produce high quality, detailed financial information for your business plan.  However, there are some slight differences between the functionality in Mac and Windows.  These differences don't affect the data in your business plan, but they do affect the user-friendliness of the EFW workbook.
We did our very best to make the Windows and Mac versions as similar as possible.  However, because of Microsoft's controversial and unpopular decision* to remove support for Visual Basic from Excel 2008 for Mac, we were not able to provide as much functionality in the Mac version as in the Windows version.  We made every effort to preserve as much functionality as possible on the Mac, but there were a few things we were not able to do:</t>
  </si>
  <si>
    <t xml:space="preserve">3) On the "Setup" worksheet there is a line where you can enter the Number of Product Lines your company will sell.  On Windows, your choice changes the number of lines displayed on the SalesProj and Inventory worksheets; for example, if you only have three product lines, then on Windows the lines corresponding to product lines #4 - #10 would automatically be hidden.  
Unfortunately, on the Mac we were unable to automatically hide unused product lines, so the Number of Products on the Setup worksheet is unused, and on the SalesProj and Inventory worksheets we display lines for all 10 product lines by default.  All is not lost, though, because you, the user, can then manually hide the unused product lines: </t>
  </si>
  <si>
    <t>Jan</t>
  </si>
</sst>
</file>

<file path=xl/styles.xml><?xml version="1.0" encoding="utf-8"?>
<styleSheet xmlns="http://schemas.openxmlformats.org/spreadsheetml/2006/main">
  <numFmts count="12">
    <numFmt numFmtId="43" formatCode="_(* #,##0.00_);_(* \(#,##0.00\);_(* &quot;-&quot;??_);_(@_)"/>
    <numFmt numFmtId="164" formatCode="&quot;$&quot;#,##0.00"/>
    <numFmt numFmtId="165" formatCode="0.0"/>
    <numFmt numFmtId="166" formatCode="&quot;$&quot;#,##0"/>
    <numFmt numFmtId="167" formatCode="&quot;$&quot;#,##0.000"/>
    <numFmt numFmtId="168" formatCode="&quot;$&quot;#,##0.00000"/>
    <numFmt numFmtId="169" formatCode="0.0%"/>
    <numFmt numFmtId="170" formatCode="#\ ???/???"/>
    <numFmt numFmtId="171" formatCode="[$-409]mmm\-yy;@"/>
    <numFmt numFmtId="172" formatCode="mmm"/>
    <numFmt numFmtId="173" formatCode="mm"/>
    <numFmt numFmtId="174" formatCode="_(* #,##0_);_(* \(#,##0\);_(* &quot;-&quot;??_);_(@_)"/>
  </numFmts>
  <fonts count="38">
    <font>
      <sz val="10"/>
      <name val="Arial"/>
    </font>
    <font>
      <sz val="12"/>
      <name val="Arial"/>
      <family val="2"/>
    </font>
    <font>
      <sz val="12"/>
      <color indexed="9"/>
      <name val="Arial"/>
      <family val="2"/>
    </font>
    <font>
      <sz val="8"/>
      <name val="Arial"/>
      <family val="2"/>
    </font>
    <font>
      <b/>
      <sz val="10"/>
      <color indexed="12"/>
      <name val="Arial"/>
      <family val="2"/>
    </font>
    <font>
      <sz val="10"/>
      <name val="Arial"/>
      <family val="2"/>
    </font>
    <font>
      <b/>
      <sz val="10"/>
      <name val="Arial"/>
      <family val="2"/>
    </font>
    <font>
      <b/>
      <sz val="10"/>
      <color indexed="9"/>
      <name val="Arial"/>
      <family val="2"/>
    </font>
    <font>
      <sz val="10"/>
      <color indexed="12"/>
      <name val="Arial"/>
      <family val="2"/>
    </font>
    <font>
      <b/>
      <sz val="12"/>
      <color indexed="9"/>
      <name val="Arial"/>
      <family val="2"/>
    </font>
    <font>
      <sz val="10"/>
      <name val="Arial"/>
      <family val="2"/>
    </font>
    <font>
      <sz val="10"/>
      <name val="Arial"/>
      <family val="2"/>
    </font>
    <font>
      <b/>
      <sz val="10"/>
      <name val="Arial"/>
      <family val="2"/>
    </font>
    <font>
      <sz val="10"/>
      <color indexed="12"/>
      <name val="Arial"/>
      <family val="2"/>
    </font>
    <font>
      <b/>
      <sz val="8"/>
      <color indexed="81"/>
      <name val="Tahoma"/>
      <family val="2"/>
    </font>
    <font>
      <b/>
      <sz val="10"/>
      <color indexed="10"/>
      <name val="Arial"/>
      <family val="2"/>
    </font>
    <font>
      <sz val="10"/>
      <color indexed="8"/>
      <name val="Arial"/>
      <family val="2"/>
    </font>
    <font>
      <b/>
      <sz val="10"/>
      <color indexed="8"/>
      <name val="Arial"/>
      <family val="2"/>
    </font>
    <font>
      <b/>
      <i/>
      <sz val="10"/>
      <name val="Arial"/>
      <family val="2"/>
    </font>
    <font>
      <b/>
      <i/>
      <sz val="8"/>
      <color indexed="81"/>
      <name val="Tahoma"/>
      <family val="2"/>
    </font>
    <font>
      <sz val="8"/>
      <color indexed="81"/>
      <name val="Tahoma"/>
      <family val="2"/>
    </font>
    <font>
      <b/>
      <sz val="12"/>
      <color indexed="10"/>
      <name val="Tahoma"/>
      <family val="2"/>
    </font>
    <font>
      <sz val="10"/>
      <color indexed="8"/>
      <name val="Arial"/>
      <family val="2"/>
    </font>
    <font>
      <b/>
      <sz val="8"/>
      <color indexed="10"/>
      <name val="Tahoma"/>
      <family val="2"/>
    </font>
    <font>
      <sz val="10"/>
      <color indexed="22"/>
      <name val="Arial"/>
      <family val="2"/>
    </font>
    <font>
      <i/>
      <sz val="10"/>
      <name val="Arial"/>
      <family val="2"/>
    </font>
    <font>
      <sz val="10"/>
      <name val="Arial Unicode MS"/>
      <family val="2"/>
    </font>
    <font>
      <b/>
      <sz val="10"/>
      <color indexed="8"/>
      <name val="Arial"/>
      <family val="2"/>
    </font>
    <font>
      <sz val="10"/>
      <color indexed="55"/>
      <name val="Arial"/>
      <family val="2"/>
    </font>
    <font>
      <sz val="8"/>
      <color indexed="63"/>
      <name val="Verdana"/>
      <family val="2"/>
    </font>
    <font>
      <b/>
      <sz val="12"/>
      <color indexed="9"/>
      <name val="Arial"/>
      <family val="2"/>
    </font>
    <font>
      <b/>
      <u/>
      <sz val="10"/>
      <name val="Arial"/>
      <family val="2"/>
    </font>
    <font>
      <sz val="10"/>
      <name val="Arial"/>
      <family val="2"/>
    </font>
    <font>
      <b/>
      <sz val="8"/>
      <color indexed="63"/>
      <name val="Verdana"/>
      <family val="2"/>
    </font>
    <font>
      <sz val="9"/>
      <name val="Arial"/>
      <family val="2"/>
    </font>
    <font>
      <sz val="9"/>
      <color rgb="FF3333FF"/>
      <name val="Arial"/>
      <family val="2"/>
    </font>
    <font>
      <sz val="8"/>
      <color rgb="FF3333FF"/>
      <name val="Arial"/>
      <family val="2"/>
    </font>
    <font>
      <u/>
      <sz val="10"/>
      <color theme="10"/>
      <name val="Arial"/>
      <family val="2"/>
    </font>
  </fonts>
  <fills count="9">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46"/>
        <bgColor indexed="64"/>
      </patternFill>
    </fill>
    <fill>
      <patternFill patternType="solid">
        <fgColor indexed="9"/>
        <bgColor indexed="64"/>
      </patternFill>
    </fill>
    <fill>
      <patternFill patternType="solid">
        <fgColor indexed="10"/>
        <bgColor indexed="64"/>
      </patternFill>
    </fill>
    <fill>
      <patternFill patternType="solid">
        <fgColor theme="1"/>
        <bgColor indexed="64"/>
      </patternFill>
    </fill>
    <fill>
      <patternFill patternType="solid">
        <fgColor theme="0"/>
        <bgColor indexed="64"/>
      </patternFill>
    </fill>
  </fills>
  <borders count="100">
    <border>
      <left/>
      <right/>
      <top/>
      <bottom/>
      <diagonal/>
    </border>
    <border>
      <left/>
      <right style="thin">
        <color indexed="64"/>
      </right>
      <top/>
      <bottom/>
      <diagonal/>
    </border>
    <border>
      <left/>
      <right style="medium">
        <color indexed="64"/>
      </right>
      <top/>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diagonalDown="1">
      <left style="medium">
        <color indexed="64"/>
      </left>
      <right style="medium">
        <color indexed="64"/>
      </right>
      <top style="thin">
        <color indexed="64"/>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style="medium">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diagonalUp="1">
      <left/>
      <right/>
      <top/>
      <bottom/>
      <diagonal style="thin">
        <color indexed="64"/>
      </diagonal>
    </border>
    <border diagonalUp="1">
      <left/>
      <right/>
      <top/>
      <bottom style="thin">
        <color indexed="64"/>
      </bottom>
      <diagonal style="thin">
        <color indexed="64"/>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diagonalDown="1">
      <left/>
      <right style="medium">
        <color indexed="64"/>
      </right>
      <top style="thin">
        <color indexed="64"/>
      </top>
      <bottom style="thin">
        <color indexed="64"/>
      </bottom>
      <diagonal style="thin">
        <color indexed="64"/>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style="thin">
        <color indexed="64"/>
      </top>
      <bottom/>
      <diagonal/>
    </border>
    <border diagonalUp="1">
      <left style="medium">
        <color indexed="64"/>
      </left>
      <right style="medium">
        <color indexed="64"/>
      </right>
      <top style="thin">
        <color indexed="64"/>
      </top>
      <bottom style="thin">
        <color indexed="64"/>
      </bottom>
      <diagonal style="thin">
        <color indexed="64"/>
      </diagonal>
    </border>
    <border>
      <left style="medium">
        <color indexed="64"/>
      </left>
      <right/>
      <top style="medium">
        <color indexed="64"/>
      </top>
      <bottom/>
      <diagonal/>
    </border>
    <border>
      <left/>
      <right/>
      <top/>
      <bottom style="double">
        <color indexed="64"/>
      </bottom>
      <diagonal/>
    </border>
    <border>
      <left style="medium">
        <color indexed="64"/>
      </left>
      <right style="medium">
        <color indexed="8"/>
      </right>
      <top/>
      <bottom/>
      <diagonal/>
    </border>
    <border>
      <left style="medium">
        <color indexed="64"/>
      </left>
      <right style="thin">
        <color indexed="64"/>
      </right>
      <top/>
      <bottom style="medium">
        <color indexed="8"/>
      </bottom>
      <diagonal/>
    </border>
    <border>
      <left style="medium">
        <color indexed="64"/>
      </left>
      <right style="medium">
        <color indexed="64"/>
      </right>
      <top/>
      <bottom style="medium">
        <color indexed="8"/>
      </bottom>
      <diagonal/>
    </border>
    <border>
      <left/>
      <right style="thin">
        <color indexed="64"/>
      </right>
      <top/>
      <bottom style="medium">
        <color indexed="8"/>
      </bottom>
      <diagonal/>
    </border>
    <border>
      <left/>
      <right style="medium">
        <color indexed="8"/>
      </right>
      <top/>
      <bottom/>
      <diagonal/>
    </border>
    <border>
      <left style="thin">
        <color indexed="64"/>
      </left>
      <right style="medium">
        <color indexed="8"/>
      </right>
      <top/>
      <bottom/>
      <diagonal/>
    </border>
    <border>
      <left style="thin">
        <color indexed="64"/>
      </left>
      <right style="thin">
        <color indexed="64"/>
      </right>
      <top style="thin">
        <color indexed="64"/>
      </top>
      <bottom style="medium">
        <color indexed="8"/>
      </bottom>
      <diagonal/>
    </border>
    <border>
      <left style="thin">
        <color indexed="64"/>
      </left>
      <right style="thin">
        <color indexed="64"/>
      </right>
      <top/>
      <bottom style="medium">
        <color indexed="8"/>
      </bottom>
      <diagonal/>
    </border>
    <border>
      <left style="thin">
        <color indexed="64"/>
      </left>
      <right/>
      <top/>
      <bottom style="medium">
        <color indexed="8"/>
      </bottom>
      <diagonal/>
    </border>
    <border>
      <left style="medium">
        <color indexed="8"/>
      </left>
      <right style="thin">
        <color indexed="64"/>
      </right>
      <top style="medium">
        <color indexed="8"/>
      </top>
      <bottom style="medium">
        <color indexed="8"/>
      </bottom>
      <diagonal/>
    </border>
    <border>
      <left style="thin">
        <color indexed="64"/>
      </left>
      <right style="thin">
        <color indexed="64"/>
      </right>
      <top style="medium">
        <color indexed="8"/>
      </top>
      <bottom style="medium">
        <color indexed="8"/>
      </bottom>
      <diagonal/>
    </border>
    <border>
      <left style="thin">
        <color indexed="64"/>
      </left>
      <right style="medium">
        <color indexed="64"/>
      </right>
      <top style="medium">
        <color indexed="8"/>
      </top>
      <bottom style="medium">
        <color indexed="8"/>
      </bottom>
      <diagonal/>
    </border>
    <border>
      <left/>
      <right style="medium">
        <color indexed="8"/>
      </right>
      <top style="medium">
        <color indexed="8"/>
      </top>
      <bottom style="medium">
        <color indexed="8"/>
      </bottom>
      <diagonal/>
    </border>
    <border>
      <left style="medium">
        <color indexed="64"/>
      </left>
      <right style="medium">
        <color indexed="64"/>
      </right>
      <top style="medium">
        <color indexed="8"/>
      </top>
      <bottom/>
      <diagonal/>
    </border>
    <border>
      <left style="medium">
        <color indexed="8"/>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style="medium">
        <color theme="1" tint="0.499984740745262"/>
      </left>
      <right style="thin">
        <color theme="0" tint="-0.24994659260841701"/>
      </right>
      <top style="medium">
        <color theme="1" tint="0.499984740745262"/>
      </top>
      <bottom style="thin">
        <color theme="0" tint="-0.24994659260841701"/>
      </bottom>
      <diagonal/>
    </border>
  </borders>
  <cellStyleXfs count="3">
    <xf numFmtId="164" fontId="0" fillId="0" borderId="0">
      <alignment vertical="center"/>
    </xf>
    <xf numFmtId="43" fontId="32" fillId="0" borderId="0" applyFont="0" applyFill="0" applyBorder="0" applyAlignment="0" applyProtection="0"/>
    <xf numFmtId="0" fontId="37" fillId="0" borderId="0" applyNumberFormat="0" applyFill="0" applyBorder="0" applyAlignment="0" applyProtection="0">
      <alignment vertical="top"/>
      <protection locked="0"/>
    </xf>
  </cellStyleXfs>
  <cellXfs count="918">
    <xf numFmtId="164" fontId="0" fillId="0" borderId="0" xfId="0">
      <alignment vertical="center"/>
    </xf>
    <xf numFmtId="164" fontId="1" fillId="0" borderId="1" xfId="0" applyFont="1" applyBorder="1">
      <alignment vertical="center"/>
    </xf>
    <xf numFmtId="164" fontId="1" fillId="0" borderId="1" xfId="0" applyFont="1" applyFill="1" applyBorder="1">
      <alignment vertical="center"/>
    </xf>
    <xf numFmtId="164" fontId="1" fillId="0" borderId="1" xfId="0" applyFont="1" applyFill="1" applyBorder="1" applyAlignment="1">
      <alignment horizontal="center"/>
    </xf>
    <xf numFmtId="164" fontId="1" fillId="0" borderId="0" xfId="0" applyFont="1" applyBorder="1">
      <alignment vertical="center"/>
    </xf>
    <xf numFmtId="164" fontId="1" fillId="2" borderId="0" xfId="0" applyFont="1" applyFill="1" applyBorder="1">
      <alignment vertical="center"/>
    </xf>
    <xf numFmtId="164" fontId="0" fillId="0" borderId="0" xfId="0" applyBorder="1">
      <alignment vertical="center"/>
    </xf>
    <xf numFmtId="164" fontId="1" fillId="0" borderId="0" xfId="0" applyFont="1" applyFill="1" applyBorder="1">
      <alignment vertical="center"/>
    </xf>
    <xf numFmtId="164" fontId="1" fillId="0" borderId="0" xfId="0" applyFont="1" applyFill="1" applyBorder="1" applyAlignment="1">
      <alignment horizontal="center"/>
    </xf>
    <xf numFmtId="164" fontId="1" fillId="2" borderId="2" xfId="0" applyFont="1" applyFill="1" applyBorder="1">
      <alignment vertical="center"/>
    </xf>
    <xf numFmtId="164" fontId="1" fillId="2" borderId="3" xfId="0" applyFont="1" applyFill="1" applyBorder="1">
      <alignment vertical="center"/>
    </xf>
    <xf numFmtId="164" fontId="5" fillId="0" borderId="4" xfId="0" applyFont="1" applyBorder="1" applyAlignment="1">
      <alignment horizontal="left" indent="2"/>
    </xf>
    <xf numFmtId="164" fontId="5" fillId="0" borderId="5" xfId="0" applyFont="1" applyBorder="1" applyAlignment="1">
      <alignment horizontal="left" indent="2"/>
    </xf>
    <xf numFmtId="164" fontId="5" fillId="0" borderId="0" xfId="0" applyFont="1" applyBorder="1">
      <alignment vertical="center"/>
    </xf>
    <xf numFmtId="164" fontId="5" fillId="0" borderId="1" xfId="0" applyFont="1" applyFill="1" applyBorder="1" applyAlignment="1">
      <alignment horizontal="center"/>
    </xf>
    <xf numFmtId="164" fontId="5" fillId="3" borderId="6" xfId="0" applyFont="1" applyFill="1" applyBorder="1" applyAlignment="1">
      <alignment horizontal="center"/>
    </xf>
    <xf numFmtId="164" fontId="5" fillId="3" borderId="7" xfId="0" applyFont="1" applyFill="1" applyBorder="1" applyAlignment="1">
      <alignment horizontal="center"/>
    </xf>
    <xf numFmtId="164" fontId="5" fillId="3" borderId="8" xfId="0" applyFont="1" applyFill="1" applyBorder="1" applyAlignment="1">
      <alignment horizontal="center"/>
    </xf>
    <xf numFmtId="164" fontId="5" fillId="3" borderId="9" xfId="0" applyFont="1" applyFill="1" applyBorder="1" applyAlignment="1">
      <alignment horizontal="center"/>
    </xf>
    <xf numFmtId="164" fontId="5" fillId="0" borderId="0" xfId="0" applyFont="1" applyFill="1" applyBorder="1" applyAlignment="1">
      <alignment horizontal="center"/>
    </xf>
    <xf numFmtId="164" fontId="5" fillId="0" borderId="1" xfId="0" applyFont="1" applyBorder="1">
      <alignment vertical="center"/>
    </xf>
    <xf numFmtId="164" fontId="5" fillId="0" borderId="1" xfId="0" applyNumberFormat="1" applyFont="1" applyBorder="1">
      <alignment vertical="center"/>
    </xf>
    <xf numFmtId="164" fontId="5" fillId="0" borderId="0" xfId="0" applyNumberFormat="1" applyFont="1" applyBorder="1">
      <alignment vertical="center"/>
    </xf>
    <xf numFmtId="164" fontId="5" fillId="0" borderId="3" xfId="0" applyNumberFormat="1" applyFont="1" applyBorder="1">
      <alignment vertical="center"/>
    </xf>
    <xf numFmtId="164" fontId="5" fillId="0" borderId="10" xfId="0" applyNumberFormat="1" applyFont="1" applyBorder="1">
      <alignment vertical="center"/>
    </xf>
    <xf numFmtId="164" fontId="5" fillId="0" borderId="4" xfId="0" applyNumberFormat="1" applyFont="1" applyBorder="1">
      <alignment vertical="center"/>
    </xf>
    <xf numFmtId="49" fontId="9" fillId="2" borderId="0" xfId="0" applyNumberFormat="1" applyFont="1" applyFill="1" applyBorder="1" applyAlignment="1">
      <alignment horizontal="left" vertical="center" indent="1"/>
    </xf>
    <xf numFmtId="164" fontId="5" fillId="0" borderId="11" xfId="0" applyFont="1" applyFill="1" applyBorder="1" applyAlignment="1">
      <alignment horizontal="center"/>
    </xf>
    <xf numFmtId="164" fontId="5" fillId="0" borderId="12" xfId="0" applyFont="1" applyFill="1" applyBorder="1" applyAlignment="1">
      <alignment horizontal="center"/>
    </xf>
    <xf numFmtId="164" fontId="5" fillId="0" borderId="3" xfId="0" applyFont="1" applyFill="1" applyBorder="1" applyAlignment="1">
      <alignment horizontal="center"/>
    </xf>
    <xf numFmtId="164" fontId="5" fillId="0" borderId="10" xfId="0" applyFont="1" applyFill="1" applyBorder="1" applyAlignment="1">
      <alignment horizontal="center"/>
    </xf>
    <xf numFmtId="164" fontId="5" fillId="0" borderId="11" xfId="0" applyNumberFormat="1" applyFont="1" applyBorder="1">
      <alignment vertical="center"/>
    </xf>
    <xf numFmtId="164" fontId="5" fillId="0" borderId="12" xfId="0" applyNumberFormat="1" applyFont="1" applyBorder="1">
      <alignment vertical="center"/>
    </xf>
    <xf numFmtId="2" fontId="5" fillId="0" borderId="13" xfId="0" applyNumberFormat="1" applyFont="1" applyBorder="1">
      <alignment vertical="center"/>
    </xf>
    <xf numFmtId="164" fontId="5" fillId="0" borderId="14" xfId="0" applyFont="1" applyBorder="1" applyAlignment="1">
      <alignment horizontal="left" indent="2"/>
    </xf>
    <xf numFmtId="164" fontId="5" fillId="0" borderId="11" xfId="0" applyFont="1" applyBorder="1">
      <alignment vertical="center"/>
    </xf>
    <xf numFmtId="164" fontId="5" fillId="0" borderId="15" xfId="0" applyFont="1" applyBorder="1">
      <alignment vertical="center"/>
    </xf>
    <xf numFmtId="164" fontId="5" fillId="0" borderId="16" xfId="0" applyFont="1" applyBorder="1">
      <alignment vertical="center"/>
    </xf>
    <xf numFmtId="164" fontId="5" fillId="0" borderId="17" xfId="0" applyFont="1" applyBorder="1">
      <alignment vertical="center"/>
    </xf>
    <xf numFmtId="164" fontId="5" fillId="0" borderId="18" xfId="0" applyFont="1" applyBorder="1">
      <alignment vertical="center"/>
    </xf>
    <xf numFmtId="164" fontId="5" fillId="0" borderId="4" xfId="0" applyFont="1" applyBorder="1">
      <alignment vertical="center"/>
    </xf>
    <xf numFmtId="164" fontId="5" fillId="0" borderId="19" xfId="0" applyFont="1" applyBorder="1">
      <alignment vertical="center"/>
    </xf>
    <xf numFmtId="164" fontId="5" fillId="0" borderId="20" xfId="0" applyFont="1" applyBorder="1">
      <alignment vertical="center"/>
    </xf>
    <xf numFmtId="164" fontId="5" fillId="0" borderId="21" xfId="0" applyFont="1" applyBorder="1">
      <alignment vertical="center"/>
    </xf>
    <xf numFmtId="164" fontId="5" fillId="0" borderId="12" xfId="0" applyFont="1" applyBorder="1">
      <alignment vertical="center"/>
    </xf>
    <xf numFmtId="164" fontId="5" fillId="0" borderId="3" xfId="0" applyFont="1" applyBorder="1">
      <alignment vertical="center"/>
    </xf>
    <xf numFmtId="164" fontId="5" fillId="0" borderId="10" xfId="0" applyFont="1" applyBorder="1">
      <alignment vertical="center"/>
    </xf>
    <xf numFmtId="1" fontId="5" fillId="0" borderId="13" xfId="0" applyNumberFormat="1" applyFont="1" applyBorder="1">
      <alignment vertical="center"/>
    </xf>
    <xf numFmtId="164" fontId="5" fillId="3" borderId="22" xfId="0" applyFont="1" applyFill="1" applyBorder="1" applyAlignment="1">
      <alignment horizontal="center"/>
    </xf>
    <xf numFmtId="164" fontId="5" fillId="3" borderId="23" xfId="0" applyFont="1" applyFill="1" applyBorder="1" applyAlignment="1">
      <alignment horizontal="center"/>
    </xf>
    <xf numFmtId="2" fontId="10" fillId="0" borderId="24" xfId="0" applyNumberFormat="1" applyFont="1" applyBorder="1">
      <alignment vertical="center"/>
    </xf>
    <xf numFmtId="2" fontId="10" fillId="0" borderId="25" xfId="0" applyNumberFormat="1" applyFont="1" applyBorder="1">
      <alignment vertical="center"/>
    </xf>
    <xf numFmtId="2" fontId="10" fillId="0" borderId="26" xfId="0" applyNumberFormat="1" applyFont="1" applyBorder="1">
      <alignment vertical="center"/>
    </xf>
    <xf numFmtId="164" fontId="10" fillId="0" borderId="0" xfId="0" applyFont="1" applyBorder="1">
      <alignment vertical="center"/>
    </xf>
    <xf numFmtId="2" fontId="10" fillId="0" borderId="27" xfId="0" applyNumberFormat="1" applyFont="1" applyBorder="1">
      <alignment vertical="center"/>
    </xf>
    <xf numFmtId="164" fontId="10" fillId="0" borderId="4" xfId="0" applyFont="1" applyBorder="1" applyAlignment="1">
      <alignment horizontal="left" indent="2"/>
    </xf>
    <xf numFmtId="164" fontId="10" fillId="0" borderId="14" xfId="0" applyFont="1" applyBorder="1" applyAlignment="1">
      <alignment horizontal="left" indent="2"/>
    </xf>
    <xf numFmtId="164" fontId="10" fillId="0" borderId="5" xfId="0" applyFont="1" applyBorder="1" applyAlignment="1">
      <alignment horizontal="left" indent="2"/>
    </xf>
    <xf numFmtId="164" fontId="5" fillId="0" borderId="2" xfId="0" applyFont="1" applyFill="1" applyBorder="1" applyAlignment="1">
      <alignment horizontal="center"/>
    </xf>
    <xf numFmtId="164" fontId="5" fillId="0" borderId="1" xfId="0" applyFont="1" applyBorder="1" applyAlignment="1">
      <alignment vertical="center"/>
    </xf>
    <xf numFmtId="164" fontId="6" fillId="0" borderId="1" xfId="0" applyNumberFormat="1" applyFont="1" applyBorder="1" applyAlignment="1">
      <alignment vertical="center"/>
    </xf>
    <xf numFmtId="164" fontId="6" fillId="0" borderId="0" xfId="0" applyNumberFormat="1" applyFont="1" applyBorder="1" applyAlignment="1">
      <alignment vertical="center"/>
    </xf>
    <xf numFmtId="164" fontId="10" fillId="0" borderId="0" xfId="0" applyFont="1" applyBorder="1" applyAlignment="1">
      <alignment vertical="center"/>
    </xf>
    <xf numFmtId="164" fontId="6" fillId="0" borderId="10" xfId="0" applyNumberFormat="1" applyFont="1" applyBorder="1" applyAlignment="1">
      <alignment vertical="center"/>
    </xf>
    <xf numFmtId="164" fontId="6" fillId="0" borderId="17" xfId="0" applyNumberFormat="1" applyFont="1" applyBorder="1" applyAlignment="1">
      <alignment vertical="center"/>
    </xf>
    <xf numFmtId="164" fontId="6" fillId="0" borderId="3" xfId="0" applyNumberFormat="1" applyFont="1" applyBorder="1" applyAlignment="1">
      <alignment vertical="center"/>
    </xf>
    <xf numFmtId="164" fontId="10" fillId="0" borderId="1" xfId="0" applyFont="1" applyBorder="1" applyAlignment="1">
      <alignment vertical="center"/>
    </xf>
    <xf numFmtId="164" fontId="6" fillId="0" borderId="11" xfId="0" applyFont="1" applyBorder="1" applyAlignment="1">
      <alignment horizontal="left" vertical="center" indent="1"/>
    </xf>
    <xf numFmtId="164" fontId="10" fillId="0" borderId="28" xfId="0" applyFont="1" applyBorder="1" applyAlignment="1">
      <alignment horizontal="left" vertical="center" indent="2"/>
    </xf>
    <xf numFmtId="164" fontId="10" fillId="0" borderId="0" xfId="0" applyFont="1">
      <alignment vertical="center"/>
    </xf>
    <xf numFmtId="164" fontId="5" fillId="0" borderId="0" xfId="0" applyFont="1" applyBorder="1" applyAlignment="1">
      <alignment vertical="center"/>
    </xf>
    <xf numFmtId="164" fontId="12" fillId="0" borderId="0" xfId="0" applyFont="1">
      <alignment vertical="center"/>
    </xf>
    <xf numFmtId="164" fontId="12" fillId="0" borderId="0" xfId="0" applyFont="1" applyBorder="1">
      <alignment vertical="center"/>
    </xf>
    <xf numFmtId="2" fontId="5" fillId="0" borderId="26" xfId="0" applyNumberFormat="1" applyFont="1" applyBorder="1">
      <alignment vertical="center"/>
    </xf>
    <xf numFmtId="2" fontId="5" fillId="0" borderId="27" xfId="0" applyNumberFormat="1" applyFont="1" applyBorder="1">
      <alignment vertical="center"/>
    </xf>
    <xf numFmtId="2" fontId="5" fillId="0" borderId="14" xfId="0" applyNumberFormat="1" applyFont="1" applyBorder="1">
      <alignment vertical="center"/>
    </xf>
    <xf numFmtId="2" fontId="5" fillId="0" borderId="29" xfId="0" applyNumberFormat="1" applyFont="1" applyBorder="1">
      <alignment vertical="center"/>
    </xf>
    <xf numFmtId="2" fontId="5" fillId="0" borderId="30" xfId="0" applyNumberFormat="1" applyFont="1" applyBorder="1">
      <alignment vertical="center"/>
    </xf>
    <xf numFmtId="2" fontId="5" fillId="0" borderId="24" xfId="0" applyNumberFormat="1" applyFont="1" applyBorder="1">
      <alignment vertical="center"/>
    </xf>
    <xf numFmtId="1" fontId="0" fillId="0" borderId="0" xfId="0" applyNumberFormat="1">
      <alignment vertical="center"/>
    </xf>
    <xf numFmtId="164" fontId="11" fillId="0" borderId="14" xfId="0" applyFont="1" applyBorder="1" applyAlignment="1">
      <alignment horizontal="left" indent="2"/>
    </xf>
    <xf numFmtId="167" fontId="12" fillId="0" borderId="31" xfId="0" applyNumberFormat="1" applyFont="1" applyBorder="1" applyAlignment="1">
      <alignment horizontal="left" indent="2"/>
    </xf>
    <xf numFmtId="164" fontId="6" fillId="0" borderId="31" xfId="0" applyFont="1" applyBorder="1" applyAlignment="1">
      <alignment horizontal="left" vertical="center" indent="1"/>
    </xf>
    <xf numFmtId="164" fontId="5" fillId="0" borderId="12" xfId="0" applyFont="1" applyBorder="1" applyAlignment="1">
      <alignment horizontal="left" indent="1"/>
    </xf>
    <xf numFmtId="164" fontId="5" fillId="0" borderId="15" xfId="0" applyFont="1" applyFill="1" applyBorder="1" applyAlignment="1">
      <alignment horizontal="center"/>
    </xf>
    <xf numFmtId="164" fontId="5" fillId="0" borderId="5" xfId="0" applyFont="1" applyFill="1" applyBorder="1" applyAlignment="1">
      <alignment horizontal="center"/>
    </xf>
    <xf numFmtId="164" fontId="6" fillId="0" borderId="4" xfId="0" applyFont="1" applyBorder="1" applyAlignment="1">
      <alignment horizontal="left" indent="1"/>
    </xf>
    <xf numFmtId="164" fontId="12" fillId="0" borderId="14" xfId="0" applyFont="1" applyBorder="1" applyAlignment="1">
      <alignment horizontal="left" indent="2"/>
    </xf>
    <xf numFmtId="4" fontId="0" fillId="0" borderId="0" xfId="0" applyNumberFormat="1">
      <alignment vertical="center"/>
    </xf>
    <xf numFmtId="14" fontId="0" fillId="0" borderId="0" xfId="0" applyNumberFormat="1">
      <alignment vertical="center"/>
    </xf>
    <xf numFmtId="49" fontId="8" fillId="0" borderId="12" xfId="0" applyNumberFormat="1" applyFont="1" applyBorder="1" applyAlignment="1" applyProtection="1">
      <alignment horizontal="left" vertical="center" indent="5"/>
      <protection locked="0"/>
    </xf>
    <xf numFmtId="1" fontId="8" fillId="0" borderId="24" xfId="0" applyNumberFormat="1" applyFont="1" applyBorder="1" applyProtection="1">
      <alignment vertical="center"/>
      <protection locked="0"/>
    </xf>
    <xf numFmtId="1" fontId="8" fillId="0" borderId="26" xfId="0" applyNumberFormat="1" applyFont="1" applyBorder="1" applyProtection="1">
      <alignment vertical="center"/>
      <protection locked="0"/>
    </xf>
    <xf numFmtId="164" fontId="5" fillId="3" borderId="7" xfId="0" applyFont="1" applyFill="1" applyBorder="1" applyAlignment="1" applyProtection="1">
      <alignment horizontal="center"/>
      <protection locked="0"/>
    </xf>
    <xf numFmtId="164" fontId="5" fillId="3" borderId="8" xfId="0" applyFont="1" applyFill="1" applyBorder="1" applyAlignment="1" applyProtection="1">
      <alignment horizontal="center"/>
      <protection locked="0"/>
    </xf>
    <xf numFmtId="164" fontId="5" fillId="3" borderId="32" xfId="0" applyFont="1" applyFill="1" applyBorder="1" applyAlignment="1" applyProtection="1">
      <alignment horizontal="center"/>
      <protection locked="0"/>
    </xf>
    <xf numFmtId="164" fontId="5" fillId="3" borderId="6" xfId="0" applyFont="1" applyFill="1" applyBorder="1" applyAlignment="1" applyProtection="1">
      <alignment horizontal="center"/>
      <protection locked="0"/>
    </xf>
    <xf numFmtId="1" fontId="7" fillId="2" borderId="33" xfId="0" applyNumberFormat="1" applyFont="1" applyFill="1" applyBorder="1" applyAlignment="1" applyProtection="1">
      <alignment horizontal="left" vertical="center" indent="1"/>
      <protection locked="0"/>
    </xf>
    <xf numFmtId="1" fontId="7" fillId="2" borderId="0" xfId="0" applyNumberFormat="1" applyFont="1" applyFill="1" applyBorder="1" applyAlignment="1" applyProtection="1">
      <alignment horizontal="left" vertical="center" indent="1"/>
      <protection locked="0"/>
    </xf>
    <xf numFmtId="0" fontId="5" fillId="3" borderId="7" xfId="0" applyNumberFormat="1" applyFont="1" applyFill="1" applyBorder="1" applyAlignment="1" applyProtection="1">
      <alignment horizontal="center"/>
      <protection locked="0"/>
    </xf>
    <xf numFmtId="164" fontId="5" fillId="0" borderId="10" xfId="0" applyFont="1" applyBorder="1" applyProtection="1">
      <alignment vertical="center"/>
    </xf>
    <xf numFmtId="2" fontId="8" fillId="0" borderId="24" xfId="0" applyNumberFormat="1" applyFont="1" applyBorder="1" applyProtection="1">
      <alignment vertical="center"/>
      <protection locked="0"/>
    </xf>
    <xf numFmtId="2" fontId="8" fillId="0" borderId="27" xfId="0" applyNumberFormat="1" applyFont="1" applyBorder="1" applyProtection="1">
      <alignment vertical="center"/>
      <protection locked="0"/>
    </xf>
    <xf numFmtId="2" fontId="8" fillId="0" borderId="30" xfId="0" applyNumberFormat="1" applyFont="1" applyBorder="1" applyProtection="1">
      <alignment vertical="center"/>
      <protection locked="0"/>
    </xf>
    <xf numFmtId="2" fontId="8" fillId="0" borderId="26" xfId="0" applyNumberFormat="1" applyFont="1" applyBorder="1" applyProtection="1">
      <alignment vertical="center"/>
      <protection locked="0"/>
    </xf>
    <xf numFmtId="164" fontId="8" fillId="0" borderId="14" xfId="0" applyFont="1" applyBorder="1" applyAlignment="1" applyProtection="1">
      <alignment horizontal="left" indent="2"/>
      <protection locked="0"/>
    </xf>
    <xf numFmtId="164" fontId="0" fillId="0" borderId="0" xfId="0" applyProtection="1">
      <alignment vertical="center"/>
    </xf>
    <xf numFmtId="1" fontId="7" fillId="2" borderId="0" xfId="0" applyNumberFormat="1" applyFont="1" applyFill="1" applyBorder="1" applyAlignment="1" applyProtection="1">
      <alignment horizontal="left" vertical="center" indent="1"/>
    </xf>
    <xf numFmtId="164" fontId="5" fillId="0" borderId="1" xfId="0" applyFont="1" applyFill="1" applyBorder="1" applyAlignment="1" applyProtection="1">
      <alignment horizontal="center"/>
    </xf>
    <xf numFmtId="164" fontId="5" fillId="3" borderId="7" xfId="0" applyFont="1" applyFill="1" applyBorder="1" applyAlignment="1" applyProtection="1">
      <alignment horizontal="center"/>
    </xf>
    <xf numFmtId="164" fontId="5" fillId="0" borderId="0" xfId="0" applyFont="1" applyFill="1" applyBorder="1" applyAlignment="1" applyProtection="1">
      <alignment horizontal="center"/>
    </xf>
    <xf numFmtId="164" fontId="5" fillId="0" borderId="1" xfId="0" applyFont="1" applyBorder="1" applyAlignment="1" applyProtection="1">
      <alignment vertical="center"/>
    </xf>
    <xf numFmtId="164" fontId="5" fillId="0" borderId="0" xfId="0" applyFont="1" applyBorder="1" applyAlignment="1" applyProtection="1">
      <alignment vertical="center"/>
    </xf>
    <xf numFmtId="164" fontId="6" fillId="0" borderId="12" xfId="0" applyFont="1" applyBorder="1" applyAlignment="1" applyProtection="1">
      <alignment horizontal="left" vertical="center" indent="1"/>
    </xf>
    <xf numFmtId="164" fontId="6" fillId="0" borderId="11" xfId="0" applyNumberFormat="1" applyFont="1" applyBorder="1" applyAlignment="1" applyProtection="1">
      <alignment vertical="center"/>
    </xf>
    <xf numFmtId="164" fontId="6" fillId="0" borderId="19" xfId="0" applyFont="1" applyBorder="1" applyAlignment="1" applyProtection="1">
      <alignment horizontal="left" vertical="center" indent="1"/>
    </xf>
    <xf numFmtId="164" fontId="5" fillId="0" borderId="0" xfId="0" applyFont="1" applyBorder="1" applyProtection="1">
      <alignment vertical="center"/>
    </xf>
    <xf numFmtId="164" fontId="5" fillId="0" borderId="0" xfId="0" applyFont="1" applyProtection="1">
      <alignment vertical="center"/>
    </xf>
    <xf numFmtId="164" fontId="13" fillId="0" borderId="29" xfId="0" applyFont="1" applyBorder="1" applyAlignment="1" applyProtection="1">
      <alignment horizontal="left" vertical="center" indent="2"/>
      <protection locked="0"/>
    </xf>
    <xf numFmtId="10" fontId="5" fillId="0" borderId="0" xfId="0" applyNumberFormat="1" applyFont="1" applyBorder="1" applyAlignment="1" applyProtection="1">
      <alignment vertical="center"/>
    </xf>
    <xf numFmtId="10" fontId="9" fillId="2" borderId="0" xfId="0" applyNumberFormat="1" applyFont="1" applyFill="1" applyBorder="1" applyAlignment="1" applyProtection="1">
      <alignment vertical="center"/>
    </xf>
    <xf numFmtId="10" fontId="5" fillId="4" borderId="24" xfId="0" applyNumberFormat="1" applyFont="1" applyFill="1" applyBorder="1" applyAlignment="1" applyProtection="1"/>
    <xf numFmtId="10" fontId="5" fillId="4" borderId="34" xfId="0" applyNumberFormat="1" applyFont="1" applyFill="1" applyBorder="1" applyAlignment="1" applyProtection="1"/>
    <xf numFmtId="10" fontId="5" fillId="4" borderId="35" xfId="0" applyNumberFormat="1" applyFont="1" applyFill="1" applyBorder="1" applyAlignment="1" applyProtection="1"/>
    <xf numFmtId="9" fontId="8" fillId="4" borderId="24" xfId="0" applyNumberFormat="1" applyFont="1" applyFill="1" applyBorder="1" applyAlignment="1" applyProtection="1"/>
    <xf numFmtId="10" fontId="6" fillId="4" borderId="36" xfId="0" applyNumberFormat="1" applyFont="1" applyFill="1" applyBorder="1" applyAlignment="1" applyProtection="1"/>
    <xf numFmtId="10" fontId="5" fillId="4" borderId="1" xfId="0" applyNumberFormat="1" applyFont="1" applyFill="1" applyBorder="1" applyAlignment="1" applyProtection="1"/>
    <xf numFmtId="164" fontId="4" fillId="5" borderId="4" xfId="0" applyFont="1" applyFill="1" applyBorder="1" applyAlignment="1" applyProtection="1">
      <alignment horizontal="left" vertical="center" indent="1"/>
      <protection locked="0"/>
    </xf>
    <xf numFmtId="10" fontId="6" fillId="4" borderId="37" xfId="0" applyNumberFormat="1" applyFont="1" applyFill="1" applyBorder="1" applyAlignment="1" applyProtection="1"/>
    <xf numFmtId="10" fontId="8" fillId="4" borderId="34" xfId="0" applyNumberFormat="1" applyFont="1" applyFill="1" applyBorder="1" applyAlignment="1" applyProtection="1"/>
    <xf numFmtId="10" fontId="8" fillId="4" borderId="35" xfId="0" applyNumberFormat="1" applyFont="1" applyFill="1" applyBorder="1" applyAlignment="1" applyProtection="1"/>
    <xf numFmtId="10" fontId="4" fillId="4" borderId="7" xfId="0" applyNumberFormat="1" applyFont="1" applyFill="1" applyBorder="1" applyAlignment="1" applyProtection="1"/>
    <xf numFmtId="10" fontId="8" fillId="4" borderId="24" xfId="0" applyNumberFormat="1" applyFont="1" applyFill="1" applyBorder="1" applyAlignment="1" applyProtection="1"/>
    <xf numFmtId="10" fontId="4" fillId="4" borderId="28" xfId="0" applyNumberFormat="1" applyFont="1" applyFill="1" applyBorder="1" applyAlignment="1" applyProtection="1"/>
    <xf numFmtId="10" fontId="4" fillId="4" borderId="38" xfId="0" applyNumberFormat="1" applyFont="1" applyFill="1" applyBorder="1" applyAlignment="1" applyProtection="1"/>
    <xf numFmtId="164" fontId="1" fillId="0" borderId="3" xfId="0" applyFont="1" applyFill="1" applyBorder="1">
      <alignment vertical="center"/>
    </xf>
    <xf numFmtId="164" fontId="10" fillId="0" borderId="3" xfId="0" applyFont="1" applyBorder="1">
      <alignment vertical="center"/>
    </xf>
    <xf numFmtId="164" fontId="1" fillId="0" borderId="2" xfId="0" applyFont="1" applyFill="1" applyBorder="1">
      <alignment vertical="center"/>
    </xf>
    <xf numFmtId="164" fontId="10" fillId="0" borderId="2" xfId="0" applyFont="1" applyBorder="1" applyAlignment="1">
      <alignment vertical="center"/>
    </xf>
    <xf numFmtId="1" fontId="8" fillId="0" borderId="39" xfId="0" applyNumberFormat="1" applyFont="1" applyBorder="1" applyProtection="1">
      <alignment vertical="center"/>
      <protection locked="0"/>
    </xf>
    <xf numFmtId="1" fontId="8" fillId="0" borderId="14" xfId="0" applyNumberFormat="1" applyFont="1" applyBorder="1" applyProtection="1">
      <alignment vertical="center"/>
      <protection locked="0"/>
    </xf>
    <xf numFmtId="1" fontId="8" fillId="0" borderId="40" xfId="0" applyNumberFormat="1" applyFont="1" applyBorder="1" applyProtection="1">
      <alignment vertical="center"/>
      <protection locked="0"/>
    </xf>
    <xf numFmtId="1" fontId="8" fillId="0" borderId="30" xfId="0" applyNumberFormat="1" applyFont="1" applyBorder="1" applyProtection="1">
      <alignment vertical="center"/>
      <protection locked="0"/>
    </xf>
    <xf numFmtId="10" fontId="5" fillId="4" borderId="14" xfId="0" applyNumberFormat="1" applyFont="1" applyFill="1" applyBorder="1" applyAlignment="1" applyProtection="1"/>
    <xf numFmtId="10" fontId="5" fillId="4" borderId="38" xfId="0" applyNumberFormat="1" applyFont="1" applyFill="1" applyBorder="1" applyAlignment="1" applyProtection="1"/>
    <xf numFmtId="3" fontId="0" fillId="0" borderId="0" xfId="0" applyNumberFormat="1">
      <alignment vertical="center"/>
    </xf>
    <xf numFmtId="166" fontId="8" fillId="0" borderId="34" xfId="0" applyNumberFormat="1" applyFont="1" applyBorder="1" applyProtection="1">
      <alignment vertical="center"/>
      <protection locked="0"/>
    </xf>
    <xf numFmtId="166" fontId="8" fillId="0" borderId="4" xfId="0" applyNumberFormat="1" applyFont="1" applyBorder="1" applyProtection="1">
      <alignment vertical="center"/>
      <protection locked="0"/>
    </xf>
    <xf numFmtId="166" fontId="5" fillId="0" borderId="2" xfId="0" applyNumberFormat="1" applyFont="1" applyBorder="1">
      <alignment vertical="center"/>
    </xf>
    <xf numFmtId="166" fontId="5" fillId="0" borderId="0" xfId="0" applyNumberFormat="1" applyFont="1" applyBorder="1">
      <alignment vertical="center"/>
    </xf>
    <xf numFmtId="166" fontId="8" fillId="0" borderId="27" xfId="0" applyNumberFormat="1" applyFont="1" applyBorder="1" applyProtection="1">
      <alignment vertical="center"/>
      <protection locked="0"/>
    </xf>
    <xf numFmtId="166" fontId="8" fillId="0" borderId="41" xfId="0" applyNumberFormat="1" applyFont="1" applyBorder="1" applyProtection="1">
      <alignment vertical="center"/>
      <protection locked="0"/>
    </xf>
    <xf numFmtId="166" fontId="8" fillId="0" borderId="14" xfId="0" applyNumberFormat="1" applyFont="1" applyBorder="1" applyProtection="1">
      <alignment vertical="center"/>
      <protection locked="0"/>
    </xf>
    <xf numFmtId="166" fontId="8" fillId="0" borderId="42" xfId="0" applyNumberFormat="1" applyFont="1" applyBorder="1" applyProtection="1">
      <alignment vertical="center"/>
      <protection locked="0"/>
    </xf>
    <xf numFmtId="166" fontId="8" fillId="0" borderId="20" xfId="0" applyNumberFormat="1" applyFont="1" applyBorder="1" applyProtection="1">
      <alignment vertical="center"/>
      <protection locked="0"/>
    </xf>
    <xf numFmtId="166" fontId="5" fillId="0" borderId="35" xfId="0" applyNumberFormat="1" applyFont="1" applyBorder="1">
      <alignment vertical="center"/>
    </xf>
    <xf numFmtId="166" fontId="5" fillId="0" borderId="5" xfId="0" applyNumberFormat="1" applyFont="1" applyBorder="1">
      <alignment vertical="center"/>
    </xf>
    <xf numFmtId="166" fontId="5" fillId="0" borderId="43" xfId="0" applyNumberFormat="1" applyFont="1" applyBorder="1">
      <alignment vertical="center"/>
    </xf>
    <xf numFmtId="166" fontId="5" fillId="0" borderId="44" xfId="0" applyNumberFormat="1" applyFont="1" applyBorder="1">
      <alignment vertical="center"/>
    </xf>
    <xf numFmtId="166" fontId="5" fillId="0" borderId="45" xfId="0" applyNumberFormat="1" applyFont="1" applyBorder="1">
      <alignment vertical="center"/>
    </xf>
    <xf numFmtId="166" fontId="5" fillId="0" borderId="20" xfId="0" applyNumberFormat="1" applyFont="1" applyBorder="1">
      <alignment vertical="center"/>
    </xf>
    <xf numFmtId="166" fontId="5" fillId="0" borderId="24" xfId="0" applyNumberFormat="1" applyFont="1" applyBorder="1">
      <alignment vertical="center"/>
    </xf>
    <xf numFmtId="166" fontId="5" fillId="0" borderId="26" xfId="0" applyNumberFormat="1" applyFont="1" applyBorder="1">
      <alignment vertical="center"/>
    </xf>
    <xf numFmtId="166" fontId="5" fillId="0" borderId="3" xfId="0" applyNumberFormat="1" applyFont="1" applyBorder="1">
      <alignment vertical="center"/>
    </xf>
    <xf numFmtId="166" fontId="5" fillId="0" borderId="14" xfId="0" applyNumberFormat="1" applyFont="1" applyBorder="1">
      <alignment vertical="center"/>
    </xf>
    <xf numFmtId="166" fontId="5" fillId="0" borderId="46" xfId="0" applyNumberFormat="1" applyFont="1" applyBorder="1">
      <alignment vertical="center"/>
    </xf>
    <xf numFmtId="166" fontId="6" fillId="0" borderId="36" xfId="0" applyNumberFormat="1" applyFont="1" applyBorder="1">
      <alignment vertical="center"/>
    </xf>
    <xf numFmtId="166" fontId="6" fillId="0" borderId="46" xfId="0" applyNumberFormat="1" applyFont="1" applyBorder="1">
      <alignment vertical="center"/>
    </xf>
    <xf numFmtId="166" fontId="6" fillId="0" borderId="3" xfId="0" applyNumberFormat="1" applyFont="1" applyBorder="1">
      <alignment vertical="center"/>
    </xf>
    <xf numFmtId="166" fontId="8" fillId="0" borderId="14" xfId="0" applyNumberFormat="1" applyFont="1" applyBorder="1" applyAlignment="1" applyProtection="1">
      <alignment vertical="center"/>
      <protection locked="0"/>
    </xf>
    <xf numFmtId="166" fontId="6" fillId="0" borderId="11" xfId="0" applyNumberFormat="1" applyFont="1" applyBorder="1" applyAlignment="1" applyProtection="1">
      <alignment vertical="center"/>
    </xf>
    <xf numFmtId="166" fontId="6" fillId="0" borderId="4" xfId="0" applyNumberFormat="1" applyFont="1" applyBorder="1" applyAlignment="1" applyProtection="1">
      <alignment vertical="center"/>
    </xf>
    <xf numFmtId="166" fontId="8" fillId="0" borderId="21" xfId="0" applyNumberFormat="1" applyFont="1" applyBorder="1" applyProtection="1">
      <alignment vertical="center"/>
      <protection locked="0"/>
    </xf>
    <xf numFmtId="166" fontId="8" fillId="0" borderId="19" xfId="0" applyNumberFormat="1" applyFont="1" applyBorder="1" applyProtection="1">
      <alignment vertical="center"/>
      <protection locked="0"/>
    </xf>
    <xf numFmtId="166" fontId="5" fillId="0" borderId="4" xfId="0" applyNumberFormat="1" applyFont="1" applyBorder="1">
      <alignment vertical="center"/>
    </xf>
    <xf numFmtId="166" fontId="5" fillId="0" borderId="19" xfId="0" applyNumberFormat="1" applyFont="1" applyBorder="1">
      <alignment vertical="center"/>
    </xf>
    <xf numFmtId="166" fontId="5" fillId="0" borderId="34" xfId="0" applyNumberFormat="1" applyFont="1" applyBorder="1">
      <alignment vertical="center"/>
    </xf>
    <xf numFmtId="166" fontId="5" fillId="0" borderId="21" xfId="0" applyNumberFormat="1" applyFont="1" applyBorder="1">
      <alignment vertical="center"/>
    </xf>
    <xf numFmtId="166" fontId="5" fillId="0" borderId="47" xfId="0" applyNumberFormat="1" applyFont="1" applyBorder="1">
      <alignment vertical="center"/>
    </xf>
    <xf numFmtId="166" fontId="5" fillId="0" borderId="12" xfId="0" applyNumberFormat="1" applyFont="1" applyBorder="1">
      <alignment vertical="center"/>
    </xf>
    <xf numFmtId="166" fontId="5" fillId="0" borderId="36" xfId="0" applyNumberFormat="1" applyFont="1" applyBorder="1">
      <alignment vertical="center"/>
    </xf>
    <xf numFmtId="166" fontId="5" fillId="0" borderId="31" xfId="0" applyNumberFormat="1" applyFont="1" applyBorder="1">
      <alignment vertical="center"/>
    </xf>
    <xf numFmtId="166" fontId="5" fillId="0" borderId="48" xfId="0" applyNumberFormat="1" applyFont="1" applyBorder="1">
      <alignment vertical="center"/>
    </xf>
    <xf numFmtId="166" fontId="5" fillId="0" borderId="49" xfId="0" applyNumberFormat="1" applyFont="1" applyBorder="1">
      <alignment vertical="center"/>
    </xf>
    <xf numFmtId="166" fontId="5" fillId="0" borderId="50" xfId="0" applyNumberFormat="1" applyFont="1" applyBorder="1">
      <alignment vertical="center"/>
    </xf>
    <xf numFmtId="166" fontId="5" fillId="0" borderId="51" xfId="0" applyNumberFormat="1" applyFont="1" applyBorder="1">
      <alignment vertical="center"/>
    </xf>
    <xf numFmtId="166" fontId="5" fillId="0" borderId="52" xfId="0" applyNumberFormat="1" applyFont="1" applyBorder="1">
      <alignment vertical="center"/>
    </xf>
    <xf numFmtId="166" fontId="5" fillId="0" borderId="21" xfId="0" applyNumberFormat="1" applyFont="1" applyBorder="1" applyProtection="1">
      <alignment vertical="center"/>
    </xf>
    <xf numFmtId="166" fontId="5" fillId="0" borderId="49" xfId="0" applyNumberFormat="1" applyFont="1" applyBorder="1" applyProtection="1">
      <alignment vertical="center"/>
    </xf>
    <xf numFmtId="166" fontId="5" fillId="0" borderId="30" xfId="0" applyNumberFormat="1" applyFont="1" applyBorder="1">
      <alignment vertical="center"/>
    </xf>
    <xf numFmtId="166" fontId="5" fillId="0" borderId="29" xfId="0" applyNumberFormat="1" applyFont="1" applyBorder="1">
      <alignment vertical="center"/>
    </xf>
    <xf numFmtId="166" fontId="5" fillId="0" borderId="27" xfId="0" applyNumberFormat="1" applyFont="1" applyBorder="1">
      <alignment vertical="center"/>
    </xf>
    <xf numFmtId="166" fontId="5" fillId="0" borderId="53" xfId="0" applyNumberFormat="1" applyFont="1" applyBorder="1">
      <alignment vertical="center"/>
    </xf>
    <xf numFmtId="166" fontId="6" fillId="0" borderId="31" xfId="0" applyNumberFormat="1" applyFont="1" applyBorder="1">
      <alignment vertical="center"/>
    </xf>
    <xf numFmtId="166" fontId="6" fillId="0" borderId="50" xfId="0" applyNumberFormat="1" applyFont="1" applyBorder="1">
      <alignment vertical="center"/>
    </xf>
    <xf numFmtId="166" fontId="6" fillId="0" borderId="51" xfId="0" applyNumberFormat="1" applyFont="1" applyBorder="1">
      <alignment vertical="center"/>
    </xf>
    <xf numFmtId="166" fontId="6" fillId="0" borderId="49" xfId="0" applyNumberFormat="1" applyFont="1" applyBorder="1">
      <alignment vertical="center"/>
    </xf>
    <xf numFmtId="166" fontId="10" fillId="0" borderId="26" xfId="0" applyNumberFormat="1" applyFont="1" applyBorder="1">
      <alignment vertical="center"/>
    </xf>
    <xf numFmtId="166" fontId="10" fillId="0" borderId="3" xfId="0" applyNumberFormat="1" applyFont="1" applyBorder="1">
      <alignment vertical="center"/>
    </xf>
    <xf numFmtId="166" fontId="10" fillId="0" borderId="0" xfId="0" applyNumberFormat="1" applyFont="1" applyBorder="1">
      <alignment vertical="center"/>
    </xf>
    <xf numFmtId="166" fontId="10" fillId="0" borderId="20" xfId="0" applyNumberFormat="1" applyFont="1" applyBorder="1">
      <alignment vertical="center"/>
    </xf>
    <xf numFmtId="166" fontId="10" fillId="0" borderId="44" xfId="0" applyNumberFormat="1" applyFont="1" applyBorder="1">
      <alignment vertical="center"/>
    </xf>
    <xf numFmtId="166" fontId="10" fillId="0" borderId="24" xfId="0" applyNumberFormat="1" applyFont="1" applyBorder="1">
      <alignment vertical="center"/>
    </xf>
    <xf numFmtId="166" fontId="10" fillId="0" borderId="30" xfId="0" applyNumberFormat="1" applyFont="1" applyBorder="1">
      <alignment vertical="center"/>
    </xf>
    <xf numFmtId="166" fontId="10" fillId="0" borderId="27" xfId="0" applyNumberFormat="1" applyFont="1" applyBorder="1">
      <alignment vertical="center"/>
    </xf>
    <xf numFmtId="166" fontId="8" fillId="0" borderId="4" xfId="0" applyNumberFormat="1" applyFont="1" applyBorder="1">
      <alignment vertical="center"/>
    </xf>
    <xf numFmtId="166" fontId="8" fillId="0" borderId="19" xfId="0" applyNumberFormat="1" applyFont="1" applyBorder="1">
      <alignment vertical="center"/>
    </xf>
    <xf numFmtId="166" fontId="8" fillId="0" borderId="34" xfId="0" applyNumberFormat="1" applyFont="1" applyBorder="1">
      <alignment vertical="center"/>
    </xf>
    <xf numFmtId="166" fontId="8" fillId="0" borderId="21" xfId="0" applyNumberFormat="1" applyFont="1" applyBorder="1">
      <alignment vertical="center"/>
    </xf>
    <xf numFmtId="166" fontId="8" fillId="0" borderId="20" xfId="0" applyNumberFormat="1" applyFont="1" applyBorder="1">
      <alignment vertical="center"/>
    </xf>
    <xf numFmtId="166" fontId="6" fillId="0" borderId="0" xfId="0" applyNumberFormat="1" applyFont="1" applyBorder="1">
      <alignment vertical="center"/>
    </xf>
    <xf numFmtId="166" fontId="12" fillId="0" borderId="31" xfId="0" applyNumberFormat="1" applyFont="1" applyBorder="1">
      <alignment vertical="center"/>
    </xf>
    <xf numFmtId="166" fontId="5" fillId="0" borderId="1" xfId="0" applyNumberFormat="1" applyFont="1" applyBorder="1">
      <alignment vertical="center"/>
    </xf>
    <xf numFmtId="166" fontId="10" fillId="0" borderId="24" xfId="0" applyNumberFormat="1" applyFont="1" applyBorder="1" applyAlignment="1">
      <alignment vertical="center"/>
    </xf>
    <xf numFmtId="166" fontId="6" fillId="0" borderId="26" xfId="0" applyNumberFormat="1" applyFont="1" applyBorder="1" applyAlignment="1">
      <alignment vertical="center"/>
    </xf>
    <xf numFmtId="166" fontId="10" fillId="0" borderId="2" xfId="0" applyNumberFormat="1" applyFont="1" applyBorder="1" applyAlignment="1">
      <alignment vertical="center"/>
    </xf>
    <xf numFmtId="166" fontId="10" fillId="0" borderId="0" xfId="0" applyNumberFormat="1" applyFont="1" applyBorder="1" applyAlignment="1">
      <alignment vertical="center"/>
    </xf>
    <xf numFmtId="166" fontId="10" fillId="0" borderId="27" xfId="0" applyNumberFormat="1" applyFont="1" applyBorder="1" applyAlignment="1">
      <alignment vertical="center"/>
    </xf>
    <xf numFmtId="166" fontId="12" fillId="0" borderId="26" xfId="0" applyNumberFormat="1" applyFont="1" applyBorder="1" applyAlignment="1">
      <alignment vertical="center"/>
    </xf>
    <xf numFmtId="166" fontId="10" fillId="0" borderId="26" xfId="0" applyNumberFormat="1" applyFont="1" applyBorder="1" applyAlignment="1">
      <alignment vertical="center"/>
    </xf>
    <xf numFmtId="166" fontId="6" fillId="0" borderId="11" xfId="0" applyNumberFormat="1" applyFont="1" applyBorder="1" applyAlignment="1">
      <alignment vertical="center"/>
    </xf>
    <xf numFmtId="166" fontId="6" fillId="0" borderId="54" xfId="0" applyNumberFormat="1" applyFont="1" applyBorder="1" applyAlignment="1">
      <alignment vertical="center"/>
    </xf>
    <xf numFmtId="166" fontId="6" fillId="0" borderId="2" xfId="0" applyNumberFormat="1" applyFont="1" applyBorder="1" applyAlignment="1">
      <alignment vertical="center"/>
    </xf>
    <xf numFmtId="166" fontId="6" fillId="0" borderId="1" xfId="0" applyNumberFormat="1" applyFont="1" applyBorder="1" applyAlignment="1">
      <alignment vertical="center"/>
    </xf>
    <xf numFmtId="166" fontId="6" fillId="0" borderId="10" xfId="0" applyNumberFormat="1" applyFont="1" applyBorder="1" applyAlignment="1">
      <alignment vertical="center"/>
    </xf>
    <xf numFmtId="166" fontId="6" fillId="0" borderId="55" xfId="0" applyNumberFormat="1" applyFont="1" applyBorder="1" applyAlignment="1">
      <alignment vertical="center"/>
    </xf>
    <xf numFmtId="166" fontId="6" fillId="0" borderId="3" xfId="0" applyNumberFormat="1" applyFont="1" applyBorder="1" applyAlignment="1">
      <alignment vertical="center"/>
    </xf>
    <xf numFmtId="166" fontId="5" fillId="0" borderId="28" xfId="0" applyNumberFormat="1" applyFont="1" applyBorder="1" applyAlignment="1">
      <alignment vertical="center"/>
    </xf>
    <xf numFmtId="166" fontId="10" fillId="0" borderId="56" xfId="0" applyNumberFormat="1" applyFont="1" applyBorder="1" applyAlignment="1">
      <alignment vertical="center"/>
    </xf>
    <xf numFmtId="166" fontId="5" fillId="0" borderId="57" xfId="0" applyNumberFormat="1" applyFont="1" applyBorder="1" applyAlignment="1">
      <alignment vertical="center"/>
    </xf>
    <xf numFmtId="166" fontId="5" fillId="0" borderId="58" xfId="0" applyNumberFormat="1" applyFont="1" applyBorder="1" applyAlignment="1">
      <alignment vertical="center"/>
    </xf>
    <xf numFmtId="166" fontId="5" fillId="0" borderId="56" xfId="0" applyNumberFormat="1" applyFont="1" applyBorder="1" applyAlignment="1">
      <alignment vertical="center"/>
    </xf>
    <xf numFmtId="166" fontId="6" fillId="0" borderId="59" xfId="0" applyNumberFormat="1" applyFont="1" applyBorder="1" applyAlignment="1">
      <alignment vertical="center"/>
    </xf>
    <xf numFmtId="166" fontId="6" fillId="0" borderId="60" xfId="0" applyNumberFormat="1" applyFont="1" applyBorder="1" applyAlignment="1">
      <alignment vertical="center"/>
    </xf>
    <xf numFmtId="166" fontId="6" fillId="0" borderId="47" xfId="0" applyNumberFormat="1" applyFont="1" applyBorder="1" applyAlignment="1">
      <alignment vertical="center"/>
    </xf>
    <xf numFmtId="166" fontId="6" fillId="0" borderId="61" xfId="0" applyNumberFormat="1" applyFont="1" applyBorder="1" applyAlignment="1">
      <alignment vertical="center"/>
    </xf>
    <xf numFmtId="166" fontId="6" fillId="0" borderId="0" xfId="0" applyNumberFormat="1" applyFont="1" applyBorder="1" applyAlignment="1">
      <alignment vertical="center"/>
    </xf>
    <xf numFmtId="166" fontId="6" fillId="0" borderId="34" xfId="0" applyNumberFormat="1" applyFont="1" applyBorder="1" applyAlignment="1">
      <alignment vertical="center"/>
    </xf>
    <xf numFmtId="166" fontId="6" fillId="0" borderId="25" xfId="0" applyNumberFormat="1" applyFont="1" applyBorder="1" applyAlignment="1">
      <alignment vertical="center"/>
    </xf>
    <xf numFmtId="166" fontId="6" fillId="0" borderId="20" xfId="0" applyNumberFormat="1" applyFont="1" applyBorder="1" applyAlignment="1">
      <alignment vertical="center"/>
    </xf>
    <xf numFmtId="166" fontId="6" fillId="0" borderId="21" xfId="0" applyNumberFormat="1" applyFont="1" applyBorder="1" applyAlignment="1">
      <alignment vertical="center"/>
    </xf>
    <xf numFmtId="166" fontId="10" fillId="0" borderId="2" xfId="0" applyNumberFormat="1" applyFont="1" applyBorder="1">
      <alignment vertical="center"/>
    </xf>
    <xf numFmtId="166" fontId="5" fillId="0" borderId="39" xfId="0" applyNumberFormat="1" applyFont="1" applyBorder="1">
      <alignment vertical="center"/>
    </xf>
    <xf numFmtId="166" fontId="5" fillId="0" borderId="25" xfId="0" applyNumberFormat="1" applyFont="1" applyBorder="1">
      <alignment vertical="center"/>
    </xf>
    <xf numFmtId="166" fontId="16" fillId="0" borderId="34" xfId="0" applyNumberFormat="1" applyFont="1" applyBorder="1">
      <alignment vertical="center"/>
    </xf>
    <xf numFmtId="166" fontId="16" fillId="0" borderId="27" xfId="0" applyNumberFormat="1" applyFont="1" applyBorder="1">
      <alignment vertical="center"/>
    </xf>
    <xf numFmtId="166" fontId="16" fillId="0" borderId="14" xfId="0" applyNumberFormat="1" applyFont="1" applyBorder="1">
      <alignment vertical="center"/>
    </xf>
    <xf numFmtId="166" fontId="16" fillId="0" borderId="21" xfId="0" applyNumberFormat="1" applyFont="1" applyBorder="1">
      <alignment vertical="center"/>
    </xf>
    <xf numFmtId="166" fontId="16" fillId="0" borderId="25" xfId="0" applyNumberFormat="1" applyFont="1" applyBorder="1">
      <alignment vertical="center"/>
    </xf>
    <xf numFmtId="166" fontId="16" fillId="0" borderId="20" xfId="0" applyNumberFormat="1" applyFont="1" applyBorder="1">
      <alignment vertical="center"/>
    </xf>
    <xf numFmtId="166" fontId="8" fillId="0" borderId="25" xfId="0" applyNumberFormat="1" applyFont="1" applyBorder="1" applyProtection="1">
      <alignment vertical="center"/>
      <protection locked="0"/>
    </xf>
    <xf numFmtId="166" fontId="6" fillId="0" borderId="59" xfId="0" applyNumberFormat="1" applyFont="1" applyBorder="1">
      <alignment vertical="center"/>
    </xf>
    <xf numFmtId="166" fontId="6" fillId="0" borderId="60" xfId="0" applyNumberFormat="1" applyFont="1" applyBorder="1">
      <alignment vertical="center"/>
    </xf>
    <xf numFmtId="166" fontId="6" fillId="0" borderId="47" xfId="0" applyNumberFormat="1" applyFont="1" applyBorder="1">
      <alignment vertical="center"/>
    </xf>
    <xf numFmtId="166" fontId="6" fillId="0" borderId="61" xfId="0" applyNumberFormat="1" applyFont="1" applyBorder="1">
      <alignment vertical="center"/>
    </xf>
    <xf numFmtId="166" fontId="10" fillId="0" borderId="34" xfId="0" applyNumberFormat="1" applyFont="1" applyBorder="1">
      <alignment vertical="center"/>
    </xf>
    <xf numFmtId="166" fontId="10" fillId="0" borderId="25" xfId="0" applyNumberFormat="1" applyFont="1" applyBorder="1">
      <alignment vertical="center"/>
    </xf>
    <xf numFmtId="166" fontId="10" fillId="0" borderId="21" xfId="0" applyNumberFormat="1" applyFont="1" applyBorder="1">
      <alignment vertical="center"/>
    </xf>
    <xf numFmtId="166" fontId="5" fillId="0" borderId="61" xfId="0" applyNumberFormat="1" applyFont="1" applyBorder="1">
      <alignment vertical="center"/>
    </xf>
    <xf numFmtId="166" fontId="10" fillId="0" borderId="14" xfId="0" applyNumberFormat="1" applyFont="1" applyBorder="1" applyAlignment="1">
      <alignment vertical="center"/>
    </xf>
    <xf numFmtId="166" fontId="16" fillId="0" borderId="24" xfId="0" applyNumberFormat="1" applyFont="1" applyBorder="1" applyProtection="1">
      <alignment vertical="center"/>
    </xf>
    <xf numFmtId="166" fontId="8" fillId="0" borderId="24" xfId="0" applyNumberFormat="1" applyFont="1" applyBorder="1" applyProtection="1">
      <alignment vertical="center"/>
      <protection locked="0"/>
    </xf>
    <xf numFmtId="166" fontId="8" fillId="0" borderId="62" xfId="0" applyNumberFormat="1" applyFont="1" applyBorder="1" applyProtection="1">
      <alignment vertical="center"/>
      <protection locked="0"/>
    </xf>
    <xf numFmtId="166" fontId="8" fillId="0" borderId="1" xfId="0" applyNumberFormat="1" applyFont="1" applyBorder="1" applyProtection="1">
      <alignment vertical="center"/>
      <protection locked="0"/>
    </xf>
    <xf numFmtId="166" fontId="8" fillId="0" borderId="63" xfId="0" applyNumberFormat="1" applyFont="1" applyBorder="1" applyProtection="1">
      <alignment vertical="center"/>
      <protection locked="0"/>
    </xf>
    <xf numFmtId="166" fontId="8" fillId="0" borderId="10" xfId="0" applyNumberFormat="1" applyFont="1" applyBorder="1" applyProtection="1">
      <alignment vertical="center"/>
      <protection locked="0"/>
    </xf>
    <xf numFmtId="166" fontId="8" fillId="0" borderId="2" xfId="0" applyNumberFormat="1" applyFont="1" applyBorder="1" applyProtection="1">
      <alignment vertical="center"/>
      <protection locked="0"/>
    </xf>
    <xf numFmtId="166" fontId="8" fillId="0" borderId="3" xfId="0" applyNumberFormat="1" applyFont="1" applyBorder="1" applyProtection="1">
      <alignment vertical="center"/>
      <protection locked="0"/>
    </xf>
    <xf numFmtId="166" fontId="8" fillId="0" borderId="30" xfId="0" applyNumberFormat="1" applyFont="1" applyBorder="1" applyAlignment="1" applyProtection="1">
      <alignment vertical="center"/>
      <protection locked="0"/>
    </xf>
    <xf numFmtId="166" fontId="8" fillId="0" borderId="25" xfId="0" applyNumberFormat="1" applyFont="1" applyBorder="1" applyAlignment="1" applyProtection="1">
      <alignment vertical="center"/>
      <protection locked="0"/>
    </xf>
    <xf numFmtId="166" fontId="16" fillId="0" borderId="30" xfId="0" applyNumberFormat="1" applyFont="1" applyBorder="1" applyAlignment="1" applyProtection="1">
      <alignment vertical="center"/>
    </xf>
    <xf numFmtId="166" fontId="13" fillId="0" borderId="30" xfId="0" applyNumberFormat="1" applyFont="1" applyBorder="1" applyAlignment="1" applyProtection="1">
      <alignment vertical="center"/>
      <protection locked="0"/>
    </xf>
    <xf numFmtId="166" fontId="17" fillId="0" borderId="14" xfId="0" applyNumberFormat="1" applyFont="1" applyBorder="1" applyAlignment="1">
      <alignment horizontal="left" vertical="center"/>
    </xf>
    <xf numFmtId="166" fontId="5" fillId="0" borderId="11" xfId="0" applyNumberFormat="1" applyFont="1" applyFill="1" applyBorder="1" applyAlignment="1">
      <alignment horizontal="center"/>
    </xf>
    <xf numFmtId="166" fontId="16" fillId="0" borderId="40" xfId="0" applyNumberFormat="1" applyFont="1" applyBorder="1" applyProtection="1">
      <alignment vertical="center"/>
    </xf>
    <xf numFmtId="14" fontId="12" fillId="0" borderId="0" xfId="0" applyNumberFormat="1" applyFont="1">
      <alignment vertical="center"/>
    </xf>
    <xf numFmtId="170" fontId="0" fillId="0" borderId="0" xfId="0" applyNumberFormat="1">
      <alignment vertical="center"/>
    </xf>
    <xf numFmtId="2" fontId="0" fillId="0" borderId="0" xfId="0" applyNumberFormat="1">
      <alignment vertical="center"/>
    </xf>
    <xf numFmtId="166" fontId="16" fillId="0" borderId="26" xfId="0" applyNumberFormat="1" applyFont="1" applyBorder="1" applyProtection="1">
      <alignment vertical="center"/>
    </xf>
    <xf numFmtId="166" fontId="16" fillId="0" borderId="2" xfId="0" applyNumberFormat="1" applyFont="1" applyBorder="1" applyProtection="1">
      <alignment vertical="center"/>
    </xf>
    <xf numFmtId="166" fontId="16" fillId="0" borderId="64" xfId="0" applyNumberFormat="1" applyFont="1" applyBorder="1" applyProtection="1">
      <alignment vertical="center"/>
    </xf>
    <xf numFmtId="166" fontId="8" fillId="0" borderId="22" xfId="0" applyNumberFormat="1" applyFont="1" applyBorder="1" applyProtection="1">
      <alignment vertical="center"/>
      <protection locked="0"/>
    </xf>
    <xf numFmtId="3" fontId="8" fillId="0" borderId="14" xfId="0" applyNumberFormat="1" applyFont="1" applyBorder="1" applyProtection="1">
      <alignment vertical="center"/>
      <protection locked="0"/>
    </xf>
    <xf numFmtId="0" fontId="0" fillId="0" borderId="0" xfId="0" applyNumberFormat="1">
      <alignment vertical="center"/>
    </xf>
    <xf numFmtId="164" fontId="0" fillId="0" borderId="11" xfId="0" applyBorder="1" applyProtection="1">
      <alignment vertical="center"/>
    </xf>
    <xf numFmtId="164" fontId="0" fillId="0" borderId="4" xfId="0" applyBorder="1" applyProtection="1">
      <alignment vertical="center"/>
    </xf>
    <xf numFmtId="164" fontId="0" fillId="0" borderId="25" xfId="0" applyBorder="1" applyProtection="1">
      <alignment vertical="center"/>
    </xf>
    <xf numFmtId="164" fontId="0" fillId="0" borderId="11" xfId="0" applyBorder="1" applyAlignment="1" applyProtection="1">
      <alignment horizontal="center" vertical="center"/>
    </xf>
    <xf numFmtId="172" fontId="0" fillId="0" borderId="0" xfId="0" applyNumberFormat="1">
      <alignment vertical="center"/>
    </xf>
    <xf numFmtId="0" fontId="13" fillId="0" borderId="0" xfId="0" applyNumberFormat="1" applyFont="1" applyBorder="1" applyAlignment="1" applyProtection="1">
      <alignment horizontal="left" vertical="center" indent="2"/>
      <protection locked="0"/>
    </xf>
    <xf numFmtId="1" fontId="22" fillId="0" borderId="0" xfId="0" applyNumberFormat="1" applyFont="1" applyBorder="1" applyAlignment="1" applyProtection="1">
      <alignment horizontal="right" vertical="center"/>
      <protection locked="0"/>
    </xf>
    <xf numFmtId="0" fontId="0" fillId="0" borderId="0" xfId="0" applyNumberFormat="1" applyAlignment="1">
      <alignment vertical="center"/>
    </xf>
    <xf numFmtId="164" fontId="13" fillId="0" borderId="14" xfId="0" applyFont="1" applyBorder="1" applyAlignment="1" applyProtection="1">
      <alignment horizontal="left" vertical="center" indent="2"/>
      <protection locked="0"/>
    </xf>
    <xf numFmtId="164" fontId="16" fillId="0" borderId="0" xfId="0" applyFont="1" applyBorder="1">
      <alignment vertical="center"/>
    </xf>
    <xf numFmtId="164" fontId="16" fillId="0" borderId="0" xfId="0" applyFont="1">
      <alignment vertical="center"/>
    </xf>
    <xf numFmtId="166" fontId="0" fillId="0" borderId="0" xfId="0" applyNumberFormat="1" applyProtection="1">
      <alignment vertical="center"/>
      <protection locked="0"/>
    </xf>
    <xf numFmtId="166" fontId="6" fillId="0" borderId="30" xfId="0" applyNumberFormat="1" applyFont="1" applyBorder="1" applyProtection="1">
      <alignment vertical="center"/>
      <protection locked="0"/>
    </xf>
    <xf numFmtId="0" fontId="12" fillId="0" borderId="0" xfId="0" applyNumberFormat="1" applyFont="1" applyAlignment="1">
      <alignment vertical="center"/>
    </xf>
    <xf numFmtId="0" fontId="12" fillId="0" borderId="0" xfId="0" applyNumberFormat="1" applyFont="1">
      <alignment vertical="center"/>
    </xf>
    <xf numFmtId="1" fontId="0" fillId="0" borderId="0" xfId="0" applyNumberFormat="1" applyBorder="1">
      <alignment vertical="center"/>
    </xf>
    <xf numFmtId="164" fontId="25" fillId="0" borderId="0" xfId="0" applyFont="1">
      <alignment vertical="center"/>
    </xf>
    <xf numFmtId="164" fontId="17" fillId="0" borderId="0" xfId="0" applyFont="1" applyBorder="1">
      <alignment vertical="center"/>
    </xf>
    <xf numFmtId="164" fontId="22" fillId="0" borderId="0" xfId="0" applyFont="1" applyBorder="1">
      <alignment vertical="center"/>
    </xf>
    <xf numFmtId="164" fontId="22" fillId="0" borderId="0" xfId="0" applyFont="1" applyFill="1" applyBorder="1">
      <alignment vertical="center"/>
    </xf>
    <xf numFmtId="1" fontId="17" fillId="0" borderId="0" xfId="0" applyNumberFormat="1" applyFont="1" applyBorder="1" applyAlignment="1" applyProtection="1">
      <alignment horizontal="right" vertical="center"/>
      <protection locked="0"/>
    </xf>
    <xf numFmtId="164" fontId="17" fillId="0" borderId="30" xfId="0" applyFont="1" applyFill="1" applyBorder="1">
      <alignment vertical="center"/>
    </xf>
    <xf numFmtId="164" fontId="12" fillId="0" borderId="30" xfId="0" applyFont="1" applyBorder="1">
      <alignment vertical="center"/>
    </xf>
    <xf numFmtId="166" fontId="0" fillId="0" borderId="65" xfId="0" applyNumberFormat="1" applyBorder="1" applyProtection="1">
      <alignment vertical="center"/>
      <protection locked="0"/>
    </xf>
    <xf numFmtId="166" fontId="25" fillId="0" borderId="65" xfId="0" applyNumberFormat="1" applyFont="1" applyBorder="1" applyProtection="1">
      <alignment vertical="center"/>
      <protection locked="0"/>
    </xf>
    <xf numFmtId="166" fontId="0" fillId="0" borderId="66" xfId="0" applyNumberFormat="1" applyBorder="1" applyProtection="1">
      <alignment vertical="center"/>
      <protection locked="0"/>
    </xf>
    <xf numFmtId="164" fontId="0" fillId="0" borderId="30" xfId="0" applyBorder="1">
      <alignment vertical="center"/>
    </xf>
    <xf numFmtId="164" fontId="17" fillId="0" borderId="30" xfId="0" applyFont="1" applyBorder="1">
      <alignment vertical="center"/>
    </xf>
    <xf numFmtId="164" fontId="26" fillId="0" borderId="0" xfId="0" applyFont="1" applyAlignment="1">
      <alignment vertical="center"/>
    </xf>
    <xf numFmtId="3" fontId="11" fillId="0" borderId="0" xfId="0" applyNumberFormat="1" applyFont="1">
      <alignment vertical="center"/>
    </xf>
    <xf numFmtId="164" fontId="12" fillId="0" borderId="53" xfId="0" applyFont="1" applyBorder="1">
      <alignment vertical="center"/>
    </xf>
    <xf numFmtId="166" fontId="8" fillId="0" borderId="38" xfId="0" applyNumberFormat="1" applyFont="1" applyBorder="1" applyProtection="1">
      <alignment vertical="center"/>
      <protection locked="0"/>
    </xf>
    <xf numFmtId="166" fontId="8" fillId="0" borderId="59" xfId="0" applyNumberFormat="1" applyFont="1" applyBorder="1" applyProtection="1">
      <alignment vertical="center"/>
      <protection locked="0"/>
    </xf>
    <xf numFmtId="166" fontId="8" fillId="0" borderId="61" xfId="0" applyNumberFormat="1" applyFont="1" applyBorder="1" applyProtection="1">
      <alignment vertical="center"/>
      <protection locked="0"/>
    </xf>
    <xf numFmtId="166" fontId="8" fillId="0" borderId="54" xfId="0" applyNumberFormat="1" applyFont="1" applyBorder="1" applyProtection="1">
      <alignment vertical="center"/>
      <protection locked="0"/>
    </xf>
    <xf numFmtId="166" fontId="8" fillId="0" borderId="47" xfId="0" applyNumberFormat="1" applyFont="1" applyBorder="1" applyProtection="1">
      <alignment vertical="center"/>
      <protection locked="0"/>
    </xf>
    <xf numFmtId="166" fontId="8" fillId="0" borderId="67" xfId="0" applyNumberFormat="1" applyFont="1" applyBorder="1" applyProtection="1">
      <alignment vertical="center"/>
      <protection locked="0"/>
    </xf>
    <xf numFmtId="166" fontId="8" fillId="0" borderId="55" xfId="0" applyNumberFormat="1" applyFont="1" applyBorder="1" applyProtection="1">
      <alignment vertical="center"/>
      <protection locked="0"/>
    </xf>
    <xf numFmtId="164" fontId="28" fillId="0" borderId="14" xfId="0" applyFont="1" applyBorder="1" applyAlignment="1" applyProtection="1">
      <alignment horizontal="left" indent="2"/>
    </xf>
    <xf numFmtId="166" fontId="28" fillId="0" borderId="24" xfId="0" applyNumberFormat="1" applyFont="1" applyBorder="1" applyProtection="1">
      <alignment vertical="center"/>
    </xf>
    <xf numFmtId="166" fontId="28" fillId="0" borderId="26" xfId="0" applyNumberFormat="1" applyFont="1" applyBorder="1" applyProtection="1">
      <alignment vertical="center"/>
    </xf>
    <xf numFmtId="164" fontId="5" fillId="0" borderId="2" xfId="0" applyFont="1" applyBorder="1" applyProtection="1">
      <alignment vertical="center"/>
    </xf>
    <xf numFmtId="166" fontId="28" fillId="0" borderId="27" xfId="0" applyNumberFormat="1" applyFont="1" applyBorder="1" applyProtection="1">
      <alignment vertical="center"/>
    </xf>
    <xf numFmtId="166" fontId="28" fillId="0" borderId="30" xfId="0" applyNumberFormat="1" applyFont="1" applyBorder="1" applyProtection="1">
      <alignment vertical="center"/>
    </xf>
    <xf numFmtId="166" fontId="28" fillId="0" borderId="29" xfId="0" applyNumberFormat="1" applyFont="1" applyBorder="1" applyProtection="1">
      <alignment vertical="center"/>
    </xf>
    <xf numFmtId="166" fontId="28" fillId="0" borderId="40" xfId="0" applyNumberFormat="1" applyFont="1" applyBorder="1" applyProtection="1">
      <alignment vertical="center"/>
    </xf>
    <xf numFmtId="166" fontId="28" fillId="0" borderId="20" xfId="0" applyNumberFormat="1" applyFont="1" applyBorder="1" applyProtection="1">
      <alignment vertical="center"/>
    </xf>
    <xf numFmtId="164" fontId="5" fillId="0" borderId="3" xfId="0" applyFont="1" applyBorder="1" applyProtection="1">
      <alignment vertical="center"/>
    </xf>
    <xf numFmtId="166" fontId="28" fillId="0" borderId="42" xfId="0" applyNumberFormat="1" applyFont="1" applyBorder="1" applyProtection="1">
      <alignment vertical="center"/>
    </xf>
    <xf numFmtId="166" fontId="28" fillId="0" borderId="26" xfId="0" applyNumberFormat="1" applyFont="1" applyFill="1" applyBorder="1" applyProtection="1">
      <alignment vertical="center"/>
    </xf>
    <xf numFmtId="164" fontId="8" fillId="0" borderId="4" xfId="0" applyFont="1" applyBorder="1" applyAlignment="1" applyProtection="1">
      <alignment horizontal="left" indent="2"/>
      <protection locked="0"/>
    </xf>
    <xf numFmtId="164" fontId="8" fillId="0" borderId="38" xfId="0" applyFont="1" applyBorder="1" applyAlignment="1" applyProtection="1">
      <alignment horizontal="left" indent="2"/>
      <protection locked="0"/>
    </xf>
    <xf numFmtId="164" fontId="5" fillId="0" borderId="1" xfId="0" applyFont="1" applyFill="1" applyBorder="1" applyProtection="1">
      <alignment vertical="center"/>
    </xf>
    <xf numFmtId="49" fontId="9" fillId="2" borderId="11" xfId="0" applyNumberFormat="1" applyFont="1" applyFill="1" applyBorder="1" applyAlignment="1" applyProtection="1">
      <alignment horizontal="left" vertical="center" indent="1"/>
    </xf>
    <xf numFmtId="164" fontId="5" fillId="2" borderId="0" xfId="0" applyFont="1" applyFill="1" applyBorder="1" applyProtection="1">
      <alignment vertical="center"/>
    </xf>
    <xf numFmtId="164" fontId="5" fillId="2" borderId="33" xfId="0" applyFont="1" applyFill="1" applyBorder="1" applyProtection="1">
      <alignment vertical="center"/>
    </xf>
    <xf numFmtId="164" fontId="5" fillId="0" borderId="2" xfId="0" applyFont="1" applyFill="1" applyBorder="1" applyProtection="1">
      <alignment vertical="center"/>
    </xf>
    <xf numFmtId="164" fontId="5" fillId="0" borderId="0" xfId="0" applyFont="1" applyFill="1" applyBorder="1" applyProtection="1">
      <alignment vertical="center"/>
    </xf>
    <xf numFmtId="1" fontId="7" fillId="2" borderId="33" xfId="0" applyNumberFormat="1" applyFont="1" applyFill="1" applyBorder="1" applyAlignment="1" applyProtection="1">
      <alignment horizontal="left" vertical="center" indent="1"/>
    </xf>
    <xf numFmtId="164" fontId="5" fillId="2" borderId="2" xfId="0" applyFont="1" applyFill="1" applyBorder="1" applyProtection="1">
      <alignment vertical="center"/>
    </xf>
    <xf numFmtId="1" fontId="7" fillId="2" borderId="3" xfId="0" applyNumberFormat="1" applyFont="1" applyFill="1" applyBorder="1" applyAlignment="1" applyProtection="1">
      <alignment horizontal="left" vertical="center" indent="1"/>
    </xf>
    <xf numFmtId="164" fontId="5" fillId="3" borderId="8" xfId="0" applyFont="1" applyFill="1" applyBorder="1" applyAlignment="1" applyProtection="1">
      <alignment horizontal="center"/>
    </xf>
    <xf numFmtId="164" fontId="5" fillId="3" borderId="9" xfId="0" applyFont="1" applyFill="1" applyBorder="1" applyAlignment="1" applyProtection="1">
      <alignment horizontal="center"/>
    </xf>
    <xf numFmtId="164" fontId="5" fillId="0" borderId="2" xfId="0" applyFont="1" applyFill="1" applyBorder="1" applyAlignment="1" applyProtection="1">
      <alignment horizontal="center"/>
    </xf>
    <xf numFmtId="164" fontId="5" fillId="3" borderId="10" xfId="0" applyFont="1" applyFill="1" applyBorder="1" applyAlignment="1" applyProtection="1">
      <alignment horizontal="center"/>
    </xf>
    <xf numFmtId="164" fontId="5" fillId="3" borderId="11" xfId="0" applyFont="1" applyFill="1" applyBorder="1" applyAlignment="1" applyProtection="1">
      <alignment horizontal="center"/>
    </xf>
    <xf numFmtId="164" fontId="5" fillId="3" borderId="12" xfId="0" applyFont="1" applyFill="1" applyBorder="1" applyAlignment="1" applyProtection="1">
      <alignment horizontal="center"/>
    </xf>
    <xf numFmtId="164" fontId="5" fillId="3" borderId="3" xfId="0" applyFont="1" applyFill="1" applyBorder="1" applyAlignment="1" applyProtection="1">
      <alignment horizontal="center"/>
    </xf>
    <xf numFmtId="164" fontId="5" fillId="3" borderId="63" xfId="0" applyFont="1" applyFill="1" applyBorder="1" applyAlignment="1" applyProtection="1">
      <alignment horizontal="center"/>
    </xf>
    <xf numFmtId="164" fontId="5" fillId="3" borderId="2" xfId="0" applyFont="1" applyFill="1" applyBorder="1" applyAlignment="1" applyProtection="1">
      <alignment horizontal="center"/>
    </xf>
    <xf numFmtId="164" fontId="5" fillId="0" borderId="15" xfId="0" applyFont="1" applyFill="1" applyBorder="1" applyAlignment="1" applyProtection="1">
      <alignment horizontal="center"/>
    </xf>
    <xf numFmtId="164" fontId="5" fillId="0" borderId="3" xfId="0" applyFont="1" applyFill="1" applyBorder="1" applyAlignment="1" applyProtection="1">
      <alignment horizontal="center"/>
    </xf>
    <xf numFmtId="164" fontId="5" fillId="0" borderId="10" xfId="0" applyFont="1" applyFill="1" applyBorder="1" applyAlignment="1" applyProtection="1">
      <alignment horizontal="center"/>
    </xf>
    <xf numFmtId="164" fontId="5" fillId="0" borderId="1" xfId="0" applyFont="1" applyBorder="1" applyProtection="1">
      <alignment vertical="center"/>
    </xf>
    <xf numFmtId="164" fontId="27" fillId="5" borderId="4" xfId="0" applyFont="1" applyFill="1" applyBorder="1" applyAlignment="1" applyProtection="1">
      <alignment horizontal="left" vertical="center" indent="1"/>
    </xf>
    <xf numFmtId="164" fontId="5" fillId="5" borderId="1" xfId="0" applyNumberFormat="1" applyFont="1" applyFill="1" applyBorder="1" applyProtection="1">
      <alignment vertical="center"/>
    </xf>
    <xf numFmtId="164" fontId="5" fillId="0" borderId="1" xfId="0" applyNumberFormat="1" applyFont="1" applyFill="1" applyBorder="1" applyProtection="1">
      <alignment vertical="center"/>
    </xf>
    <xf numFmtId="164" fontId="5" fillId="0" borderId="0" xfId="0" applyNumberFormat="1" applyFont="1" applyFill="1" applyBorder="1" applyProtection="1">
      <alignment vertical="center"/>
    </xf>
    <xf numFmtId="164" fontId="5" fillId="0" borderId="3" xfId="0" applyNumberFormat="1" applyFont="1" applyFill="1" applyBorder="1" applyProtection="1">
      <alignment vertical="center"/>
    </xf>
    <xf numFmtId="164" fontId="5" fillId="0" borderId="10" xfId="0" applyNumberFormat="1" applyFont="1" applyFill="1" applyBorder="1" applyProtection="1">
      <alignment vertical="center"/>
    </xf>
    <xf numFmtId="164" fontId="5" fillId="0" borderId="20" xfId="0" applyNumberFormat="1" applyFont="1" applyFill="1" applyBorder="1" applyProtection="1">
      <alignment vertical="center"/>
    </xf>
    <xf numFmtId="164" fontId="5" fillId="0" borderId="2" xfId="0" applyNumberFormat="1" applyFont="1" applyFill="1" applyBorder="1" applyProtection="1">
      <alignment vertical="center"/>
    </xf>
    <xf numFmtId="166" fontId="5" fillId="0" borderId="26" xfId="0" applyNumberFormat="1" applyFont="1" applyBorder="1" applyProtection="1">
      <alignment vertical="center"/>
    </xf>
    <xf numFmtId="166" fontId="5" fillId="0" borderId="2" xfId="0" applyNumberFormat="1" applyFont="1" applyBorder="1" applyProtection="1">
      <alignment vertical="center"/>
    </xf>
    <xf numFmtId="166" fontId="5" fillId="0" borderId="0" xfId="0" applyNumberFormat="1" applyFont="1" applyBorder="1" applyProtection="1">
      <alignment vertical="center"/>
    </xf>
    <xf numFmtId="166" fontId="5" fillId="0" borderId="20" xfId="0" applyNumberFormat="1" applyFont="1" applyBorder="1" applyProtection="1">
      <alignment vertical="center"/>
    </xf>
    <xf numFmtId="166" fontId="5" fillId="0" borderId="42" xfId="0" applyNumberFormat="1" applyFont="1" applyBorder="1" applyProtection="1">
      <alignment vertical="center"/>
    </xf>
    <xf numFmtId="166" fontId="5" fillId="0" borderId="44" xfId="0" applyNumberFormat="1" applyFont="1" applyBorder="1" applyProtection="1">
      <alignment vertical="center"/>
    </xf>
    <xf numFmtId="166" fontId="5" fillId="0" borderId="3" xfId="0" applyNumberFormat="1" applyFont="1" applyBorder="1" applyProtection="1">
      <alignment vertical="center"/>
    </xf>
    <xf numFmtId="166" fontId="5" fillId="0" borderId="47" xfId="0" applyNumberFormat="1" applyFont="1" applyBorder="1" applyProtection="1">
      <alignment vertical="center"/>
    </xf>
    <xf numFmtId="164" fontId="6" fillId="0" borderId="11" xfId="0" applyFont="1" applyBorder="1" applyAlignment="1" applyProtection="1">
      <alignment horizontal="left" indent="1"/>
    </xf>
    <xf numFmtId="166" fontId="17" fillId="0" borderId="7" xfId="0" applyNumberFormat="1" applyFont="1" applyBorder="1" applyProtection="1">
      <alignment vertical="center"/>
    </xf>
    <xf numFmtId="166" fontId="12" fillId="0" borderId="7" xfId="0" applyNumberFormat="1" applyFont="1" applyBorder="1" applyProtection="1">
      <alignment vertical="center"/>
    </xf>
    <xf numFmtId="166" fontId="12" fillId="0" borderId="9" xfId="0" applyNumberFormat="1" applyFont="1" applyBorder="1" applyProtection="1">
      <alignment vertical="center"/>
    </xf>
    <xf numFmtId="164" fontId="5" fillId="0" borderId="11" xfId="0" applyFont="1" applyFill="1" applyBorder="1" applyAlignment="1" applyProtection="1">
      <alignment horizontal="center"/>
    </xf>
    <xf numFmtId="164" fontId="6" fillId="0" borderId="11" xfId="0" applyFont="1" applyBorder="1" applyAlignment="1" applyProtection="1">
      <alignment horizontal="left" indent="2"/>
    </xf>
    <xf numFmtId="164" fontId="5" fillId="0" borderId="1" xfId="0" applyNumberFormat="1" applyFont="1" applyBorder="1" applyProtection="1">
      <alignment vertical="center"/>
    </xf>
    <xf numFmtId="164" fontId="5" fillId="0" borderId="0" xfId="0" applyNumberFormat="1" applyFont="1" applyBorder="1" applyProtection="1">
      <alignment vertical="center"/>
    </xf>
    <xf numFmtId="164" fontId="5" fillId="0" borderId="3" xfId="0" applyNumberFormat="1" applyFont="1" applyBorder="1" applyProtection="1">
      <alignment vertical="center"/>
    </xf>
    <xf numFmtId="164" fontId="5" fillId="0" borderId="10" xfId="0" applyNumberFormat="1" applyFont="1" applyBorder="1" applyProtection="1">
      <alignment vertical="center"/>
    </xf>
    <xf numFmtId="164" fontId="5" fillId="0" borderId="2" xfId="0" applyNumberFormat="1" applyFont="1" applyBorder="1" applyProtection="1">
      <alignment vertical="center"/>
    </xf>
    <xf numFmtId="166" fontId="12" fillId="0" borderId="22" xfId="0" applyNumberFormat="1" applyFont="1" applyBorder="1" applyProtection="1">
      <alignment vertical="center"/>
    </xf>
    <xf numFmtId="166" fontId="6" fillId="0" borderId="36" xfId="0" applyNumberFormat="1" applyFont="1" applyBorder="1" applyProtection="1">
      <alignment vertical="center"/>
    </xf>
    <xf numFmtId="166" fontId="6" fillId="0" borderId="46" xfId="0" applyNumberFormat="1" applyFont="1" applyBorder="1" applyProtection="1">
      <alignment vertical="center"/>
    </xf>
    <xf numFmtId="166" fontId="6" fillId="0" borderId="2" xfId="0" applyNumberFormat="1" applyFont="1" applyBorder="1" applyProtection="1">
      <alignment vertical="center"/>
    </xf>
    <xf numFmtId="166" fontId="6" fillId="0" borderId="3" xfId="0" applyNumberFormat="1" applyFont="1" applyBorder="1" applyProtection="1">
      <alignment vertical="center"/>
    </xf>
    <xf numFmtId="166" fontId="6" fillId="0" borderId="9" xfId="0" applyNumberFormat="1" applyFont="1" applyBorder="1" applyProtection="1">
      <alignment vertical="center"/>
    </xf>
    <xf numFmtId="166" fontId="28" fillId="0" borderId="14" xfId="0" applyNumberFormat="1" applyFont="1" applyBorder="1" applyProtection="1">
      <alignment vertical="center"/>
    </xf>
    <xf numFmtId="166" fontId="28" fillId="0" borderId="39" xfId="0" applyNumberFormat="1" applyFont="1" applyBorder="1" applyProtection="1">
      <alignment vertical="center"/>
    </xf>
    <xf numFmtId="164" fontId="5" fillId="0" borderId="21" xfId="0" applyNumberFormat="1" applyFont="1" applyFill="1" applyBorder="1" applyProtection="1">
      <alignment vertical="center"/>
    </xf>
    <xf numFmtId="164" fontId="5" fillId="0" borderId="4" xfId="0" applyNumberFormat="1" applyFont="1" applyFill="1" applyBorder="1" applyProtection="1">
      <alignment vertical="center"/>
    </xf>
    <xf numFmtId="164" fontId="6" fillId="0" borderId="31" xfId="0" applyFont="1" applyBorder="1" applyAlignment="1" applyProtection="1">
      <alignment horizontal="left" indent="1"/>
    </xf>
    <xf numFmtId="166" fontId="12" fillId="0" borderId="23" xfId="0" applyNumberFormat="1" applyFont="1" applyBorder="1" applyProtection="1">
      <alignment vertical="center"/>
    </xf>
    <xf numFmtId="166" fontId="12" fillId="0" borderId="8" xfId="0" applyNumberFormat="1" applyFont="1" applyBorder="1" applyProtection="1">
      <alignment vertical="center"/>
    </xf>
    <xf numFmtId="164" fontId="5" fillId="0" borderId="11" xfId="0" applyNumberFormat="1" applyFont="1" applyFill="1" applyBorder="1" applyProtection="1">
      <alignment vertical="center"/>
    </xf>
    <xf numFmtId="166" fontId="5" fillId="0" borderId="55" xfId="0" applyNumberFormat="1" applyFont="1" applyBorder="1" applyProtection="1">
      <alignment vertical="center"/>
    </xf>
    <xf numFmtId="166" fontId="12" fillId="0" borderId="68" xfId="0" applyNumberFormat="1" applyFont="1" applyBorder="1" applyProtection="1">
      <alignment vertical="center"/>
    </xf>
    <xf numFmtId="164" fontId="5" fillId="0" borderId="42" xfId="0" applyNumberFormat="1" applyFont="1" applyFill="1" applyBorder="1" applyProtection="1">
      <alignment vertical="center"/>
    </xf>
    <xf numFmtId="164" fontId="5" fillId="0" borderId="63" xfId="0" applyFont="1" applyFill="1" applyBorder="1" applyAlignment="1" applyProtection="1">
      <alignment horizontal="center"/>
    </xf>
    <xf numFmtId="164" fontId="5" fillId="0" borderId="63" xfId="0" applyNumberFormat="1" applyFont="1" applyFill="1" applyBorder="1" applyProtection="1">
      <alignment vertical="center"/>
    </xf>
    <xf numFmtId="164" fontId="5" fillId="0" borderId="46" xfId="0" applyNumberFormat="1" applyFont="1" applyBorder="1" applyProtection="1">
      <alignment vertical="center"/>
    </xf>
    <xf numFmtId="0" fontId="8" fillId="0" borderId="14" xfId="0" applyNumberFormat="1" applyFont="1" applyBorder="1" applyAlignment="1" applyProtection="1">
      <alignment horizontal="center" vertical="center"/>
      <protection locked="0"/>
    </xf>
    <xf numFmtId="166" fontId="8" fillId="0" borderId="38" xfId="0" applyNumberFormat="1" applyFont="1" applyBorder="1" applyAlignment="1" applyProtection="1">
      <alignment vertical="center"/>
      <protection locked="0"/>
    </xf>
    <xf numFmtId="10" fontId="8" fillId="0" borderId="14" xfId="0" applyNumberFormat="1" applyFont="1" applyBorder="1" applyProtection="1">
      <alignment vertical="center"/>
      <protection locked="0"/>
    </xf>
    <xf numFmtId="3" fontId="12" fillId="0" borderId="0" xfId="0" applyNumberFormat="1" applyFont="1">
      <alignment vertical="center"/>
    </xf>
    <xf numFmtId="166" fontId="0" fillId="0" borderId="0" xfId="0" applyNumberFormat="1">
      <alignment vertical="center"/>
    </xf>
    <xf numFmtId="10" fontId="0" fillId="0" borderId="0" xfId="0" applyNumberFormat="1">
      <alignment vertical="center"/>
    </xf>
    <xf numFmtId="166" fontId="0" fillId="0" borderId="25" xfId="0" applyNumberFormat="1" applyBorder="1">
      <alignment vertical="center"/>
    </xf>
    <xf numFmtId="166" fontId="12" fillId="0" borderId="30" xfId="0" applyNumberFormat="1" applyFont="1" applyBorder="1">
      <alignment vertical="center"/>
    </xf>
    <xf numFmtId="3" fontId="0" fillId="0" borderId="25" xfId="0" applyNumberFormat="1" applyBorder="1">
      <alignment vertical="center"/>
    </xf>
    <xf numFmtId="164" fontId="0" fillId="0" borderId="1" xfId="0" applyBorder="1">
      <alignment vertical="center"/>
    </xf>
    <xf numFmtId="166" fontId="0" fillId="0" borderId="1" xfId="0" applyNumberFormat="1" applyBorder="1">
      <alignment vertical="center"/>
    </xf>
    <xf numFmtId="3" fontId="0" fillId="0" borderId="1" xfId="0" applyNumberFormat="1" applyBorder="1">
      <alignment vertical="center"/>
    </xf>
    <xf numFmtId="166" fontId="6" fillId="0" borderId="30" xfId="0" applyNumberFormat="1" applyFont="1" applyBorder="1">
      <alignment vertical="center"/>
    </xf>
    <xf numFmtId="166" fontId="6" fillId="0" borderId="24" xfId="0" applyNumberFormat="1" applyFont="1" applyBorder="1">
      <alignment vertical="center"/>
    </xf>
    <xf numFmtId="164" fontId="0" fillId="0" borderId="25" xfId="0" applyBorder="1">
      <alignment vertical="center"/>
    </xf>
    <xf numFmtId="164" fontId="5" fillId="0" borderId="14" xfId="0" applyFont="1" applyFill="1" applyBorder="1" applyAlignment="1">
      <alignment horizontal="center"/>
    </xf>
    <xf numFmtId="164" fontId="12" fillId="0" borderId="4" xfId="0" applyNumberFormat="1" applyFont="1" applyBorder="1" applyAlignment="1">
      <alignment horizontal="center"/>
    </xf>
    <xf numFmtId="164" fontId="12" fillId="0" borderId="4" xfId="0" applyNumberFormat="1" applyFont="1" applyBorder="1" applyAlignment="1">
      <alignment horizontal="center" wrapText="1"/>
    </xf>
    <xf numFmtId="166" fontId="16" fillId="0" borderId="14" xfId="0" applyNumberFormat="1" applyFont="1" applyBorder="1" applyAlignment="1">
      <alignment horizontal="right" vertical="center"/>
    </xf>
    <xf numFmtId="4" fontId="16" fillId="0" borderId="14" xfId="0" applyNumberFormat="1" applyFont="1" applyBorder="1" applyAlignment="1">
      <alignment horizontal="right" vertical="center"/>
    </xf>
    <xf numFmtId="9" fontId="16" fillId="0" borderId="14" xfId="0" applyNumberFormat="1" applyFont="1" applyBorder="1" applyAlignment="1">
      <alignment horizontal="right" vertical="center"/>
    </xf>
    <xf numFmtId="166" fontId="5" fillId="0" borderId="14" xfId="0" applyNumberFormat="1" applyFont="1" applyFill="1" applyBorder="1" applyAlignment="1">
      <alignment horizontal="right"/>
    </xf>
    <xf numFmtId="4" fontId="5" fillId="0" borderId="14" xfId="0" applyNumberFormat="1" applyFont="1" applyFill="1" applyBorder="1" applyAlignment="1">
      <alignment horizontal="right"/>
    </xf>
    <xf numFmtId="9" fontId="5" fillId="0" borderId="14" xfId="0" applyNumberFormat="1" applyFont="1" applyFill="1" applyBorder="1" applyAlignment="1">
      <alignment horizontal="right"/>
    </xf>
    <xf numFmtId="166" fontId="5" fillId="0" borderId="4" xfId="0" applyNumberFormat="1" applyFont="1" applyBorder="1" applyAlignment="1">
      <alignment horizontal="right" vertical="center"/>
    </xf>
    <xf numFmtId="4" fontId="5" fillId="0" borderId="4" xfId="0" applyNumberFormat="1" applyFont="1" applyBorder="1" applyAlignment="1">
      <alignment horizontal="right" vertical="center"/>
    </xf>
    <xf numFmtId="164" fontId="1" fillId="0" borderId="0" xfId="0" applyFont="1" applyBorder="1" applyProtection="1">
      <alignment vertical="center"/>
    </xf>
    <xf numFmtId="164" fontId="1" fillId="0" borderId="1" xfId="0" applyFont="1" applyFill="1" applyBorder="1" applyProtection="1">
      <alignment vertical="center"/>
    </xf>
    <xf numFmtId="49" fontId="9" fillId="2" borderId="0" xfId="0" applyNumberFormat="1" applyFont="1" applyFill="1" applyBorder="1" applyAlignment="1" applyProtection="1">
      <alignment horizontal="left" vertical="center" indent="1"/>
    </xf>
    <xf numFmtId="164" fontId="12" fillId="3" borderId="8" xfId="0" applyFont="1" applyFill="1" applyBorder="1" applyAlignment="1" applyProtection="1">
      <alignment horizontal="center" vertical="center"/>
    </xf>
    <xf numFmtId="164" fontId="12" fillId="3" borderId="8" xfId="0" applyFont="1" applyFill="1" applyBorder="1" applyAlignment="1" applyProtection="1">
      <alignment horizontal="center" vertical="center" wrapText="1"/>
    </xf>
    <xf numFmtId="164" fontId="12" fillId="3" borderId="1" xfId="0" applyFont="1" applyFill="1" applyBorder="1" applyAlignment="1" applyProtection="1">
      <alignment horizontal="center" vertical="center" wrapText="1"/>
    </xf>
    <xf numFmtId="164" fontId="12" fillId="0" borderId="11" xfId="0" applyFont="1" applyFill="1" applyBorder="1" applyAlignment="1" applyProtection="1">
      <alignment horizontal="center" vertical="center"/>
    </xf>
    <xf numFmtId="164" fontId="12" fillId="0" borderId="11" xfId="0" applyFont="1" applyFill="1" applyBorder="1" applyAlignment="1" applyProtection="1">
      <alignment horizontal="center" vertical="center" wrapText="1"/>
    </xf>
    <xf numFmtId="164" fontId="12" fillId="0" borderId="1" xfId="0" applyFont="1" applyFill="1" applyBorder="1" applyAlignment="1" applyProtection="1">
      <alignment horizontal="center" vertical="center" wrapText="1"/>
    </xf>
    <xf numFmtId="164" fontId="12" fillId="0" borderId="0" xfId="0" applyFont="1" applyFill="1" applyBorder="1" applyAlignment="1" applyProtection="1">
      <alignment horizontal="center" vertical="center" wrapText="1"/>
    </xf>
    <xf numFmtId="164" fontId="12" fillId="0" borderId="15" xfId="0" applyFont="1" applyFill="1" applyBorder="1" applyAlignment="1" applyProtection="1">
      <alignment horizontal="center" wrapText="1"/>
    </xf>
    <xf numFmtId="164" fontId="0" fillId="0" borderId="0" xfId="0" applyFill="1" applyProtection="1">
      <alignment vertical="center"/>
    </xf>
    <xf numFmtId="164" fontId="13" fillId="0" borderId="29" xfId="0" applyFont="1" applyBorder="1" applyAlignment="1" applyProtection="1">
      <alignment horizontal="left" vertical="center" indent="2"/>
    </xf>
    <xf numFmtId="1" fontId="8" fillId="0" borderId="14" xfId="0" applyNumberFormat="1" applyFont="1" applyBorder="1" applyProtection="1">
      <alignment vertical="center"/>
    </xf>
    <xf numFmtId="166" fontId="17" fillId="0" borderId="51" xfId="0" applyNumberFormat="1" applyFont="1" applyBorder="1" applyAlignment="1" applyProtection="1">
      <alignment vertical="center"/>
    </xf>
    <xf numFmtId="0" fontId="8" fillId="0" borderId="45" xfId="0" applyNumberFormat="1" applyFont="1" applyBorder="1" applyAlignment="1" applyProtection="1">
      <alignment horizontal="center" vertical="center"/>
    </xf>
    <xf numFmtId="1" fontId="8" fillId="0" borderId="12" xfId="0" applyNumberFormat="1" applyFont="1" applyBorder="1" applyProtection="1">
      <alignment vertical="center"/>
    </xf>
    <xf numFmtId="3" fontId="24" fillId="0" borderId="12" xfId="0" applyNumberFormat="1" applyFont="1" applyBorder="1" applyAlignment="1" applyProtection="1">
      <alignment vertical="center" wrapText="1"/>
    </xf>
    <xf numFmtId="3" fontId="24" fillId="0" borderId="11" xfId="0" applyNumberFormat="1" applyFont="1" applyBorder="1" applyAlignment="1" applyProtection="1">
      <alignment vertical="center" wrapText="1"/>
    </xf>
    <xf numFmtId="3" fontId="8" fillId="0" borderId="14" xfId="0" applyNumberFormat="1" applyFont="1" applyBorder="1" applyProtection="1">
      <alignment vertical="center"/>
    </xf>
    <xf numFmtId="166" fontId="8" fillId="0" borderId="4" xfId="0" applyNumberFormat="1" applyFont="1" applyBorder="1" applyProtection="1">
      <alignment vertical="center"/>
    </xf>
    <xf numFmtId="166" fontId="12" fillId="0" borderId="48" xfId="0" applyNumberFormat="1" applyFont="1" applyBorder="1" applyProtection="1">
      <alignment vertical="center"/>
    </xf>
    <xf numFmtId="166" fontId="5" fillId="0" borderId="69" xfId="0" applyNumberFormat="1" applyFont="1" applyBorder="1" applyProtection="1">
      <alignment vertical="center"/>
    </xf>
    <xf numFmtId="166" fontId="5" fillId="0" borderId="53" xfId="0" applyNumberFormat="1" applyFont="1" applyBorder="1" applyProtection="1">
      <alignment vertical="center"/>
    </xf>
    <xf numFmtId="164" fontId="0" fillId="0" borderId="0" xfId="0" applyBorder="1" applyProtection="1">
      <alignment vertical="center"/>
    </xf>
    <xf numFmtId="164" fontId="0" fillId="0" borderId="31" xfId="0" applyBorder="1" applyProtection="1">
      <alignment vertical="center"/>
    </xf>
    <xf numFmtId="164" fontId="0" fillId="0" borderId="48" xfId="0" applyBorder="1" applyProtection="1">
      <alignment vertical="center"/>
    </xf>
    <xf numFmtId="166" fontId="5" fillId="0" borderId="11" xfId="0" applyNumberFormat="1" applyFont="1" applyBorder="1" applyProtection="1">
      <alignment vertical="center"/>
    </xf>
    <xf numFmtId="166" fontId="5" fillId="0" borderId="1" xfId="0" applyNumberFormat="1" applyFont="1" applyBorder="1" applyProtection="1">
      <alignment vertical="center"/>
    </xf>
    <xf numFmtId="164" fontId="12" fillId="0" borderId="19" xfId="0" applyFont="1" applyBorder="1" applyAlignment="1" applyProtection="1">
      <alignment horizontal="left" indent="1"/>
    </xf>
    <xf numFmtId="166" fontId="8" fillId="0" borderId="34" xfId="0" applyNumberFormat="1" applyFont="1" applyBorder="1" applyProtection="1">
      <alignment vertical="center"/>
    </xf>
    <xf numFmtId="13" fontId="16" fillId="0" borderId="14" xfId="0" applyNumberFormat="1" applyFont="1" applyBorder="1" applyAlignment="1" applyProtection="1">
      <alignment horizontal="center" vertical="center"/>
    </xf>
    <xf numFmtId="13" fontId="8" fillId="0" borderId="14" xfId="0" applyNumberFormat="1" applyFont="1" applyBorder="1" applyAlignment="1" applyProtection="1">
      <alignment horizontal="center" vertical="center"/>
    </xf>
    <xf numFmtId="164" fontId="0" fillId="0" borderId="5" xfId="0" applyBorder="1" applyProtection="1">
      <alignment vertical="center"/>
    </xf>
    <xf numFmtId="164" fontId="0" fillId="0" borderId="43" xfId="0" applyBorder="1" applyProtection="1">
      <alignment vertical="center"/>
    </xf>
    <xf numFmtId="164" fontId="6" fillId="0" borderId="19" xfId="0" applyFont="1" applyBorder="1" applyAlignment="1" applyProtection="1">
      <alignment horizontal="left" indent="1"/>
    </xf>
    <xf numFmtId="166" fontId="5" fillId="0" borderId="4" xfId="0" applyNumberFormat="1" applyFont="1" applyBorder="1" applyProtection="1">
      <alignment vertical="center"/>
    </xf>
    <xf numFmtId="166" fontId="5" fillId="0" borderId="34" xfId="0" applyNumberFormat="1" applyFont="1" applyBorder="1" applyProtection="1">
      <alignment vertical="center"/>
    </xf>
    <xf numFmtId="164" fontId="2" fillId="2" borderId="1" xfId="0" applyFont="1" applyFill="1" applyBorder="1" applyAlignment="1" applyProtection="1">
      <alignment horizontal="center" vertical="center"/>
    </xf>
    <xf numFmtId="164" fontId="1" fillId="0" borderId="0" xfId="0" applyFont="1" applyFill="1" applyBorder="1" applyProtection="1">
      <alignment vertical="center"/>
    </xf>
    <xf numFmtId="164" fontId="5" fillId="0" borderId="0" xfId="0" applyFont="1" applyFill="1" applyBorder="1" applyAlignment="1" applyProtection="1">
      <alignment horizontal="left" vertical="center" indent="1"/>
    </xf>
    <xf numFmtId="164" fontId="6" fillId="0" borderId="0" xfId="0" applyFont="1" applyBorder="1" applyAlignment="1" applyProtection="1">
      <alignment horizontal="left" vertical="center" indent="1"/>
    </xf>
    <xf numFmtId="164" fontId="5" fillId="0" borderId="12" xfId="0" applyFont="1" applyBorder="1" applyAlignment="1" applyProtection="1">
      <alignment horizontal="left" vertical="center" indent="2"/>
    </xf>
    <xf numFmtId="164" fontId="11" fillId="0" borderId="12" xfId="0" applyFont="1" applyBorder="1" applyAlignment="1" applyProtection="1">
      <alignment horizontal="left" vertical="center" wrapText="1" indent="2"/>
    </xf>
    <xf numFmtId="164" fontId="5" fillId="0" borderId="11" xfId="0" applyFont="1" applyBorder="1" applyAlignment="1" applyProtection="1">
      <alignment horizontal="left" vertical="center" wrapText="1" indent="2"/>
    </xf>
    <xf numFmtId="164" fontId="5" fillId="0" borderId="12" xfId="0" applyFont="1" applyBorder="1" applyAlignment="1" applyProtection="1">
      <alignment horizontal="left" vertical="center" wrapText="1" indent="2"/>
    </xf>
    <xf numFmtId="164" fontId="5" fillId="0" borderId="19" xfId="0" applyFont="1" applyBorder="1" applyAlignment="1" applyProtection="1">
      <alignment horizontal="left" vertical="center" wrapText="1" indent="2"/>
    </xf>
    <xf numFmtId="164" fontId="6" fillId="0" borderId="11" xfId="0" applyFont="1" applyBorder="1" applyAlignment="1" applyProtection="1">
      <alignment horizontal="left" vertical="center" indent="1"/>
    </xf>
    <xf numFmtId="10" fontId="4" fillId="4" borderId="1" xfId="0" applyNumberFormat="1" applyFont="1" applyFill="1" applyBorder="1" applyAlignment="1" applyProtection="1">
      <alignment vertical="center"/>
    </xf>
    <xf numFmtId="164" fontId="5" fillId="0" borderId="14" xfId="0" applyFont="1" applyBorder="1" applyAlignment="1" applyProtection="1">
      <alignment horizontal="left" indent="2"/>
    </xf>
    <xf numFmtId="1" fontId="5" fillId="0" borderId="26" xfId="0" applyNumberFormat="1" applyFont="1" applyBorder="1" applyProtection="1">
      <alignment vertical="center"/>
    </xf>
    <xf numFmtId="1" fontId="5" fillId="0" borderId="64" xfId="0" applyNumberFormat="1" applyFont="1" applyBorder="1" applyProtection="1">
      <alignment vertical="center"/>
    </xf>
    <xf numFmtId="164" fontId="5" fillId="0" borderId="4" xfId="0" applyFont="1" applyBorder="1" applyAlignment="1" applyProtection="1">
      <alignment horizontal="left" indent="2"/>
    </xf>
    <xf numFmtId="166" fontId="5" fillId="0" borderId="13" xfId="0" applyNumberFormat="1" applyFont="1" applyBorder="1" applyProtection="1">
      <alignment vertical="center"/>
    </xf>
    <xf numFmtId="166" fontId="5" fillId="0" borderId="70" xfId="0" applyNumberFormat="1" applyFont="1" applyBorder="1" applyProtection="1">
      <alignment vertical="center"/>
    </xf>
    <xf numFmtId="164" fontId="5" fillId="0" borderId="5" xfId="0" applyFont="1" applyBorder="1" applyAlignment="1" applyProtection="1">
      <alignment horizontal="left" indent="2"/>
    </xf>
    <xf numFmtId="166" fontId="5" fillId="0" borderId="35" xfId="0" applyNumberFormat="1" applyFont="1" applyBorder="1" applyProtection="1">
      <alignment vertical="center"/>
    </xf>
    <xf numFmtId="166" fontId="5" fillId="0" borderId="5" xfId="0" applyNumberFormat="1" applyFont="1" applyBorder="1" applyProtection="1">
      <alignment vertical="center"/>
    </xf>
    <xf numFmtId="166" fontId="5" fillId="0" borderId="43" xfId="0" applyNumberFormat="1" applyFont="1" applyBorder="1" applyProtection="1">
      <alignment vertical="center"/>
    </xf>
    <xf numFmtId="166" fontId="5" fillId="0" borderId="45" xfId="0" applyNumberFormat="1" applyFont="1" applyBorder="1" applyProtection="1">
      <alignment vertical="center"/>
    </xf>
    <xf numFmtId="166" fontId="5" fillId="0" borderId="71" xfId="0" applyNumberFormat="1" applyFont="1" applyBorder="1" applyProtection="1">
      <alignment vertical="center"/>
    </xf>
    <xf numFmtId="164" fontId="5" fillId="0" borderId="14" xfId="0" applyFont="1" applyBorder="1" applyAlignment="1" applyProtection="1">
      <alignment horizontal="left" indent="3"/>
    </xf>
    <xf numFmtId="166" fontId="5" fillId="0" borderId="24" xfId="0" applyNumberFormat="1" applyFont="1" applyBorder="1" applyProtection="1">
      <alignment vertical="center"/>
    </xf>
    <xf numFmtId="166" fontId="5" fillId="0" borderId="64" xfId="0" applyNumberFormat="1" applyFont="1" applyBorder="1" applyProtection="1">
      <alignment vertical="center"/>
    </xf>
    <xf numFmtId="164" fontId="6" fillId="0" borderId="8" xfId="0" applyFont="1" applyBorder="1" applyAlignment="1" applyProtection="1">
      <alignment horizontal="left" indent="2"/>
    </xf>
    <xf numFmtId="166" fontId="12" fillId="0" borderId="32" xfId="0" applyNumberFormat="1" applyFont="1" applyBorder="1" applyProtection="1">
      <alignment vertical="center"/>
    </xf>
    <xf numFmtId="166" fontId="5" fillId="0" borderId="7" xfId="0" applyNumberFormat="1" applyFont="1" applyBorder="1" applyProtection="1">
      <alignment vertical="center"/>
    </xf>
    <xf numFmtId="166" fontId="5" fillId="0" borderId="32" xfId="0" applyNumberFormat="1" applyFont="1" applyBorder="1" applyProtection="1">
      <alignment vertical="center"/>
    </xf>
    <xf numFmtId="164" fontId="11" fillId="0" borderId="28" xfId="0" applyFont="1" applyBorder="1" applyAlignment="1" applyProtection="1">
      <alignment horizontal="left" indent="3"/>
    </xf>
    <xf numFmtId="166" fontId="5" fillId="0" borderId="57" xfId="0" applyNumberFormat="1" applyFont="1" applyBorder="1" applyProtection="1">
      <alignment vertical="center"/>
    </xf>
    <xf numFmtId="166" fontId="5" fillId="0" borderId="56" xfId="0" applyNumberFormat="1" applyFont="1" applyBorder="1" applyProtection="1">
      <alignment vertical="center"/>
    </xf>
    <xf numFmtId="166" fontId="5" fillId="0" borderId="72" xfId="0" applyNumberFormat="1" applyFont="1" applyBorder="1" applyProtection="1">
      <alignment vertical="center"/>
    </xf>
    <xf numFmtId="166" fontId="12" fillId="0" borderId="59" xfId="0" applyNumberFormat="1" applyFont="1" applyBorder="1" applyProtection="1">
      <alignment vertical="center"/>
    </xf>
    <xf numFmtId="166" fontId="12" fillId="0" borderId="47" xfId="0" applyNumberFormat="1" applyFont="1" applyBorder="1" applyProtection="1">
      <alignment vertical="center"/>
    </xf>
    <xf numFmtId="166" fontId="12" fillId="0" borderId="55" xfId="0" applyNumberFormat="1" applyFont="1" applyBorder="1" applyProtection="1">
      <alignment vertical="center"/>
    </xf>
    <xf numFmtId="166" fontId="5" fillId="0" borderId="73" xfId="0" applyNumberFormat="1" applyFont="1" applyBorder="1" applyProtection="1">
      <alignment vertical="center"/>
    </xf>
    <xf numFmtId="166" fontId="5" fillId="0" borderId="40" xfId="0" applyNumberFormat="1" applyFont="1" applyBorder="1" applyProtection="1">
      <alignment vertical="center"/>
    </xf>
    <xf numFmtId="166" fontId="5" fillId="0" borderId="22" xfId="0" applyNumberFormat="1" applyFont="1" applyBorder="1" applyProtection="1">
      <alignment vertical="center"/>
    </xf>
    <xf numFmtId="166" fontId="5" fillId="0" borderId="74" xfId="0" applyNumberFormat="1" applyFont="1" applyBorder="1" applyProtection="1">
      <alignment vertical="center"/>
    </xf>
    <xf numFmtId="164" fontId="6" fillId="0" borderId="15" xfId="0" applyFont="1" applyBorder="1" applyAlignment="1" applyProtection="1">
      <alignment horizontal="left" indent="2"/>
    </xf>
    <xf numFmtId="164" fontId="5" fillId="0" borderId="37" xfId="0" applyNumberFormat="1" applyFont="1" applyBorder="1" applyProtection="1">
      <alignment vertical="center"/>
    </xf>
    <xf numFmtId="164" fontId="5" fillId="0" borderId="75" xfId="0" applyNumberFormat="1" applyFont="1" applyBorder="1" applyProtection="1">
      <alignment vertical="center"/>
    </xf>
    <xf numFmtId="164" fontId="5" fillId="0" borderId="17" xfId="0" applyNumberFormat="1" applyFont="1" applyBorder="1" applyProtection="1">
      <alignment vertical="center"/>
    </xf>
    <xf numFmtId="164" fontId="5" fillId="0" borderId="18" xfId="0" applyNumberFormat="1" applyFont="1" applyBorder="1" applyProtection="1">
      <alignment vertical="center"/>
    </xf>
    <xf numFmtId="164" fontId="5" fillId="0" borderId="76" xfId="0" applyNumberFormat="1" applyFont="1" applyBorder="1" applyProtection="1">
      <alignment vertical="center"/>
    </xf>
    <xf numFmtId="164" fontId="5" fillId="0" borderId="4" xfId="0" applyNumberFormat="1" applyFont="1" applyBorder="1" applyProtection="1">
      <alignment vertical="center"/>
    </xf>
    <xf numFmtId="164" fontId="5" fillId="0" borderId="19" xfId="0" applyNumberFormat="1" applyFont="1" applyBorder="1" applyProtection="1">
      <alignment vertical="center"/>
    </xf>
    <xf numFmtId="164" fontId="5" fillId="0" borderId="20" xfId="0" applyNumberFormat="1" applyFont="1" applyBorder="1" applyProtection="1">
      <alignment vertical="center"/>
    </xf>
    <xf numFmtId="164" fontId="5" fillId="0" borderId="21" xfId="0" applyNumberFormat="1" applyFont="1" applyBorder="1" applyProtection="1">
      <alignment vertical="center"/>
    </xf>
    <xf numFmtId="164" fontId="5" fillId="0" borderId="62" xfId="0" applyNumberFormat="1" applyFont="1" applyBorder="1" applyProtection="1">
      <alignment vertical="center"/>
    </xf>
    <xf numFmtId="164" fontId="5" fillId="0" borderId="42" xfId="0" applyNumberFormat="1" applyFont="1" applyBorder="1" applyProtection="1">
      <alignment vertical="center"/>
    </xf>
    <xf numFmtId="1" fontId="5" fillId="0" borderId="24" xfId="0" applyNumberFormat="1" applyFont="1" applyBorder="1" applyProtection="1">
      <alignment vertical="center"/>
    </xf>
    <xf numFmtId="1" fontId="5" fillId="0" borderId="40" xfId="0" applyNumberFormat="1" applyFont="1" applyBorder="1" applyProtection="1">
      <alignment vertical="center"/>
    </xf>
    <xf numFmtId="164" fontId="5" fillId="0" borderId="5" xfId="0" applyFont="1" applyBorder="1" applyAlignment="1" applyProtection="1">
      <alignment horizontal="left" indent="3"/>
    </xf>
    <xf numFmtId="166" fontId="5" fillId="0" borderId="14" xfId="0" applyNumberFormat="1" applyFont="1" applyBorder="1" applyProtection="1">
      <alignment vertical="center"/>
    </xf>
    <xf numFmtId="164" fontId="12" fillId="0" borderId="5" xfId="0" applyFont="1" applyBorder="1" applyAlignment="1" applyProtection="1">
      <alignment horizontal="left" indent="2"/>
    </xf>
    <xf numFmtId="166" fontId="12" fillId="0" borderId="3" xfId="0" applyNumberFormat="1" applyFont="1" applyBorder="1" applyProtection="1">
      <alignment vertical="center"/>
    </xf>
    <xf numFmtId="164" fontId="11" fillId="0" borderId="31" xfId="0" applyFont="1" applyBorder="1" applyAlignment="1" applyProtection="1">
      <alignment horizontal="left" indent="3"/>
    </xf>
    <xf numFmtId="166" fontId="5" fillId="0" borderId="46" xfId="0" applyNumberFormat="1" applyFont="1" applyBorder="1" applyProtection="1">
      <alignment vertical="center"/>
    </xf>
    <xf numFmtId="164" fontId="6" fillId="0" borderId="31" xfId="0" applyFont="1" applyBorder="1" applyAlignment="1" applyProtection="1">
      <alignment horizontal="left" indent="2"/>
    </xf>
    <xf numFmtId="166" fontId="6" fillId="0" borderId="48" xfId="0" applyNumberFormat="1" applyFont="1" applyBorder="1" applyProtection="1">
      <alignment vertical="center"/>
    </xf>
    <xf numFmtId="9" fontId="8" fillId="4" borderId="24" xfId="0" applyNumberFormat="1" applyFont="1" applyFill="1" applyBorder="1" applyAlignment="1" applyProtection="1">
      <protection locked="0"/>
    </xf>
    <xf numFmtId="166" fontId="16" fillId="0" borderId="34" xfId="0" applyNumberFormat="1" applyFont="1" applyBorder="1" applyProtection="1">
      <alignment vertical="center"/>
    </xf>
    <xf numFmtId="166" fontId="16" fillId="0" borderId="20" xfId="0" applyNumberFormat="1" applyFont="1" applyBorder="1" applyProtection="1">
      <alignment vertical="center"/>
    </xf>
    <xf numFmtId="166" fontId="16" fillId="0" borderId="0" xfId="0" applyNumberFormat="1" applyFont="1" applyBorder="1" applyProtection="1">
      <alignment vertical="center"/>
    </xf>
    <xf numFmtId="166" fontId="16" fillId="0" borderId="21" xfId="0" applyNumberFormat="1" applyFont="1" applyBorder="1" applyProtection="1">
      <alignment vertical="center"/>
    </xf>
    <xf numFmtId="166" fontId="16" fillId="0" borderId="27" xfId="0" applyNumberFormat="1" applyFont="1" applyBorder="1" applyProtection="1">
      <alignment vertical="center"/>
    </xf>
    <xf numFmtId="166" fontId="16" fillId="0" borderId="14" xfId="0" applyNumberFormat="1" applyFont="1" applyBorder="1" applyProtection="1">
      <alignment vertical="center"/>
    </xf>
    <xf numFmtId="166" fontId="16" fillId="0" borderId="42" xfId="0" applyNumberFormat="1" applyFont="1" applyBorder="1" applyProtection="1">
      <alignment vertical="center"/>
    </xf>
    <xf numFmtId="166" fontId="10" fillId="0" borderId="20" xfId="0" applyNumberFormat="1" applyFont="1" applyBorder="1" applyProtection="1">
      <alignment vertical="center"/>
    </xf>
    <xf numFmtId="166" fontId="10" fillId="0" borderId="0" xfId="0" applyNumberFormat="1" applyFont="1" applyBorder="1" applyProtection="1">
      <alignment vertical="center"/>
    </xf>
    <xf numFmtId="166" fontId="10" fillId="0" borderId="3" xfId="0" applyNumberFormat="1" applyFont="1" applyBorder="1" applyProtection="1">
      <alignment vertical="center"/>
    </xf>
    <xf numFmtId="166" fontId="10" fillId="0" borderId="2" xfId="0" applyNumberFormat="1" applyFont="1" applyBorder="1" applyProtection="1">
      <alignment vertical="center"/>
    </xf>
    <xf numFmtId="164" fontId="1" fillId="0" borderId="32" xfId="0" applyFont="1" applyBorder="1" applyProtection="1">
      <alignment vertical="center"/>
    </xf>
    <xf numFmtId="164" fontId="2" fillId="0" borderId="0" xfId="0" applyFont="1" applyFill="1" applyBorder="1" applyAlignment="1" applyProtection="1">
      <alignment horizontal="center" vertical="center"/>
    </xf>
    <xf numFmtId="164" fontId="5" fillId="3" borderId="8" xfId="0" applyFont="1" applyFill="1" applyBorder="1" applyAlignment="1" applyProtection="1">
      <alignment horizontal="left" vertical="center" indent="1"/>
    </xf>
    <xf numFmtId="164" fontId="5" fillId="3" borderId="23" xfId="0" applyFont="1" applyFill="1" applyBorder="1" applyAlignment="1" applyProtection="1">
      <alignment horizontal="center"/>
    </xf>
    <xf numFmtId="164" fontId="5" fillId="3" borderId="68" xfId="0" applyFont="1" applyFill="1" applyBorder="1" applyAlignment="1" applyProtection="1">
      <alignment horizontal="center"/>
    </xf>
    <xf numFmtId="164" fontId="5" fillId="0" borderId="11" xfId="0" applyFont="1" applyFill="1" applyBorder="1" applyAlignment="1" applyProtection="1">
      <alignment horizontal="left" vertical="center" indent="1"/>
    </xf>
    <xf numFmtId="164" fontId="15" fillId="0" borderId="1" xfId="0" applyNumberFormat="1" applyFont="1" applyBorder="1" applyAlignment="1" applyProtection="1">
      <alignment vertical="center"/>
    </xf>
    <xf numFmtId="164" fontId="6" fillId="0" borderId="1" xfId="0" applyNumberFormat="1" applyFont="1" applyBorder="1" applyAlignment="1" applyProtection="1">
      <alignment vertical="center"/>
    </xf>
    <xf numFmtId="164" fontId="6" fillId="0" borderId="63" xfId="0" applyNumberFormat="1" applyFont="1" applyBorder="1" applyAlignment="1" applyProtection="1">
      <alignment vertical="center"/>
    </xf>
    <xf numFmtId="164" fontId="6" fillId="0" borderId="2" xfId="0" applyNumberFormat="1" applyFont="1" applyBorder="1" applyAlignment="1" applyProtection="1">
      <alignment vertical="center"/>
    </xf>
    <xf numFmtId="164" fontId="6" fillId="0" borderId="10" xfId="0" applyNumberFormat="1" applyFont="1" applyBorder="1" applyAlignment="1" applyProtection="1">
      <alignment vertical="center"/>
    </xf>
    <xf numFmtId="164" fontId="6" fillId="0" borderId="3" xfId="0" applyNumberFormat="1" applyFont="1" applyBorder="1" applyAlignment="1" applyProtection="1">
      <alignment vertical="center"/>
    </xf>
    <xf numFmtId="164" fontId="10" fillId="0" borderId="0" xfId="0" applyFont="1" applyBorder="1" applyAlignment="1" applyProtection="1">
      <alignment vertical="center"/>
    </xf>
    <xf numFmtId="164" fontId="6" fillId="0" borderId="4" xfId="0" applyFont="1" applyBorder="1" applyAlignment="1" applyProtection="1">
      <alignment horizontal="left" vertical="center" indent="1"/>
    </xf>
    <xf numFmtId="164" fontId="10" fillId="0" borderId="5" xfId="0" applyFont="1" applyBorder="1" applyAlignment="1" applyProtection="1">
      <alignment horizontal="left" vertical="center" indent="2"/>
    </xf>
    <xf numFmtId="166" fontId="10" fillId="0" borderId="35" xfId="0" applyNumberFormat="1" applyFont="1" applyBorder="1" applyAlignment="1" applyProtection="1">
      <alignment vertical="center"/>
    </xf>
    <xf numFmtId="166" fontId="10" fillId="0" borderId="71" xfId="0" applyNumberFormat="1" applyFont="1" applyBorder="1" applyAlignment="1" applyProtection="1">
      <alignment vertical="center"/>
    </xf>
    <xf numFmtId="166" fontId="10" fillId="0" borderId="77" xfId="0" applyNumberFormat="1" applyFont="1" applyBorder="1" applyAlignment="1" applyProtection="1">
      <alignment vertical="center"/>
    </xf>
    <xf numFmtId="166" fontId="10" fillId="0" borderId="2" xfId="0" applyNumberFormat="1" applyFont="1" applyBorder="1" applyAlignment="1" applyProtection="1">
      <alignment vertical="center"/>
    </xf>
    <xf numFmtId="166" fontId="10" fillId="0" borderId="1" xfId="0" applyNumberFormat="1" applyFont="1" applyBorder="1" applyAlignment="1" applyProtection="1">
      <alignment vertical="center"/>
    </xf>
    <xf numFmtId="166" fontId="10" fillId="0" borderId="45" xfId="0" applyNumberFormat="1" applyFont="1" applyBorder="1" applyAlignment="1" applyProtection="1">
      <alignment vertical="center"/>
    </xf>
    <xf numFmtId="166" fontId="10" fillId="0" borderId="44" xfId="0" applyNumberFormat="1" applyFont="1" applyBorder="1" applyAlignment="1" applyProtection="1">
      <alignment vertical="center"/>
    </xf>
    <xf numFmtId="166" fontId="10" fillId="0" borderId="0" xfId="0" applyNumberFormat="1" applyFont="1" applyBorder="1" applyAlignment="1" applyProtection="1">
      <alignment vertical="center"/>
    </xf>
    <xf numFmtId="164" fontId="10" fillId="0" borderId="1" xfId="0" applyFont="1" applyBorder="1" applyAlignment="1" applyProtection="1">
      <alignment vertical="center"/>
    </xf>
    <xf numFmtId="164" fontId="10" fillId="0" borderId="14" xfId="0" applyFont="1" applyBorder="1" applyAlignment="1" applyProtection="1">
      <alignment horizontal="left" vertical="center" indent="2"/>
    </xf>
    <xf numFmtId="166" fontId="10" fillId="0" borderId="14" xfId="0" applyNumberFormat="1" applyFont="1" applyBorder="1" applyAlignment="1" applyProtection="1">
      <alignment vertical="center"/>
    </xf>
    <xf numFmtId="166" fontId="10" fillId="0" borderId="40" xfId="0" applyNumberFormat="1" applyFont="1" applyBorder="1" applyAlignment="1" applyProtection="1">
      <alignment vertical="center"/>
    </xf>
    <xf numFmtId="166" fontId="10" fillId="0" borderId="24" xfId="0" applyNumberFormat="1" applyFont="1" applyBorder="1" applyAlignment="1" applyProtection="1">
      <alignment vertical="center"/>
    </xf>
    <xf numFmtId="166" fontId="10" fillId="0" borderId="26" xfId="0" applyNumberFormat="1" applyFont="1" applyBorder="1" applyAlignment="1" applyProtection="1">
      <alignment vertical="center"/>
    </xf>
    <xf numFmtId="164" fontId="6" fillId="0" borderId="5" xfId="0" applyFont="1" applyBorder="1" applyAlignment="1" applyProtection="1">
      <alignment horizontal="left" vertical="center" indent="3"/>
    </xf>
    <xf numFmtId="166" fontId="6" fillId="0" borderId="35" xfId="0" applyNumberFormat="1" applyFont="1" applyBorder="1" applyAlignment="1" applyProtection="1">
      <alignment vertical="center"/>
    </xf>
    <xf numFmtId="166" fontId="6" fillId="0" borderId="71" xfId="0" applyNumberFormat="1" applyFont="1" applyBorder="1" applyAlignment="1" applyProtection="1">
      <alignment vertical="center"/>
    </xf>
    <xf numFmtId="166" fontId="12" fillId="0" borderId="77" xfId="0" applyNumberFormat="1" applyFont="1" applyBorder="1" applyAlignment="1" applyProtection="1">
      <alignment vertical="center"/>
    </xf>
    <xf numFmtId="166" fontId="6" fillId="0" borderId="2" xfId="0" applyNumberFormat="1" applyFont="1" applyBorder="1" applyAlignment="1" applyProtection="1">
      <alignment vertical="center"/>
    </xf>
    <xf numFmtId="166" fontId="6" fillId="0" borderId="1" xfId="0" applyNumberFormat="1" applyFont="1" applyBorder="1" applyAlignment="1" applyProtection="1">
      <alignment vertical="center"/>
    </xf>
    <xf numFmtId="166" fontId="6" fillId="0" borderId="45" xfId="0" applyNumberFormat="1" applyFont="1" applyBorder="1" applyAlignment="1" applyProtection="1">
      <alignment vertical="center"/>
    </xf>
    <xf numFmtId="166" fontId="6" fillId="0" borderId="77" xfId="0" applyNumberFormat="1" applyFont="1" applyBorder="1" applyAlignment="1" applyProtection="1">
      <alignment vertical="center"/>
    </xf>
    <xf numFmtId="166" fontId="12" fillId="0" borderId="44" xfId="0" applyNumberFormat="1" applyFont="1" applyBorder="1" applyAlignment="1" applyProtection="1">
      <alignment vertical="center"/>
    </xf>
    <xf numFmtId="166" fontId="6" fillId="0" borderId="44" xfId="0" applyNumberFormat="1" applyFont="1" applyBorder="1" applyAlignment="1" applyProtection="1">
      <alignment vertical="center"/>
    </xf>
    <xf numFmtId="164" fontId="6" fillId="0" borderId="14" xfId="0" applyFont="1" applyBorder="1" applyAlignment="1" applyProtection="1">
      <alignment horizontal="left" vertical="center" indent="1"/>
    </xf>
    <xf numFmtId="166" fontId="6" fillId="0" borderId="24" xfId="0" applyNumberFormat="1" applyFont="1" applyBorder="1" applyAlignment="1" applyProtection="1">
      <alignment vertical="center"/>
    </xf>
    <xf numFmtId="166" fontId="6" fillId="0" borderId="40" xfId="0" applyNumberFormat="1" applyFont="1" applyBorder="1" applyAlignment="1" applyProtection="1">
      <alignment vertical="center"/>
    </xf>
    <xf numFmtId="166" fontId="6" fillId="0" borderId="64" xfId="0" applyNumberFormat="1" applyFont="1" applyBorder="1" applyAlignment="1" applyProtection="1">
      <alignment vertical="center"/>
    </xf>
    <xf numFmtId="166" fontId="6" fillId="0" borderId="27" xfId="0" applyNumberFormat="1" applyFont="1" applyBorder="1" applyAlignment="1" applyProtection="1">
      <alignment vertical="center"/>
    </xf>
    <xf numFmtId="166" fontId="6" fillId="0" borderId="26" xfId="0" applyNumberFormat="1" applyFont="1" applyBorder="1" applyAlignment="1" applyProtection="1">
      <alignment vertical="center"/>
    </xf>
    <xf numFmtId="164" fontId="10" fillId="0" borderId="0" xfId="0" applyFont="1" applyBorder="1" applyProtection="1">
      <alignment vertical="center"/>
    </xf>
    <xf numFmtId="164" fontId="10" fillId="0" borderId="4" xfId="0" applyFont="1" applyBorder="1" applyAlignment="1" applyProtection="1">
      <alignment horizontal="left" vertical="center" indent="2"/>
    </xf>
    <xf numFmtId="166" fontId="8" fillId="0" borderId="2" xfId="0" applyNumberFormat="1" applyFont="1" applyBorder="1" applyProtection="1">
      <alignment vertical="center"/>
    </xf>
    <xf numFmtId="166" fontId="8" fillId="0" borderId="1" xfId="0" applyNumberFormat="1" applyFont="1" applyBorder="1" applyProtection="1">
      <alignment vertical="center"/>
    </xf>
    <xf numFmtId="164" fontId="10" fillId="0" borderId="0" xfId="0" applyFont="1" applyProtection="1">
      <alignment vertical="center"/>
    </xf>
    <xf numFmtId="164" fontId="6" fillId="0" borderId="4" xfId="0" applyFont="1" applyBorder="1" applyAlignment="1" applyProtection="1">
      <alignment horizontal="left" vertical="center" indent="3"/>
    </xf>
    <xf numFmtId="166" fontId="10" fillId="0" borderId="34" xfId="0" applyNumberFormat="1" applyFont="1" applyBorder="1" applyProtection="1">
      <alignment vertical="center"/>
    </xf>
    <xf numFmtId="166" fontId="10" fillId="0" borderId="40" xfId="0" applyNumberFormat="1" applyFont="1" applyBorder="1" applyProtection="1">
      <alignment vertical="center"/>
    </xf>
    <xf numFmtId="166" fontId="10" fillId="0" borderId="1" xfId="0" applyNumberFormat="1" applyFont="1" applyBorder="1" applyProtection="1">
      <alignment vertical="center"/>
    </xf>
    <xf numFmtId="166" fontId="10" fillId="0" borderId="21" xfId="0" applyNumberFormat="1" applyFont="1" applyBorder="1" applyProtection="1">
      <alignment vertical="center"/>
    </xf>
    <xf numFmtId="166" fontId="10" fillId="0" borderId="42" xfId="0" applyNumberFormat="1" applyFont="1" applyBorder="1" applyProtection="1">
      <alignment vertical="center"/>
    </xf>
    <xf numFmtId="164" fontId="10" fillId="0" borderId="11" xfId="0" applyFont="1" applyBorder="1" applyAlignment="1" applyProtection="1">
      <alignment horizontal="left" vertical="center" indent="2"/>
    </xf>
    <xf numFmtId="164" fontId="6" fillId="0" borderId="31" xfId="0" applyFont="1" applyBorder="1" applyAlignment="1" applyProtection="1">
      <alignment horizontal="left" vertical="center" indent="3"/>
    </xf>
    <xf numFmtId="166" fontId="10" fillId="0" borderId="36" xfId="0" applyNumberFormat="1" applyFont="1" applyBorder="1" applyProtection="1">
      <alignment vertical="center"/>
    </xf>
    <xf numFmtId="166" fontId="10" fillId="0" borderId="48" xfId="0" applyNumberFormat="1" applyFont="1" applyBorder="1" applyProtection="1">
      <alignment vertical="center"/>
    </xf>
    <xf numFmtId="166" fontId="10" fillId="0" borderId="49" xfId="0" applyNumberFormat="1" applyFont="1" applyBorder="1" applyProtection="1">
      <alignment vertical="center"/>
    </xf>
    <xf numFmtId="166" fontId="10" fillId="0" borderId="52" xfId="0" applyNumberFormat="1" applyFont="1" applyBorder="1" applyProtection="1">
      <alignment vertical="center"/>
    </xf>
    <xf numFmtId="166" fontId="10" fillId="0" borderId="46" xfId="0" applyNumberFormat="1" applyFont="1" applyBorder="1" applyProtection="1">
      <alignment vertical="center"/>
    </xf>
    <xf numFmtId="166" fontId="10" fillId="0" borderId="63" xfId="0" applyNumberFormat="1" applyFont="1" applyBorder="1" applyProtection="1">
      <alignment vertical="center"/>
    </xf>
    <xf numFmtId="166" fontId="10" fillId="0" borderId="10" xfId="0" applyNumberFormat="1" applyFont="1" applyBorder="1" applyProtection="1">
      <alignment vertical="center"/>
    </xf>
    <xf numFmtId="166" fontId="10" fillId="0" borderId="62" xfId="0" applyNumberFormat="1" applyFont="1" applyBorder="1" applyProtection="1">
      <alignment vertical="center"/>
    </xf>
    <xf numFmtId="166" fontId="10" fillId="0" borderId="27" xfId="0" applyNumberFormat="1" applyFont="1" applyBorder="1" applyProtection="1">
      <alignment vertical="center"/>
    </xf>
    <xf numFmtId="166" fontId="10" fillId="0" borderId="24" xfId="0" applyNumberFormat="1" applyFont="1" applyBorder="1" applyProtection="1">
      <alignment vertical="center"/>
    </xf>
    <xf numFmtId="166" fontId="16" fillId="0" borderId="62" xfId="0" applyNumberFormat="1" applyFont="1" applyBorder="1" applyProtection="1">
      <alignment vertical="center"/>
    </xf>
    <xf numFmtId="166" fontId="0" fillId="0" borderId="14" xfId="0" applyNumberFormat="1" applyBorder="1" applyProtection="1">
      <alignment vertical="center"/>
    </xf>
    <xf numFmtId="166" fontId="0" fillId="0" borderId="40" xfId="0" applyNumberFormat="1" applyBorder="1" applyProtection="1">
      <alignment vertical="center"/>
    </xf>
    <xf numFmtId="166" fontId="0" fillId="0" borderId="27" xfId="0" applyNumberFormat="1" applyBorder="1" applyProtection="1">
      <alignment vertical="center"/>
    </xf>
    <xf numFmtId="166" fontId="0" fillId="0" borderId="24" xfId="0" applyNumberFormat="1" applyBorder="1" applyProtection="1">
      <alignment vertical="center"/>
    </xf>
    <xf numFmtId="166" fontId="0" fillId="0" borderId="64" xfId="0" applyNumberFormat="1" applyBorder="1" applyProtection="1">
      <alignment vertical="center"/>
    </xf>
    <xf numFmtId="166" fontId="8" fillId="0" borderId="3" xfId="0" applyNumberFormat="1" applyFont="1" applyBorder="1" applyProtection="1">
      <alignment vertical="center"/>
    </xf>
    <xf numFmtId="166" fontId="0" fillId="0" borderId="26" xfId="0" applyNumberFormat="1" applyBorder="1" applyProtection="1">
      <alignment vertical="center"/>
    </xf>
    <xf numFmtId="166" fontId="10" fillId="0" borderId="55" xfId="0" applyNumberFormat="1" applyFont="1" applyBorder="1" applyProtection="1">
      <alignment vertical="center"/>
    </xf>
    <xf numFmtId="166" fontId="10" fillId="0" borderId="47" xfId="0" applyNumberFormat="1" applyFont="1" applyBorder="1" applyProtection="1">
      <alignment vertical="center"/>
    </xf>
    <xf numFmtId="166" fontId="12" fillId="0" borderId="52" xfId="0" applyNumberFormat="1" applyFont="1" applyBorder="1" applyProtection="1">
      <alignment vertical="center"/>
    </xf>
    <xf numFmtId="166" fontId="12" fillId="0" borderId="46" xfId="0" applyNumberFormat="1" applyFont="1" applyBorder="1" applyProtection="1">
      <alignment vertical="center"/>
    </xf>
    <xf numFmtId="164" fontId="6" fillId="0" borderId="31" xfId="0" applyFont="1" applyBorder="1" applyAlignment="1" applyProtection="1">
      <alignment horizontal="left" vertical="center" indent="1"/>
    </xf>
    <xf numFmtId="164" fontId="10" fillId="0" borderId="4" xfId="0" applyFont="1" applyBorder="1" applyAlignment="1" applyProtection="1">
      <alignment horizontal="left" vertical="center" indent="1"/>
    </xf>
    <xf numFmtId="166" fontId="10" fillId="0" borderId="78" xfId="0" applyNumberFormat="1" applyFont="1" applyBorder="1" applyProtection="1">
      <alignment vertical="center"/>
    </xf>
    <xf numFmtId="166" fontId="6" fillId="0" borderId="52" xfId="0" applyNumberFormat="1" applyFont="1" applyBorder="1" applyProtection="1">
      <alignment vertical="center"/>
    </xf>
    <xf numFmtId="166" fontId="6" fillId="0" borderId="1" xfId="0" applyNumberFormat="1" applyFont="1" applyBorder="1" applyProtection="1">
      <alignment vertical="center"/>
    </xf>
    <xf numFmtId="166" fontId="6" fillId="0" borderId="49" xfId="0" applyNumberFormat="1" applyFont="1" applyBorder="1" applyProtection="1">
      <alignment vertical="center"/>
    </xf>
    <xf numFmtId="164" fontId="5" fillId="3" borderId="22" xfId="0" applyFont="1" applyFill="1" applyBorder="1" applyAlignment="1" applyProtection="1">
      <alignment horizontal="center"/>
    </xf>
    <xf numFmtId="164" fontId="5" fillId="0" borderId="12" xfId="0" applyFont="1" applyFill="1" applyBorder="1" applyAlignment="1" applyProtection="1">
      <alignment horizontal="left" vertical="center" indent="1"/>
    </xf>
    <xf numFmtId="3" fontId="5" fillId="0" borderId="12" xfId="0" applyNumberFormat="1" applyFont="1" applyFill="1" applyBorder="1" applyAlignment="1" applyProtection="1">
      <alignment horizontal="left" vertical="center" indent="1"/>
    </xf>
    <xf numFmtId="164" fontId="6" fillId="0" borderId="0" xfId="0" applyNumberFormat="1" applyFont="1" applyBorder="1" applyAlignment="1" applyProtection="1">
      <alignment vertical="center"/>
    </xf>
    <xf numFmtId="166" fontId="5" fillId="0" borderId="25" xfId="0" applyNumberFormat="1" applyFont="1" applyBorder="1" applyAlignment="1" applyProtection="1">
      <alignment vertical="center"/>
    </xf>
    <xf numFmtId="166" fontId="5" fillId="0" borderId="0" xfId="0" applyNumberFormat="1" applyFont="1" applyBorder="1" applyAlignment="1" applyProtection="1">
      <alignment vertical="center"/>
    </xf>
    <xf numFmtId="164" fontId="11" fillId="0" borderId="12" xfId="0" applyFont="1" applyBorder="1" applyAlignment="1" applyProtection="1">
      <alignment horizontal="left" vertical="center" indent="2"/>
    </xf>
    <xf numFmtId="166" fontId="13" fillId="0" borderId="0" xfId="0" applyNumberFormat="1" applyFont="1" applyBorder="1" applyAlignment="1" applyProtection="1">
      <alignment vertical="center"/>
    </xf>
    <xf numFmtId="166" fontId="22" fillId="0" borderId="30" xfId="0" applyNumberFormat="1" applyFont="1" applyBorder="1" applyAlignment="1" applyProtection="1">
      <alignment vertical="center"/>
    </xf>
    <xf numFmtId="164" fontId="12" fillId="0" borderId="12" xfId="0" applyFont="1" applyBorder="1" applyAlignment="1" applyProtection="1">
      <alignment horizontal="left" vertical="center" indent="2"/>
    </xf>
    <xf numFmtId="166" fontId="12" fillId="0" borderId="0" xfId="0" applyNumberFormat="1" applyFont="1" applyBorder="1" applyAlignment="1" applyProtection="1">
      <alignment vertical="center"/>
    </xf>
    <xf numFmtId="166" fontId="11" fillId="0" borderId="25" xfId="0" applyNumberFormat="1" applyFont="1" applyBorder="1" applyAlignment="1" applyProtection="1">
      <alignment vertical="center"/>
    </xf>
    <xf numFmtId="168" fontId="6" fillId="0" borderId="12" xfId="0" applyNumberFormat="1" applyFont="1" applyBorder="1" applyAlignment="1" applyProtection="1">
      <alignment horizontal="left" vertical="center" indent="1"/>
    </xf>
    <xf numFmtId="166" fontId="6" fillId="0" borderId="0" xfId="0" applyNumberFormat="1" applyFont="1" applyBorder="1" applyAlignment="1" applyProtection="1">
      <alignment vertical="center"/>
    </xf>
    <xf numFmtId="166" fontId="16" fillId="0" borderId="25" xfId="0" applyNumberFormat="1" applyFont="1" applyBorder="1" applyAlignment="1" applyProtection="1">
      <alignment vertical="center"/>
    </xf>
    <xf numFmtId="166" fontId="8" fillId="0" borderId="0" xfId="0" applyNumberFormat="1" applyFont="1" applyBorder="1" applyAlignment="1" applyProtection="1">
      <alignment vertical="center"/>
    </xf>
    <xf numFmtId="164" fontId="5" fillId="0" borderId="12" xfId="0" applyFont="1" applyBorder="1" applyAlignment="1" applyProtection="1">
      <alignment horizontal="left" vertical="center" indent="3"/>
    </xf>
    <xf numFmtId="164" fontId="12" fillId="0" borderId="12" xfId="0" applyFont="1" applyBorder="1" applyAlignment="1" applyProtection="1">
      <alignment horizontal="left" vertical="center" indent="1"/>
    </xf>
    <xf numFmtId="166" fontId="12" fillId="0" borderId="80" xfId="0" applyNumberFormat="1" applyFont="1" applyBorder="1" applyProtection="1">
      <alignment vertical="center"/>
    </xf>
    <xf numFmtId="164" fontId="12" fillId="0" borderId="0" xfId="0" applyFont="1" applyProtection="1">
      <alignment vertical="center"/>
    </xf>
    <xf numFmtId="166" fontId="12" fillId="0" borderId="0" xfId="0" applyNumberFormat="1" applyFont="1" applyBorder="1" applyProtection="1">
      <alignment vertical="center"/>
    </xf>
    <xf numFmtId="164" fontId="12" fillId="0" borderId="1" xfId="0" applyFont="1" applyBorder="1" applyProtection="1">
      <alignment vertical="center"/>
    </xf>
    <xf numFmtId="164" fontId="12" fillId="0" borderId="0" xfId="0" applyFont="1" applyBorder="1" applyProtection="1">
      <alignment vertical="center"/>
    </xf>
    <xf numFmtId="164" fontId="6" fillId="0" borderId="12" xfId="0" applyFont="1" applyBorder="1" applyAlignment="1" applyProtection="1">
      <alignment horizontal="left" vertical="center" indent="2"/>
    </xf>
    <xf numFmtId="166" fontId="6" fillId="0" borderId="53" xfId="0" applyNumberFormat="1" applyFont="1" applyBorder="1" applyAlignment="1" applyProtection="1">
      <alignment vertical="center"/>
    </xf>
    <xf numFmtId="164" fontId="5" fillId="0" borderId="12" xfId="0" applyFont="1" applyBorder="1" applyProtection="1">
      <alignment vertical="center"/>
    </xf>
    <xf numFmtId="164" fontId="12" fillId="0" borderId="12" xfId="0" applyFont="1" applyBorder="1" applyAlignment="1" applyProtection="1">
      <alignment horizontal="left" vertical="center" wrapText="1" indent="1"/>
    </xf>
    <xf numFmtId="166" fontId="12" fillId="0" borderId="0" xfId="0" applyNumberFormat="1" applyFont="1" applyBorder="1" applyAlignment="1" applyProtection="1">
      <alignment vertical="center" wrapText="1"/>
    </xf>
    <xf numFmtId="164" fontId="5" fillId="0" borderId="12" xfId="0" applyFont="1" applyBorder="1" applyAlignment="1" applyProtection="1">
      <alignment horizontal="left" vertical="center" indent="1"/>
    </xf>
    <xf numFmtId="164" fontId="12" fillId="0" borderId="12" xfId="0" applyFont="1" applyFill="1" applyBorder="1" applyAlignment="1" applyProtection="1">
      <alignment horizontal="left" vertical="center" indent="1"/>
    </xf>
    <xf numFmtId="166" fontId="12" fillId="0" borderId="0" xfId="0" applyNumberFormat="1" applyFont="1" applyFill="1" applyBorder="1" applyAlignment="1" applyProtection="1">
      <alignment vertical="center"/>
    </xf>
    <xf numFmtId="164" fontId="5" fillId="0" borderId="12" xfId="0" applyFont="1" applyFill="1" applyBorder="1" applyAlignment="1" applyProtection="1">
      <alignment horizontal="left" vertical="center" indent="2"/>
    </xf>
    <xf numFmtId="166" fontId="16" fillId="0" borderId="25" xfId="0" applyNumberFormat="1" applyFont="1" applyFill="1" applyBorder="1" applyAlignment="1" applyProtection="1">
      <alignment vertical="center"/>
    </xf>
    <xf numFmtId="166" fontId="8" fillId="0" borderId="0" xfId="0" applyNumberFormat="1" applyFont="1" applyFill="1" applyBorder="1" applyAlignment="1" applyProtection="1">
      <alignment vertical="center"/>
    </xf>
    <xf numFmtId="164" fontId="12" fillId="0" borderId="12" xfId="0" applyFont="1" applyFill="1" applyBorder="1" applyAlignment="1" applyProtection="1">
      <alignment horizontal="left" vertical="center" indent="2"/>
    </xf>
    <xf numFmtId="166" fontId="11" fillId="0" borderId="25" xfId="0" applyNumberFormat="1" applyFont="1" applyFill="1" applyBorder="1" applyAlignment="1" applyProtection="1">
      <alignment vertical="center"/>
    </xf>
    <xf numFmtId="166" fontId="16" fillId="0" borderId="30" xfId="0" applyNumberFormat="1" applyFont="1" applyBorder="1" applyAlignment="1" applyProtection="1">
      <alignment vertical="center"/>
      <protection locked="0"/>
    </xf>
    <xf numFmtId="164" fontId="29" fillId="0" borderId="0" xfId="0" applyFont="1">
      <alignment vertical="center"/>
    </xf>
    <xf numFmtId="173" fontId="0" fillId="0" borderId="0" xfId="0" applyNumberFormat="1">
      <alignment vertical="center"/>
    </xf>
    <xf numFmtId="171" fontId="0" fillId="0" borderId="0" xfId="0" applyNumberFormat="1">
      <alignment vertical="center"/>
    </xf>
    <xf numFmtId="166" fontId="5" fillId="0" borderId="64" xfId="0" applyNumberFormat="1" applyFont="1" applyBorder="1">
      <alignment vertical="center"/>
    </xf>
    <xf numFmtId="2" fontId="8" fillId="0" borderId="14" xfId="0" applyNumberFormat="1" applyFont="1" applyBorder="1" applyProtection="1">
      <alignment vertical="center"/>
      <protection locked="0"/>
    </xf>
    <xf numFmtId="166" fontId="5" fillId="0" borderId="8" xfId="0" applyNumberFormat="1" applyFont="1" applyBorder="1">
      <alignment vertical="center"/>
    </xf>
    <xf numFmtId="166" fontId="5" fillId="0" borderId="40" xfId="0" applyNumberFormat="1" applyFont="1" applyBorder="1">
      <alignment vertical="center"/>
    </xf>
    <xf numFmtId="166" fontId="5" fillId="0" borderId="30" xfId="0" applyNumberFormat="1" applyFont="1" applyBorder="1" applyProtection="1">
      <alignment vertical="center"/>
    </xf>
    <xf numFmtId="166" fontId="16" fillId="0" borderId="25" xfId="0" applyNumberFormat="1" applyFont="1" applyBorder="1" applyProtection="1">
      <alignment vertical="center"/>
    </xf>
    <xf numFmtId="166" fontId="6" fillId="0" borderId="23" xfId="0" applyNumberFormat="1" applyFont="1" applyBorder="1" applyProtection="1">
      <alignment vertical="center"/>
    </xf>
    <xf numFmtId="166" fontId="6" fillId="0" borderId="7" xfId="0" applyNumberFormat="1" applyFont="1" applyBorder="1" applyProtection="1">
      <alignment vertical="center"/>
    </xf>
    <xf numFmtId="166" fontId="6" fillId="0" borderId="32" xfId="0" applyNumberFormat="1" applyFont="1" applyBorder="1" applyProtection="1">
      <alignment vertical="center"/>
    </xf>
    <xf numFmtId="166" fontId="6" fillId="0" borderId="44" xfId="0" applyNumberFormat="1" applyFont="1" applyBorder="1" applyProtection="1">
      <alignment vertical="center"/>
    </xf>
    <xf numFmtId="166" fontId="6" fillId="0" borderId="0" xfId="0" applyNumberFormat="1" applyFont="1" applyBorder="1" applyProtection="1">
      <alignment vertical="center"/>
    </xf>
    <xf numFmtId="166" fontId="6" fillId="0" borderId="22" xfId="0" applyNumberFormat="1" applyFont="1" applyBorder="1" applyProtection="1">
      <alignment vertical="center"/>
    </xf>
    <xf numFmtId="166" fontId="6" fillId="0" borderId="68" xfId="0" applyNumberFormat="1" applyFont="1" applyBorder="1" applyProtection="1">
      <alignment vertical="center"/>
    </xf>
    <xf numFmtId="164" fontId="12" fillId="0" borderId="15" xfId="0" applyFont="1" applyFill="1" applyBorder="1" applyAlignment="1" applyProtection="1">
      <alignment horizontal="center" vertical="center"/>
    </xf>
    <xf numFmtId="164" fontId="6" fillId="0" borderId="5" xfId="0" applyFont="1" applyBorder="1" applyAlignment="1" applyProtection="1">
      <alignment horizontal="left" indent="1"/>
    </xf>
    <xf numFmtId="164" fontId="6" fillId="0" borderId="11" xfId="0" applyFont="1" applyBorder="1" applyAlignment="1">
      <alignment horizontal="left" indent="1"/>
    </xf>
    <xf numFmtId="164" fontId="6" fillId="0" borderId="31" xfId="0" applyFont="1" applyBorder="1" applyAlignment="1">
      <alignment horizontal="left" indent="2"/>
    </xf>
    <xf numFmtId="164" fontId="5" fillId="0" borderId="11" xfId="0" applyFont="1" applyBorder="1" applyAlignment="1">
      <alignment horizontal="left" indent="1"/>
    </xf>
    <xf numFmtId="164" fontId="5" fillId="0" borderId="38" xfId="0" applyFont="1" applyBorder="1" applyAlignment="1">
      <alignment horizontal="left" indent="2"/>
    </xf>
    <xf numFmtId="164" fontId="6" fillId="0" borderId="15" xfId="0" applyFont="1" applyBorder="1" applyAlignment="1">
      <alignment horizontal="left" indent="1"/>
    </xf>
    <xf numFmtId="164" fontId="6" fillId="0" borderId="14" xfId="0" applyFont="1" applyBorder="1" applyAlignment="1">
      <alignment horizontal="left" indent="1"/>
    </xf>
    <xf numFmtId="164" fontId="6" fillId="0" borderId="31" xfId="0" applyFont="1" applyBorder="1" applyAlignment="1">
      <alignment horizontal="left" indent="1"/>
    </xf>
    <xf numFmtId="164" fontId="13" fillId="0" borderId="38" xfId="0" applyFont="1" applyBorder="1" applyAlignment="1" applyProtection="1">
      <alignment horizontal="left" vertical="center" indent="2"/>
      <protection locked="0"/>
    </xf>
    <xf numFmtId="164" fontId="17" fillId="0" borderId="31" xfId="0" applyFont="1" applyBorder="1" applyAlignment="1" applyProtection="1">
      <alignment horizontal="left" vertical="center" indent="1"/>
    </xf>
    <xf numFmtId="164" fontId="17" fillId="0" borderId="8" xfId="0" applyFont="1" applyFill="1" applyBorder="1" applyAlignment="1" applyProtection="1">
      <alignment horizontal="left" vertical="center" indent="1"/>
    </xf>
    <xf numFmtId="164" fontId="6" fillId="0" borderId="15" xfId="0" applyFont="1" applyBorder="1" applyAlignment="1">
      <alignment horizontal="left" vertical="center" indent="1"/>
    </xf>
    <xf numFmtId="164" fontId="10" fillId="0" borderId="14" xfId="0" applyFont="1" applyBorder="1" applyAlignment="1">
      <alignment horizontal="left" vertical="center" indent="1"/>
    </xf>
    <xf numFmtId="164" fontId="10" fillId="0" borderId="14" xfId="0" applyFont="1" applyBorder="1" applyAlignment="1">
      <alignment horizontal="left" vertical="center" indent="2"/>
    </xf>
    <xf numFmtId="164" fontId="6" fillId="0" borderId="38" xfId="0" applyFont="1" applyBorder="1" applyAlignment="1">
      <alignment horizontal="left" vertical="center" indent="1"/>
    </xf>
    <xf numFmtId="164" fontId="6" fillId="0" borderId="4" xfId="0" applyFont="1" applyBorder="1" applyAlignment="1">
      <alignment horizontal="left" vertical="center" indent="1"/>
    </xf>
    <xf numFmtId="164" fontId="10" fillId="0" borderId="4" xfId="0" applyFont="1" applyBorder="1" applyAlignment="1">
      <alignment horizontal="left" vertical="center" indent="2"/>
    </xf>
    <xf numFmtId="164" fontId="16" fillId="0" borderId="4" xfId="0" applyFont="1" applyBorder="1" applyAlignment="1">
      <alignment horizontal="left" vertical="center" indent="2"/>
    </xf>
    <xf numFmtId="164" fontId="16" fillId="0" borderId="4" xfId="0" applyFont="1" applyBorder="1" applyAlignment="1" applyProtection="1">
      <alignment horizontal="left" vertical="center" indent="2"/>
    </xf>
    <xf numFmtId="164" fontId="8" fillId="0" borderId="4" xfId="0" applyFont="1" applyBorder="1" applyAlignment="1" applyProtection="1">
      <alignment horizontal="left" vertical="center" indent="2"/>
      <protection locked="0"/>
    </xf>
    <xf numFmtId="164" fontId="6" fillId="0" borderId="38" xfId="0" applyFont="1" applyBorder="1" applyAlignment="1">
      <alignment horizontal="left" vertical="center" indent="2"/>
    </xf>
    <xf numFmtId="164" fontId="10" fillId="0" borderId="11" xfId="0" applyFont="1" applyBorder="1" applyAlignment="1">
      <alignment horizontal="left" vertical="center" indent="3"/>
    </xf>
    <xf numFmtId="164" fontId="6" fillId="0" borderId="31" xfId="0" applyFont="1" applyBorder="1" applyAlignment="1">
      <alignment horizontal="left" vertical="center" indent="2"/>
    </xf>
    <xf numFmtId="164" fontId="5" fillId="3" borderId="8" xfId="0" applyFont="1" applyFill="1" applyBorder="1" applyAlignment="1">
      <alignment horizontal="left" vertical="center" indent="1"/>
    </xf>
    <xf numFmtId="164" fontId="5" fillId="0" borderId="81" xfId="0" applyFont="1" applyFill="1" applyBorder="1" applyAlignment="1">
      <alignment horizontal="center"/>
    </xf>
    <xf numFmtId="164" fontId="5" fillId="0" borderId="81" xfId="0" applyFont="1" applyBorder="1">
      <alignment vertical="center"/>
    </xf>
    <xf numFmtId="166" fontId="5" fillId="0" borderId="81" xfId="0" applyNumberFormat="1" applyFont="1" applyBorder="1">
      <alignment vertical="center"/>
    </xf>
    <xf numFmtId="164" fontId="5" fillId="3" borderId="82" xfId="0" applyFont="1" applyFill="1" applyBorder="1" applyAlignment="1" applyProtection="1">
      <alignment horizontal="center"/>
      <protection locked="0"/>
    </xf>
    <xf numFmtId="164" fontId="5" fillId="3" borderId="83" xfId="0" applyFont="1" applyFill="1" applyBorder="1" applyAlignment="1" applyProtection="1">
      <alignment horizontal="center"/>
      <protection locked="0"/>
    </xf>
    <xf numFmtId="164" fontId="5" fillId="3" borderId="83" xfId="0" applyFont="1" applyFill="1" applyBorder="1" applyAlignment="1">
      <alignment horizontal="center"/>
    </xf>
    <xf numFmtId="164" fontId="5" fillId="3" borderId="84" xfId="0" applyFont="1" applyFill="1" applyBorder="1" applyAlignment="1" applyProtection="1">
      <alignment horizontal="center"/>
      <protection locked="0"/>
    </xf>
    <xf numFmtId="164" fontId="5" fillId="0" borderId="37" xfId="0" applyFont="1" applyBorder="1">
      <alignment vertical="center"/>
    </xf>
    <xf numFmtId="164" fontId="5" fillId="0" borderId="34" xfId="0" applyFont="1" applyBorder="1">
      <alignment vertical="center"/>
    </xf>
    <xf numFmtId="164" fontId="5" fillId="0" borderId="85" xfId="0" applyFont="1" applyFill="1" applyBorder="1" applyAlignment="1">
      <alignment horizontal="center"/>
    </xf>
    <xf numFmtId="164" fontId="5" fillId="0" borderId="85" xfId="0" applyFont="1" applyBorder="1">
      <alignment vertical="center"/>
    </xf>
    <xf numFmtId="166" fontId="5" fillId="0" borderId="85" xfId="0" applyNumberFormat="1" applyFont="1" applyBorder="1">
      <alignment vertical="center"/>
    </xf>
    <xf numFmtId="166" fontId="5" fillId="0" borderId="86" xfId="0" applyNumberFormat="1" applyFont="1" applyBorder="1">
      <alignment vertical="center"/>
    </xf>
    <xf numFmtId="164" fontId="6" fillId="0" borderId="87" xfId="0" applyFont="1" applyBorder="1" applyAlignment="1" applyProtection="1">
      <alignment horizontal="left" indent="2"/>
    </xf>
    <xf numFmtId="10" fontId="5" fillId="4" borderId="0" xfId="0" applyNumberFormat="1" applyFont="1" applyFill="1" applyBorder="1" applyAlignment="1" applyProtection="1"/>
    <xf numFmtId="10" fontId="4" fillId="4" borderId="0" xfId="0" applyNumberFormat="1" applyFont="1" applyFill="1" applyBorder="1" applyAlignment="1" applyProtection="1">
      <alignment vertical="center"/>
    </xf>
    <xf numFmtId="169" fontId="8" fillId="4" borderId="30" xfId="0" applyNumberFormat="1" applyFont="1" applyFill="1" applyBorder="1" applyAlignment="1" applyProtection="1">
      <protection locked="0"/>
    </xf>
    <xf numFmtId="10" fontId="8" fillId="4" borderId="25" xfId="0" applyNumberFormat="1" applyFont="1" applyFill="1" applyBorder="1" applyAlignment="1" applyProtection="1"/>
    <xf numFmtId="10" fontId="8" fillId="4" borderId="53" xfId="0" applyNumberFormat="1" applyFont="1" applyFill="1" applyBorder="1" applyAlignment="1" applyProtection="1"/>
    <xf numFmtId="9" fontId="8" fillId="4" borderId="30" xfId="0" applyNumberFormat="1" applyFont="1" applyFill="1" applyBorder="1" applyAlignment="1" applyProtection="1">
      <protection locked="0"/>
    </xf>
    <xf numFmtId="10" fontId="4" fillId="4" borderId="32" xfId="0" applyNumberFormat="1" applyFont="1" applyFill="1" applyBorder="1" applyAlignment="1" applyProtection="1"/>
    <xf numFmtId="9" fontId="8" fillId="4" borderId="73" xfId="0" applyNumberFormat="1" applyFont="1" applyFill="1" applyBorder="1" applyAlignment="1" applyProtection="1">
      <protection locked="0"/>
    </xf>
    <xf numFmtId="10" fontId="4" fillId="4" borderId="60" xfId="0" applyNumberFormat="1" applyFont="1" applyFill="1" applyBorder="1" applyAlignment="1" applyProtection="1"/>
    <xf numFmtId="10" fontId="8" fillId="4" borderId="25" xfId="0" applyNumberFormat="1" applyFont="1" applyFill="1" applyBorder="1" applyAlignment="1" applyProtection="1">
      <protection locked="0"/>
    </xf>
    <xf numFmtId="10" fontId="6" fillId="4" borderId="75" xfId="0" applyNumberFormat="1" applyFont="1" applyFill="1" applyBorder="1" applyAlignment="1" applyProtection="1"/>
    <xf numFmtId="10" fontId="5" fillId="4" borderId="30" xfId="0" applyNumberFormat="1" applyFont="1" applyFill="1" applyBorder="1" applyAlignment="1" applyProtection="1"/>
    <xf numFmtId="10" fontId="5" fillId="4" borderId="25" xfId="0" applyNumberFormat="1" applyFont="1" applyFill="1" applyBorder="1" applyAlignment="1" applyProtection="1"/>
    <xf numFmtId="10" fontId="5" fillId="4" borderId="53" xfId="0" applyNumberFormat="1" applyFont="1" applyFill="1" applyBorder="1" applyAlignment="1" applyProtection="1"/>
    <xf numFmtId="10" fontId="5" fillId="4" borderId="60" xfId="0" applyNumberFormat="1" applyFont="1" applyFill="1" applyBorder="1" applyAlignment="1" applyProtection="1"/>
    <xf numFmtId="10" fontId="6" fillId="4" borderId="50" xfId="0" applyNumberFormat="1" applyFont="1" applyFill="1" applyBorder="1" applyAlignment="1" applyProtection="1"/>
    <xf numFmtId="1" fontId="7" fillId="2" borderId="12" xfId="0" applyNumberFormat="1" applyFont="1" applyFill="1" applyBorder="1" applyAlignment="1" applyProtection="1">
      <alignment horizontal="left" vertical="center" indent="1"/>
    </xf>
    <xf numFmtId="164" fontId="5" fillId="5" borderId="11" xfId="0" applyNumberFormat="1" applyFont="1" applyFill="1" applyBorder="1" applyProtection="1">
      <alignment vertical="center"/>
    </xf>
    <xf numFmtId="166" fontId="5" fillId="0" borderId="28" xfId="0" applyNumberFormat="1" applyFont="1" applyBorder="1" applyProtection="1">
      <alignment vertical="center"/>
    </xf>
    <xf numFmtId="166" fontId="12" fillId="0" borderId="38" xfId="0" applyNumberFormat="1" applyFont="1" applyBorder="1" applyProtection="1">
      <alignment vertical="center"/>
    </xf>
    <xf numFmtId="166" fontId="5" fillId="0" borderId="14" xfId="0" applyNumberFormat="1" applyFont="1" applyBorder="1" applyProtection="1">
      <alignment vertical="center"/>
      <protection locked="0"/>
    </xf>
    <xf numFmtId="164" fontId="5" fillId="0" borderId="15" xfId="0" applyNumberFormat="1" applyFont="1" applyBorder="1" applyProtection="1">
      <alignment vertical="center"/>
    </xf>
    <xf numFmtId="1" fontId="5" fillId="0" borderId="14" xfId="0" applyNumberFormat="1" applyFont="1" applyBorder="1" applyProtection="1">
      <alignment vertical="center"/>
    </xf>
    <xf numFmtId="166" fontId="5" fillId="0" borderId="8" xfId="0" applyNumberFormat="1" applyFont="1" applyBorder="1" applyProtection="1">
      <alignment vertical="center"/>
    </xf>
    <xf numFmtId="166" fontId="6" fillId="0" borderId="31" xfId="0" applyNumberFormat="1" applyFont="1" applyBorder="1" applyProtection="1">
      <alignment vertical="center"/>
    </xf>
    <xf numFmtId="164" fontId="5" fillId="0" borderId="85" xfId="0" applyFont="1" applyFill="1" applyBorder="1" applyProtection="1">
      <alignment vertical="center"/>
    </xf>
    <xf numFmtId="164" fontId="5" fillId="0" borderId="85" xfId="0" applyFont="1" applyFill="1" applyBorder="1" applyAlignment="1" applyProtection="1">
      <alignment horizontal="center"/>
    </xf>
    <xf numFmtId="164" fontId="5" fillId="0" borderId="85" xfId="0" applyFont="1" applyBorder="1" applyProtection="1">
      <alignment vertical="center"/>
    </xf>
    <xf numFmtId="166" fontId="5" fillId="0" borderId="85" xfId="0" applyNumberFormat="1" applyFont="1" applyBorder="1" applyProtection="1">
      <alignment vertical="center"/>
    </xf>
    <xf numFmtId="166" fontId="6" fillId="0" borderId="85" xfId="0" applyNumberFormat="1" applyFont="1" applyBorder="1" applyProtection="1">
      <alignment vertical="center"/>
    </xf>
    <xf numFmtId="164" fontId="5" fillId="3" borderId="82" xfId="0" applyFont="1" applyFill="1" applyBorder="1" applyAlignment="1" applyProtection="1">
      <alignment horizontal="center"/>
    </xf>
    <xf numFmtId="164" fontId="5" fillId="3" borderId="88" xfId="0" applyFont="1" applyFill="1" applyBorder="1" applyAlignment="1" applyProtection="1">
      <alignment horizontal="center"/>
    </xf>
    <xf numFmtId="164" fontId="5" fillId="3" borderId="89" xfId="0" applyFont="1" applyFill="1" applyBorder="1" applyAlignment="1" applyProtection="1">
      <alignment horizontal="center"/>
    </xf>
    <xf numFmtId="164" fontId="5" fillId="3" borderId="83" xfId="0" applyFont="1" applyFill="1" applyBorder="1" applyAlignment="1" applyProtection="1">
      <alignment horizontal="center"/>
    </xf>
    <xf numFmtId="164" fontId="5" fillId="3" borderId="90" xfId="0" applyFont="1" applyFill="1" applyBorder="1" applyAlignment="1" applyProtection="1">
      <alignment horizontal="center"/>
    </xf>
    <xf numFmtId="164" fontId="5" fillId="3" borderId="91" xfId="0" applyFont="1" applyFill="1" applyBorder="1" applyAlignment="1" applyProtection="1">
      <alignment horizontal="center"/>
    </xf>
    <xf numFmtId="164" fontId="5" fillId="3" borderId="92" xfId="0" applyFont="1" applyFill="1" applyBorder="1" applyAlignment="1" applyProtection="1">
      <alignment horizontal="center"/>
    </xf>
    <xf numFmtId="164" fontId="5" fillId="3" borderId="93" xfId="0" applyFont="1" applyFill="1" applyBorder="1" applyAlignment="1" applyProtection="1">
      <alignment horizontal="center"/>
    </xf>
    <xf numFmtId="164" fontId="5" fillId="0" borderId="94" xfId="0" applyFont="1" applyFill="1" applyBorder="1" applyAlignment="1" applyProtection="1">
      <alignment horizontal="center"/>
    </xf>
    <xf numFmtId="165" fontId="0" fillId="0" borderId="0" xfId="0" applyNumberFormat="1">
      <alignment vertical="center"/>
    </xf>
    <xf numFmtId="164" fontId="5" fillId="0" borderId="4" xfId="0" applyFont="1" applyBorder="1" applyAlignment="1" applyProtection="1">
      <alignment horizontal="left" vertical="center" wrapText="1" indent="2"/>
    </xf>
    <xf numFmtId="0" fontId="12" fillId="0" borderId="0" xfId="0" applyNumberFormat="1" applyFont="1" applyBorder="1" applyAlignment="1">
      <alignment horizontal="center" vertical="center" wrapText="1"/>
    </xf>
    <xf numFmtId="0" fontId="12" fillId="0" borderId="4" xfId="0" applyNumberFormat="1" applyFont="1" applyBorder="1" applyAlignment="1">
      <alignment horizontal="center" vertical="center" wrapText="1"/>
    </xf>
    <xf numFmtId="49" fontId="30" fillId="6" borderId="14" xfId="0" applyNumberFormat="1" applyFont="1" applyFill="1" applyBorder="1" applyAlignment="1">
      <alignment horizontal="center" vertical="center"/>
    </xf>
    <xf numFmtId="0" fontId="12" fillId="0" borderId="11" xfId="0" applyNumberFormat="1" applyFont="1" applyBorder="1" applyAlignment="1">
      <alignment horizontal="left" vertical="top" wrapText="1"/>
    </xf>
    <xf numFmtId="164" fontId="11" fillId="0" borderId="4" xfId="0" applyFont="1" applyBorder="1" applyAlignment="1">
      <alignment horizontal="left" vertical="top" wrapText="1"/>
    </xf>
    <xf numFmtId="0" fontId="11" fillId="0" borderId="4" xfId="0" applyNumberFormat="1" applyFont="1" applyBorder="1" applyAlignment="1">
      <alignment horizontal="left" vertical="center" wrapText="1"/>
    </xf>
    <xf numFmtId="164" fontId="3" fillId="0" borderId="0" xfId="0" applyFont="1" applyBorder="1" applyAlignment="1" applyProtection="1">
      <alignment horizontal="center" vertical="center" wrapText="1"/>
    </xf>
    <xf numFmtId="164" fontId="1" fillId="0" borderId="25" xfId="0" applyFont="1" applyBorder="1" applyProtection="1">
      <alignment vertical="center"/>
    </xf>
    <xf numFmtId="164" fontId="1" fillId="0" borderId="19" xfId="0" applyFont="1" applyBorder="1" applyProtection="1">
      <alignment vertical="center"/>
    </xf>
    <xf numFmtId="164" fontId="1" fillId="0" borderId="34" xfId="0" applyFont="1" applyBorder="1" applyProtection="1">
      <alignment vertical="center"/>
    </xf>
    <xf numFmtId="164" fontId="1" fillId="0" borderId="1" xfId="0" applyFont="1" applyBorder="1" applyProtection="1">
      <alignment vertical="center"/>
    </xf>
    <xf numFmtId="49" fontId="9" fillId="2" borderId="12" xfId="0" applyNumberFormat="1" applyFont="1" applyFill="1" applyBorder="1" applyAlignment="1" applyProtection="1">
      <alignment horizontal="left" vertical="center" indent="1"/>
    </xf>
    <xf numFmtId="164" fontId="6" fillId="0" borderId="14" xfId="0" applyFont="1" applyFill="1" applyBorder="1" applyAlignment="1" applyProtection="1">
      <alignment horizontal="left" vertical="center" indent="1"/>
    </xf>
    <xf numFmtId="10" fontId="6" fillId="4" borderId="24" xfId="0" applyNumberFormat="1" applyFont="1" applyFill="1" applyBorder="1" applyAlignment="1" applyProtection="1">
      <alignment vertical="center"/>
    </xf>
    <xf numFmtId="10" fontId="6" fillId="4" borderId="30" xfId="0" applyNumberFormat="1" applyFont="1" applyFill="1" applyBorder="1" applyAlignment="1" applyProtection="1">
      <alignment vertical="center"/>
    </xf>
    <xf numFmtId="164" fontId="5" fillId="0" borderId="14" xfId="0" applyNumberFormat="1" applyFont="1" applyBorder="1" applyProtection="1">
      <alignment vertical="center"/>
    </xf>
    <xf numFmtId="164" fontId="5" fillId="0" borderId="29" xfId="0" applyNumberFormat="1" applyFont="1" applyBorder="1" applyProtection="1">
      <alignment vertical="center"/>
    </xf>
    <xf numFmtId="164" fontId="5" fillId="0" borderId="26" xfId="0" applyNumberFormat="1" applyFont="1" applyBorder="1" applyProtection="1">
      <alignment vertical="center"/>
    </xf>
    <xf numFmtId="164" fontId="5" fillId="0" borderId="95" xfId="0" applyNumberFormat="1" applyFont="1" applyBorder="1" applyProtection="1">
      <alignment vertical="center"/>
    </xf>
    <xf numFmtId="49" fontId="9" fillId="2" borderId="96" xfId="0" applyNumberFormat="1" applyFont="1" applyFill="1" applyBorder="1" applyAlignment="1">
      <alignment horizontal="left" vertical="center" indent="1"/>
    </xf>
    <xf numFmtId="1" fontId="7" fillId="2" borderId="96" xfId="0" applyNumberFormat="1" applyFont="1" applyFill="1" applyBorder="1" applyAlignment="1" applyProtection="1">
      <alignment horizontal="left" vertical="center" indent="1"/>
      <protection locked="0"/>
    </xf>
    <xf numFmtId="164" fontId="1" fillId="2" borderId="50" xfId="0" applyFont="1" applyFill="1" applyBorder="1">
      <alignment vertical="center"/>
    </xf>
    <xf numFmtId="164" fontId="1" fillId="2" borderId="52" xfId="0" applyFont="1" applyFill="1" applyBorder="1">
      <alignment vertical="center"/>
    </xf>
    <xf numFmtId="1" fontId="7" fillId="2" borderId="46" xfId="0" applyNumberFormat="1" applyFont="1" applyFill="1" applyBorder="1" applyAlignment="1" applyProtection="1">
      <alignment horizontal="left" vertical="center" indent="1"/>
      <protection locked="0"/>
    </xf>
    <xf numFmtId="49" fontId="7" fillId="2" borderId="50" xfId="0" applyNumberFormat="1" applyFont="1" applyFill="1" applyBorder="1" applyAlignment="1">
      <alignment horizontal="left" vertical="center" indent="1"/>
    </xf>
    <xf numFmtId="49" fontId="7" fillId="2" borderId="52" xfId="0" applyNumberFormat="1" applyFont="1" applyFill="1" applyBorder="1" applyAlignment="1">
      <alignment horizontal="left" vertical="center" indent="1"/>
    </xf>
    <xf numFmtId="49" fontId="9" fillId="2" borderId="48" xfId="0" applyNumberFormat="1" applyFont="1" applyFill="1" applyBorder="1" applyAlignment="1">
      <alignment horizontal="left" vertical="center" indent="1"/>
    </xf>
    <xf numFmtId="49" fontId="9" fillId="2" borderId="17" xfId="0" applyNumberFormat="1" applyFont="1" applyFill="1" applyBorder="1" applyAlignment="1" applyProtection="1">
      <alignment horizontal="left" vertical="center" indent="1"/>
    </xf>
    <xf numFmtId="164" fontId="5" fillId="3" borderId="9" xfId="0" applyFont="1" applyFill="1" applyBorder="1" applyAlignment="1" applyProtection="1">
      <alignment horizontal="left" vertical="center" indent="1"/>
    </xf>
    <xf numFmtId="164" fontId="5" fillId="0" borderId="3" xfId="0" applyFont="1" applyFill="1" applyBorder="1" applyAlignment="1" applyProtection="1">
      <alignment horizontal="left" vertical="center" indent="1"/>
    </xf>
    <xf numFmtId="164" fontId="1" fillId="0" borderId="3" xfId="0" applyFont="1" applyBorder="1" applyProtection="1">
      <alignment vertical="center"/>
    </xf>
    <xf numFmtId="164" fontId="0" fillId="0" borderId="3" xfId="0" applyBorder="1" applyAlignment="1" applyProtection="1">
      <alignment horizontal="left" vertical="top" wrapText="1" indent="1"/>
    </xf>
    <xf numFmtId="164" fontId="1" fillId="0" borderId="9" xfId="0" applyFont="1" applyBorder="1" applyProtection="1">
      <alignment vertical="center"/>
    </xf>
    <xf numFmtId="49" fontId="9" fillId="2" borderId="96" xfId="0" applyNumberFormat="1" applyFont="1" applyFill="1" applyBorder="1" applyAlignment="1" applyProtection="1">
      <alignment horizontal="left" vertical="center" indent="1"/>
    </xf>
    <xf numFmtId="1" fontId="7" fillId="2" borderId="96" xfId="0" applyNumberFormat="1" applyFont="1" applyFill="1" applyBorder="1" applyAlignment="1" applyProtection="1">
      <alignment horizontal="left" vertical="center" indent="1"/>
    </xf>
    <xf numFmtId="1" fontId="7" fillId="2" borderId="50" xfId="0" applyNumberFormat="1" applyFont="1" applyFill="1" applyBorder="1" applyAlignment="1" applyProtection="1">
      <alignment horizontal="left" vertical="center" indent="1"/>
    </xf>
    <xf numFmtId="1" fontId="7" fillId="2" borderId="46" xfId="0" applyNumberFormat="1" applyFont="1" applyFill="1" applyBorder="1" applyAlignment="1" applyProtection="1">
      <alignment horizontal="left" vertical="center" indent="1"/>
    </xf>
    <xf numFmtId="164" fontId="12" fillId="3" borderId="31" xfId="0" applyFont="1" applyFill="1" applyBorder="1" applyAlignment="1" applyProtection="1">
      <alignment horizontal="center" vertical="center"/>
    </xf>
    <xf numFmtId="164" fontId="12" fillId="3" borderId="31" xfId="0" applyFont="1" applyFill="1" applyBorder="1" applyAlignment="1" applyProtection="1">
      <alignment horizontal="center" vertical="center" wrapText="1"/>
    </xf>
    <xf numFmtId="164" fontId="12" fillId="3" borderId="36" xfId="0" applyFont="1" applyFill="1" applyBorder="1" applyAlignment="1" applyProtection="1">
      <alignment horizontal="center" vertical="center" wrapText="1"/>
    </xf>
    <xf numFmtId="1" fontId="7" fillId="2" borderId="49" xfId="0" applyNumberFormat="1" applyFont="1" applyFill="1" applyBorder="1" applyAlignment="1" applyProtection="1">
      <alignment horizontal="left" vertical="center" indent="1"/>
    </xf>
    <xf numFmtId="49" fontId="9" fillId="2" borderId="51" xfId="0" applyNumberFormat="1" applyFont="1" applyFill="1" applyBorder="1" applyAlignment="1" applyProtection="1">
      <alignment horizontal="left" vertical="center" indent="1"/>
    </xf>
    <xf numFmtId="49" fontId="7" fillId="2" borderId="46" xfId="0" applyNumberFormat="1" applyFont="1" applyFill="1" applyBorder="1" applyAlignment="1">
      <alignment horizontal="left" vertical="center" indent="1"/>
    </xf>
    <xf numFmtId="49" fontId="9" fillId="2" borderId="50" xfId="0" applyNumberFormat="1" applyFont="1" applyFill="1" applyBorder="1" applyAlignment="1" applyProtection="1">
      <alignment horizontal="left" vertical="center" indent="1"/>
    </xf>
    <xf numFmtId="164" fontId="2" fillId="2" borderId="50" xfId="0" applyFont="1" applyFill="1" applyBorder="1" applyAlignment="1" applyProtection="1">
      <alignment horizontal="center" vertical="center"/>
    </xf>
    <xf numFmtId="164" fontId="1" fillId="2" borderId="50" xfId="0" applyFont="1" applyFill="1" applyBorder="1" applyProtection="1">
      <alignment vertical="center"/>
    </xf>
    <xf numFmtId="164" fontId="1" fillId="7" borderId="52" xfId="0" applyFont="1" applyFill="1" applyBorder="1" applyProtection="1">
      <alignment vertical="center"/>
    </xf>
    <xf numFmtId="164" fontId="1" fillId="2" borderId="52" xfId="0" applyFont="1" applyFill="1" applyBorder="1" applyProtection="1">
      <alignment vertical="center"/>
    </xf>
    <xf numFmtId="49" fontId="9" fillId="2" borderId="49" xfId="0" applyNumberFormat="1" applyFont="1" applyFill="1" applyBorder="1" applyAlignment="1" applyProtection="1">
      <alignment horizontal="left" vertical="center" indent="1"/>
    </xf>
    <xf numFmtId="164" fontId="2" fillId="2" borderId="52" xfId="0" applyFont="1" applyFill="1" applyBorder="1" applyAlignment="1" applyProtection="1">
      <alignment horizontal="center" vertical="center"/>
    </xf>
    <xf numFmtId="164" fontId="1" fillId="0" borderId="79" xfId="0" applyFont="1" applyBorder="1" applyProtection="1">
      <alignment vertical="center"/>
    </xf>
    <xf numFmtId="164" fontId="1" fillId="0" borderId="75" xfId="0" applyFont="1" applyBorder="1" applyProtection="1">
      <alignment vertical="center"/>
    </xf>
    <xf numFmtId="164" fontId="1" fillId="0" borderId="76" xfId="0" applyFont="1" applyBorder="1" applyProtection="1">
      <alignment vertical="center"/>
    </xf>
    <xf numFmtId="1" fontId="7" fillId="2" borderId="97" xfId="0" applyNumberFormat="1" applyFont="1" applyFill="1" applyBorder="1" applyAlignment="1" applyProtection="1">
      <alignment horizontal="left" vertical="center" indent="1"/>
    </xf>
    <xf numFmtId="164" fontId="2" fillId="2" borderId="32" xfId="0" applyFont="1" applyFill="1" applyBorder="1" applyAlignment="1" applyProtection="1">
      <alignment horizontal="center" vertical="center"/>
    </xf>
    <xf numFmtId="164" fontId="2" fillId="2" borderId="68" xfId="0" applyFont="1" applyFill="1" applyBorder="1" applyAlignment="1" applyProtection="1">
      <alignment horizontal="center" vertical="center"/>
    </xf>
    <xf numFmtId="164" fontId="2" fillId="2" borderId="46" xfId="0" applyFont="1" applyFill="1" applyBorder="1" applyAlignment="1" applyProtection="1">
      <alignment horizontal="center" vertical="center"/>
    </xf>
    <xf numFmtId="164" fontId="5" fillId="0" borderId="3" xfId="0" applyFont="1" applyBorder="1" applyAlignment="1" applyProtection="1">
      <alignment horizontal="left" vertical="top" wrapText="1" indent="1"/>
    </xf>
    <xf numFmtId="0" fontId="5" fillId="0" borderId="3" xfId="0" applyNumberFormat="1" applyFont="1" applyBorder="1" applyAlignment="1" applyProtection="1">
      <alignment horizontal="left" vertical="top" wrapText="1" indent="1"/>
    </xf>
    <xf numFmtId="164" fontId="6" fillId="0" borderId="0" xfId="0" applyFont="1">
      <alignment vertical="center"/>
    </xf>
    <xf numFmtId="164" fontId="5" fillId="0" borderId="0" xfId="0" applyFont="1">
      <alignment vertical="center"/>
    </xf>
    <xf numFmtId="0" fontId="33" fillId="0" borderId="0" xfId="0" applyNumberFormat="1" applyFont="1">
      <alignment vertical="center"/>
    </xf>
    <xf numFmtId="0" fontId="29" fillId="0" borderId="0" xfId="1" applyNumberFormat="1" applyFont="1" applyAlignment="1">
      <alignment vertical="center"/>
    </xf>
    <xf numFmtId="0" fontId="0" fillId="0" borderId="0" xfId="1" applyNumberFormat="1" applyFont="1" applyAlignment="1">
      <alignment vertical="center"/>
    </xf>
    <xf numFmtId="164" fontId="6" fillId="0" borderId="28" xfId="0" applyFont="1" applyBorder="1" applyAlignment="1">
      <alignment horizontal="left" indent="1"/>
    </xf>
    <xf numFmtId="1" fontId="17" fillId="0" borderId="0" xfId="0" applyNumberFormat="1" applyFont="1" applyBorder="1" applyAlignment="1" applyProtection="1">
      <alignment horizontal="left" vertical="center"/>
      <protection locked="0"/>
    </xf>
    <xf numFmtId="174" fontId="0" fillId="0" borderId="0" xfId="1" applyNumberFormat="1" applyFont="1" applyAlignment="1">
      <alignment vertical="center"/>
    </xf>
    <xf numFmtId="174" fontId="22" fillId="0" borderId="0" xfId="1" applyNumberFormat="1" applyFont="1" applyBorder="1" applyAlignment="1">
      <alignment vertical="center"/>
    </xf>
    <xf numFmtId="174" fontId="17" fillId="0" borderId="0" xfId="1" applyNumberFormat="1" applyFont="1" applyBorder="1" applyAlignment="1" applyProtection="1">
      <alignment horizontal="right" vertical="center"/>
      <protection locked="0"/>
    </xf>
    <xf numFmtId="174" fontId="6" fillId="0" borderId="0" xfId="1" applyNumberFormat="1" applyFont="1" applyAlignment="1">
      <alignment vertical="center" wrapText="1"/>
    </xf>
    <xf numFmtId="164" fontId="6" fillId="0" borderId="0" xfId="0" applyFont="1" applyAlignment="1">
      <alignment vertical="center" wrapText="1"/>
    </xf>
    <xf numFmtId="1" fontId="17" fillId="0" borderId="0" xfId="0" applyNumberFormat="1" applyFont="1" applyBorder="1" applyAlignment="1" applyProtection="1">
      <alignment horizontal="left" vertical="center" wrapText="1"/>
      <protection locked="0"/>
    </xf>
    <xf numFmtId="14" fontId="5" fillId="0" borderId="0" xfId="0" applyNumberFormat="1" applyFont="1" applyBorder="1" applyAlignment="1" applyProtection="1">
      <alignment vertical="center"/>
    </xf>
    <xf numFmtId="0" fontId="5" fillId="8" borderId="0" xfId="0" applyNumberFormat="1" applyFont="1" applyFill="1" applyBorder="1" applyAlignment="1" applyProtection="1">
      <alignment vertical="center"/>
    </xf>
    <xf numFmtId="164" fontId="8" fillId="0" borderId="0" xfId="0" applyNumberFormat="1" applyFont="1" applyBorder="1" applyAlignment="1" applyProtection="1">
      <alignment vertical="center"/>
    </xf>
    <xf numFmtId="164" fontId="8" fillId="0" borderId="0" xfId="0" applyFont="1" applyBorder="1" applyAlignment="1" applyProtection="1">
      <alignment horizontal="left" vertical="center" indent="5"/>
    </xf>
    <xf numFmtId="164" fontId="5" fillId="0" borderId="0" xfId="0" applyNumberFormat="1" applyFont="1" applyBorder="1" applyAlignment="1" applyProtection="1">
      <alignment vertical="center"/>
    </xf>
    <xf numFmtId="10" fontId="8" fillId="0" borderId="0" xfId="0" applyNumberFormat="1" applyFont="1" applyBorder="1" applyProtection="1">
      <alignment vertical="center"/>
      <protection locked="0"/>
    </xf>
    <xf numFmtId="10" fontId="8" fillId="0" borderId="0" xfId="0" applyNumberFormat="1" applyFont="1" applyBorder="1" applyProtection="1">
      <alignment vertical="center"/>
    </xf>
    <xf numFmtId="1" fontId="8" fillId="0" borderId="0" xfId="0" applyNumberFormat="1" applyFont="1" applyBorder="1" applyProtection="1">
      <alignment vertical="center"/>
      <protection locked="0"/>
    </xf>
    <xf numFmtId="164" fontId="8" fillId="0" borderId="0" xfId="0" applyNumberFormat="1" applyFont="1" applyBorder="1" applyProtection="1">
      <alignment vertical="center"/>
      <protection locked="0"/>
    </xf>
    <xf numFmtId="164" fontId="8" fillId="0" borderId="0" xfId="0" applyNumberFormat="1" applyFont="1" applyBorder="1" applyProtection="1">
      <alignment vertical="center"/>
    </xf>
    <xf numFmtId="164" fontId="8" fillId="0" borderId="1" xfId="0" applyNumberFormat="1" applyFont="1" applyBorder="1" applyAlignment="1" applyProtection="1">
      <alignment vertical="center"/>
    </xf>
    <xf numFmtId="164" fontId="8" fillId="0" borderId="1" xfId="0" applyFont="1" applyBorder="1" applyAlignment="1" applyProtection="1">
      <alignment horizontal="left" vertical="center" indent="5"/>
    </xf>
    <xf numFmtId="164" fontId="5" fillId="0" borderId="1" xfId="0" applyNumberFormat="1" applyFont="1" applyBorder="1" applyAlignment="1" applyProtection="1">
      <alignment vertical="center"/>
    </xf>
    <xf numFmtId="10" fontId="8" fillId="0" borderId="1" xfId="0" applyNumberFormat="1" applyFont="1" applyBorder="1" applyProtection="1">
      <alignment vertical="center"/>
    </xf>
    <xf numFmtId="10" fontId="8" fillId="0" borderId="34" xfId="0" applyNumberFormat="1" applyFont="1" applyBorder="1" applyProtection="1">
      <alignment vertical="center"/>
    </xf>
    <xf numFmtId="164" fontId="8" fillId="0" borderId="1" xfId="0" applyNumberFormat="1" applyFont="1" applyBorder="1" applyProtection="1">
      <alignment vertical="center"/>
    </xf>
    <xf numFmtId="10" fontId="8" fillId="0" borderId="25" xfId="0" applyNumberFormat="1" applyFont="1" applyBorder="1" applyProtection="1">
      <alignment vertical="center"/>
    </xf>
    <xf numFmtId="164" fontId="1" fillId="0" borderId="53" xfId="0" applyFont="1" applyBorder="1" applyProtection="1">
      <alignment vertical="center"/>
    </xf>
    <xf numFmtId="164" fontId="5" fillId="0" borderId="6" xfId="0" applyFont="1" applyBorder="1" applyAlignment="1" applyProtection="1">
      <alignment horizontal="left" vertical="center" wrapText="1" indent="2"/>
    </xf>
    <xf numFmtId="10" fontId="8" fillId="0" borderId="32" xfId="0" applyNumberFormat="1" applyFont="1" applyBorder="1" applyProtection="1">
      <alignment vertical="center"/>
      <protection locked="0"/>
    </xf>
    <xf numFmtId="164" fontId="5" fillId="3" borderId="60" xfId="0" applyFont="1" applyFill="1" applyBorder="1" applyAlignment="1" applyProtection="1">
      <alignment horizontal="left" vertical="center" indent="1"/>
    </xf>
    <xf numFmtId="164" fontId="5" fillId="3" borderId="60" xfId="0" applyFont="1" applyFill="1" applyBorder="1" applyAlignment="1" applyProtection="1">
      <alignment horizontal="center"/>
    </xf>
    <xf numFmtId="164" fontId="5" fillId="3" borderId="59" xfId="0" applyFont="1" applyFill="1" applyBorder="1" applyAlignment="1" applyProtection="1">
      <alignment horizontal="center"/>
    </xf>
    <xf numFmtId="164" fontId="5" fillId="3" borderId="98" xfId="0" applyFont="1" applyFill="1" applyBorder="1" applyAlignment="1" applyProtection="1">
      <alignment horizontal="left" vertical="center" indent="1"/>
    </xf>
    <xf numFmtId="164" fontId="5" fillId="0" borderId="19" xfId="0" applyFont="1" applyBorder="1" applyAlignment="1" applyProtection="1">
      <alignment horizontal="left" vertical="center" indent="2"/>
    </xf>
    <xf numFmtId="164" fontId="5" fillId="0" borderId="34" xfId="0" applyNumberFormat="1" applyFont="1" applyBorder="1" applyProtection="1">
      <alignment vertical="center"/>
    </xf>
    <xf numFmtId="0" fontId="34" fillId="0" borderId="25" xfId="0" applyNumberFormat="1" applyFont="1" applyBorder="1" applyProtection="1">
      <alignment vertical="center"/>
    </xf>
    <xf numFmtId="0" fontId="35" fillId="0" borderId="99" xfId="0" applyNumberFormat="1" applyFont="1" applyBorder="1" applyAlignment="1" applyProtection="1">
      <alignment horizontal="center" vertical="center"/>
    </xf>
    <xf numFmtId="164" fontId="35" fillId="0" borderId="99" xfId="0" applyNumberFormat="1" applyFont="1" applyBorder="1" applyAlignment="1" applyProtection="1">
      <alignment horizontal="center" vertical="center"/>
    </xf>
    <xf numFmtId="0" fontId="35" fillId="0" borderId="0" xfId="0" applyNumberFormat="1" applyFont="1" applyBorder="1" applyAlignment="1" applyProtection="1">
      <alignment horizontal="center" vertical="center"/>
    </xf>
    <xf numFmtId="49" fontId="8" fillId="0" borderId="12" xfId="0" applyNumberFormat="1" applyFont="1" applyBorder="1" applyAlignment="1" applyProtection="1">
      <alignment horizontal="left" vertical="center" indent="5"/>
    </xf>
    <xf numFmtId="1" fontId="8" fillId="0" borderId="1" xfId="0" applyNumberFormat="1" applyFont="1" applyBorder="1" applyProtection="1">
      <alignment vertical="center"/>
    </xf>
    <xf numFmtId="0" fontId="36" fillId="0" borderId="99" xfId="0" applyNumberFormat="1" applyFont="1" applyBorder="1" applyAlignment="1" applyProtection="1">
      <alignment horizontal="center" vertical="center"/>
    </xf>
    <xf numFmtId="164" fontId="0" fillId="0" borderId="0" xfId="0" applyAlignment="1">
      <alignment vertical="center" wrapText="1"/>
    </xf>
    <xf numFmtId="164" fontId="6" fillId="0" borderId="0" xfId="0" applyFont="1" applyAlignment="1">
      <alignment horizontal="center" vertical="center"/>
    </xf>
    <xf numFmtId="164" fontId="31" fillId="0" borderId="11" xfId="0" applyFont="1" applyBorder="1" applyAlignment="1">
      <alignment vertical="center" wrapText="1"/>
    </xf>
    <xf numFmtId="164" fontId="5" fillId="0" borderId="11" xfId="0" applyFont="1" applyBorder="1" applyAlignment="1">
      <alignment vertical="center" wrapText="1"/>
    </xf>
    <xf numFmtId="164" fontId="6" fillId="0" borderId="11" xfId="0" applyFont="1" applyBorder="1" applyAlignment="1">
      <alignment vertical="center" wrapText="1"/>
    </xf>
    <xf numFmtId="164" fontId="5" fillId="0" borderId="11" xfId="0" applyFont="1" applyBorder="1" applyAlignment="1">
      <alignment horizontal="left" vertical="center" wrapText="1"/>
    </xf>
    <xf numFmtId="164" fontId="0" fillId="0" borderId="11" xfId="0" applyBorder="1" applyAlignment="1">
      <alignment vertical="center" wrapText="1"/>
    </xf>
    <xf numFmtId="164" fontId="6" fillId="0" borderId="11" xfId="0" applyFont="1" applyBorder="1" applyAlignment="1">
      <alignment horizontal="left" vertical="center" wrapText="1"/>
    </xf>
    <xf numFmtId="164" fontId="5" fillId="0" borderId="11" xfId="0" applyFont="1" applyBorder="1" applyAlignment="1">
      <alignment horizontal="left" vertical="center" wrapText="1" indent="2"/>
    </xf>
    <xf numFmtId="164" fontId="5" fillId="0" borderId="11" xfId="0" applyFont="1" applyBorder="1" applyAlignment="1">
      <alignment horizontal="right" vertical="center" wrapText="1"/>
    </xf>
    <xf numFmtId="164" fontId="37" fillId="0" borderId="11" xfId="2" applyNumberFormat="1" applyBorder="1" applyAlignment="1" applyProtection="1">
      <alignment vertical="center" wrapText="1"/>
    </xf>
    <xf numFmtId="164" fontId="0" fillId="0" borderId="4" xfId="0" applyBorder="1" applyAlignment="1">
      <alignment vertical="center" wrapText="1"/>
    </xf>
    <xf numFmtId="164" fontId="31" fillId="0" borderId="11" xfId="0" applyFont="1" applyBorder="1" applyAlignment="1">
      <alignment horizontal="left" vertical="center" wrapText="1"/>
    </xf>
    <xf numFmtId="49" fontId="9" fillId="2" borderId="5" xfId="0" applyNumberFormat="1" applyFont="1" applyFill="1" applyBorder="1" applyAlignment="1" applyProtection="1">
      <alignment horizontal="left" vertical="center" indent="1"/>
    </xf>
    <xf numFmtId="164" fontId="6" fillId="0" borderId="11" xfId="0" applyFont="1" applyBorder="1" applyAlignment="1">
      <alignment horizontal="center" vertical="center"/>
    </xf>
    <xf numFmtId="164" fontId="0" fillId="0" borderId="11" xfId="0" applyBorder="1">
      <alignment vertical="center"/>
    </xf>
    <xf numFmtId="164" fontId="5" fillId="0" borderId="11" xfId="0" applyFont="1" applyBorder="1" applyAlignment="1">
      <alignment horizontal="center" vertical="center"/>
    </xf>
    <xf numFmtId="164" fontId="37" fillId="0" borderId="11" xfId="2" applyNumberFormat="1" applyBorder="1" applyAlignment="1" applyProtection="1">
      <alignment horizontal="center" vertical="center"/>
    </xf>
    <xf numFmtId="164" fontId="0" fillId="0" borderId="4" xfId="0" applyBorder="1">
      <alignment vertical="center"/>
    </xf>
    <xf numFmtId="164" fontId="11" fillId="0" borderId="11" xfId="0" applyFont="1" applyBorder="1" applyAlignment="1" applyProtection="1">
      <alignment horizontal="left" vertical="center" wrapText="1" indent="2"/>
    </xf>
    <xf numFmtId="10" fontId="17" fillId="3" borderId="32" xfId="0" applyNumberFormat="1" applyFont="1" applyFill="1" applyBorder="1" applyAlignment="1" applyProtection="1">
      <alignment horizontal="center"/>
    </xf>
    <xf numFmtId="164" fontId="12" fillId="3" borderId="6" xfId="0" applyFont="1" applyFill="1" applyBorder="1" applyAlignment="1" applyProtection="1">
      <alignment horizontal="center" vertical="center" wrapText="1"/>
    </xf>
    <xf numFmtId="164" fontId="12" fillId="3" borderId="7" xfId="0" applyFont="1" applyFill="1" applyBorder="1" applyAlignment="1" applyProtection="1">
      <alignment horizontal="center" vertical="center"/>
    </xf>
    <xf numFmtId="3" fontId="24" fillId="0" borderId="43" xfId="0" applyNumberFormat="1" applyFont="1" applyBorder="1" applyAlignment="1" applyProtection="1">
      <alignment horizontal="center" vertical="center" wrapText="1"/>
    </xf>
    <xf numFmtId="3" fontId="24" fillId="0" borderId="35" xfId="0" applyNumberFormat="1" applyFont="1" applyBorder="1" applyAlignment="1" applyProtection="1">
      <alignment horizontal="center" vertical="center"/>
    </xf>
    <xf numFmtId="3" fontId="24" fillId="0" borderId="12" xfId="0" applyNumberFormat="1" applyFont="1" applyBorder="1" applyAlignment="1" applyProtection="1">
      <alignment horizontal="center" vertical="center"/>
    </xf>
    <xf numFmtId="3" fontId="24" fillId="0" borderId="1" xfId="0" applyNumberFormat="1" applyFont="1" applyBorder="1" applyAlignment="1" applyProtection="1">
      <alignment horizontal="center" vertical="center"/>
    </xf>
    <xf numFmtId="3" fontId="24" fillId="0" borderId="19" xfId="0" applyNumberFormat="1" applyFont="1" applyBorder="1" applyAlignment="1" applyProtection="1">
      <alignment horizontal="center" vertical="center"/>
    </xf>
    <xf numFmtId="3" fontId="24" fillId="0" borderId="34" xfId="0" applyNumberFormat="1" applyFont="1" applyBorder="1" applyAlignment="1" applyProtection="1">
      <alignment horizontal="center" vertical="center"/>
    </xf>
    <xf numFmtId="164" fontId="12" fillId="3" borderId="51" xfId="0" applyFont="1" applyFill="1" applyBorder="1" applyAlignment="1" applyProtection="1">
      <alignment horizontal="center" vertical="center" wrapText="1"/>
    </xf>
    <xf numFmtId="164" fontId="12" fillId="3" borderId="36" xfId="0" applyFont="1" applyFill="1" applyBorder="1" applyAlignment="1" applyProtection="1">
      <alignment horizontal="center" vertical="center"/>
    </xf>
    <xf numFmtId="3" fontId="24" fillId="0" borderId="35" xfId="0" applyNumberFormat="1" applyFont="1" applyBorder="1" applyAlignment="1" applyProtection="1">
      <alignment horizontal="center" vertical="center" wrapText="1"/>
    </xf>
    <xf numFmtId="3" fontId="24" fillId="0" borderId="12" xfId="0" applyNumberFormat="1" applyFont="1" applyBorder="1" applyAlignment="1" applyProtection="1">
      <alignment horizontal="center" vertical="center" wrapText="1"/>
    </xf>
    <xf numFmtId="3" fontId="24" fillId="0" borderId="1" xfId="0" applyNumberFormat="1" applyFont="1" applyBorder="1" applyAlignment="1" applyProtection="1">
      <alignment horizontal="center" vertical="center" wrapText="1"/>
    </xf>
    <xf numFmtId="3" fontId="24" fillId="0" borderId="19" xfId="0" applyNumberFormat="1" applyFont="1" applyBorder="1" applyAlignment="1" applyProtection="1">
      <alignment horizontal="center" vertical="center" wrapText="1"/>
    </xf>
    <xf numFmtId="3" fontId="24" fillId="0" borderId="34" xfId="0" applyNumberFormat="1" applyFont="1" applyBorder="1" applyAlignment="1" applyProtection="1">
      <alignment horizontal="center" vertical="center" wrapText="1"/>
    </xf>
    <xf numFmtId="164" fontId="12" fillId="0" borderId="12" xfId="0" applyFont="1" applyFill="1" applyBorder="1" applyAlignment="1" applyProtection="1">
      <alignment horizontal="center" vertical="center"/>
    </xf>
    <xf numFmtId="164" fontId="12" fillId="0" borderId="0" xfId="0" applyFont="1" applyBorder="1" applyAlignment="1" applyProtection="1">
      <alignment horizontal="center" vertical="center"/>
    </xf>
    <xf numFmtId="164" fontId="12" fillId="0" borderId="1" xfId="0" applyFont="1" applyBorder="1" applyAlignment="1" applyProtection="1">
      <alignment horizontal="center" vertical="center"/>
    </xf>
    <xf numFmtId="164" fontId="5" fillId="0" borderId="12" xfId="0" applyFont="1" applyFill="1" applyBorder="1" applyAlignment="1" applyProtection="1">
      <alignment horizontal="center" vertical="center"/>
    </xf>
    <xf numFmtId="164" fontId="0" fillId="0" borderId="0" xfId="0" applyBorder="1" applyAlignment="1" applyProtection="1">
      <alignment horizontal="center" vertical="center"/>
    </xf>
    <xf numFmtId="164" fontId="0" fillId="0" borderId="1" xfId="0"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1" fontId="5" fillId="0" borderId="0" xfId="0" applyNumberFormat="1" applyFont="1" applyFill="1" applyBorder="1" applyAlignment="1" applyProtection="1">
      <alignment horizontal="center" vertical="center"/>
    </xf>
    <xf numFmtId="1" fontId="5" fillId="0" borderId="1" xfId="0" applyNumberFormat="1" applyFont="1" applyFill="1" applyBorder="1" applyAlignment="1" applyProtection="1">
      <alignment horizontal="center" vertical="center"/>
    </xf>
    <xf numFmtId="1" fontId="0" fillId="0" borderId="0" xfId="0" applyNumberFormat="1" applyBorder="1" applyAlignment="1" applyProtection="1">
      <alignment horizontal="center" vertical="center"/>
    </xf>
    <xf numFmtId="1" fontId="0" fillId="0" borderId="1" xfId="0" applyNumberFormat="1" applyBorder="1" applyAlignment="1" applyProtection="1">
      <alignment horizontal="center" vertical="center"/>
    </xf>
    <xf numFmtId="164" fontId="12" fillId="0" borderId="0" xfId="0" applyFont="1" applyBorder="1" applyAlignment="1">
      <alignment horizontal="center" vertical="center"/>
    </xf>
    <xf numFmtId="164" fontId="12" fillId="0" borderId="1" xfId="0" applyFont="1" applyBorder="1" applyAlignment="1">
      <alignment horizontal="center" vertical="center"/>
    </xf>
    <xf numFmtId="164" fontId="12" fillId="0" borderId="12" xfId="0" applyFont="1" applyBorder="1" applyAlignment="1">
      <alignment horizontal="center" vertical="center"/>
    </xf>
  </cellXfs>
  <cellStyles count="3">
    <cellStyle name="Comma" xfId="1" builtinId="3"/>
    <cellStyle name="Hyperlink" xfId="2" builtinId="8"/>
    <cellStyle name="Normal" xfId="0" builtinId="0"/>
  </cellStyles>
  <dxfs count="16">
    <dxf>
      <font>
        <condense val="0"/>
        <extend val="0"/>
        <color rgb="FF9C0006"/>
      </font>
      <fill>
        <patternFill>
          <bgColor rgb="FFFFC7CE"/>
        </patternFill>
      </fill>
    </dxf>
    <dxf>
      <font>
        <condense val="0"/>
        <extend val="0"/>
        <color rgb="FF9C0006"/>
      </font>
      <fill>
        <patternFill>
          <bgColor rgb="FFFFC7CE"/>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strike val="0"/>
        <condense val="0"/>
        <extend val="0"/>
        <color indexed="10"/>
      </font>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F0F0F0"/>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EEEEEE"/>
      <rgbColor rgb="00333399"/>
      <rgbColor rgb="00333333"/>
    </indexedColors>
    <mruColors>
      <color rgb="FF3333FF"/>
    </mruColors>
  </colors>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0.xml"/><Relationship Id="rId3" Type="http://schemas.openxmlformats.org/officeDocument/2006/relationships/worksheet" Target="worksheets/sheet3.xml"/><Relationship Id="rId21" Type="http://schemas.openxmlformats.org/officeDocument/2006/relationships/chartsheet" Target="chartsheets/sheet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microsoft.com/office/2006/relationships/attachedToolbars" Target="attachedToolbars.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1.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3.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71"/>
  <ax:ocxPr ax:name="ForeColor" ax:value="16711680"/>
  <ax:ocxPr ax:name="DisplayStyle" ax:value="3"/>
  <ax:ocxPr ax:name="Size" ax:value="2566;635"/>
  <ax:ocxPr ax:name="MatchEntry" ax:value="1"/>
  <ax:ocxPr ax:name="ShowDropButtonWhen" ax:value="2"/>
  <ax:ocxPr ax:name="Value" ax:value="Ten"/>
  <ax:ocxPr ax:name="FontName" ax:value="Arial"/>
  <ax:ocxPr ax:name="FontHeight" ax:value="195"/>
  <ax:ocxPr ax:name="FontCharSet" ax:value="0"/>
  <ax:ocxPr ax:name="FontPitchAndFamily" ax:value="2"/>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71"/>
  <ax:ocxPr ax:name="ForeColor" ax:value="16711680"/>
  <ax:ocxPr ax:name="DisplayStyle" ax:value="3"/>
  <ax:ocxPr ax:name="Size" ax:value="2566;635"/>
  <ax:ocxPr ax:name="MatchEntry" ax:value="1"/>
  <ax:ocxPr ax:name="ShowDropButtonWhen" ax:value="2"/>
  <ax:ocxPr ax:name="Value" ax:value="2008"/>
  <ax:ocxPr ax:name="FontName" ax:value="Arial"/>
  <ax:ocxPr ax:name="FontHeight" ax:value="195"/>
  <ax:ocxPr ax:name="FontCharSet" ax:value="0"/>
  <ax:ocxPr ax:name="FontPitchAndFamily" ax:value="2"/>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71"/>
  <ax:ocxPr ax:name="ForeColor" ax:value="16711680"/>
  <ax:ocxPr ax:name="DisplayStyle" ax:value="3"/>
  <ax:ocxPr ax:name="Size" ax:value="2566;635"/>
  <ax:ocxPr ax:name="MatchEntry" ax:value="1"/>
  <ax:ocxPr ax:name="ShowDropButtonWhen" ax:value="2"/>
  <ax:ocxPr ax:name="Value" ax:value="January"/>
  <ax:ocxPr ax:name="FontName" ax:value="Arial"/>
  <ax:ocxPr ax:name="FontHeight" ax:value="195"/>
  <ax:ocxPr ax:name="FontCharSet" ax:value="0"/>
  <ax:ocxPr ax:name="FontPitchAndFamily" ax:value="2"/>
</ax:ocx>
</file>

<file path=xl/charts/chart1.xml><?xml version="1.0" encoding="utf-8"?>
<c:chartSpace xmlns:c="http://schemas.openxmlformats.org/drawingml/2006/chart" xmlns:a="http://schemas.openxmlformats.org/drawingml/2006/main" xmlns:r="http://schemas.openxmlformats.org/officeDocument/2006/relationships">
  <c:date1904 val="1"/>
  <c:lang val="en-US"/>
  <c:protection/>
  <c:chart>
    <c:title>
      <c:tx>
        <c:strRef>
          <c:f>Config!$E$33</c:f>
          <c:strCache>
            <c:ptCount val="1"/>
            <c:pt idx="0">
              <c:v>Year 1: Financials At-a-Glance (2008-2009)</c:v>
            </c:pt>
          </c:strCache>
        </c:strRef>
      </c:tx>
      <c:layout>
        <c:manualLayout>
          <c:xMode val="edge"/>
          <c:yMode val="edge"/>
          <c:x val="0.29337772844987192"/>
          <c:y val="2.3926046764545947E-2"/>
        </c:manualLayout>
      </c:layout>
    </c:title>
    <c:view3D>
      <c:rotX val="0"/>
      <c:hPercent val="100"/>
      <c:rotY val="0"/>
      <c:depthPercent val="100"/>
      <c:perspective val="0"/>
    </c:view3D>
    <c:plotArea>
      <c:layout>
        <c:manualLayout>
          <c:layoutTarget val="inner"/>
          <c:xMode val="edge"/>
          <c:yMode val="edge"/>
          <c:x val="8.990011098779134E-2"/>
          <c:y val="0.10603588907014692"/>
          <c:w val="0.77136514983351834"/>
          <c:h val="0.71832517672648466"/>
        </c:manualLayout>
      </c:layout>
      <c:bar3DChart>
        <c:barDir val="col"/>
        <c:grouping val="clustered"/>
        <c:ser>
          <c:idx val="0"/>
          <c:order val="0"/>
          <c:tx>
            <c:v>Gross Sales</c:v>
          </c:tx>
          <c:cat>
            <c:strRef>
              <c:f>IncSt!$C$3:$N$3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IncSt!$C$6:$N$6</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v>Gross Profit</c:v>
          </c:tx>
          <c:cat>
            <c:strRef>
              <c:f>IncSt!$C$3:$N$3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IncSt!$C$11:$N$11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v>Net Profit</c:v>
          </c:tx>
          <c:cat>
            <c:strRef>
              <c:f>IncSt!$C$3:$N$3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IncSt!$C$36:$N$36</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hape val="box"/>
        <c:axId val="61836288"/>
        <c:axId val="61846272"/>
        <c:axId val="0"/>
      </c:bar3DChart>
      <c:catAx>
        <c:axId val="61836288"/>
        <c:scaling>
          <c:orientation val="minMax"/>
        </c:scaling>
        <c:axPos val="b"/>
        <c:numFmt formatCode="&quot;$&quot;#,##0.00" sourceLinked="1"/>
        <c:tickLblPos val="low"/>
        <c:txPr>
          <a:bodyPr rot="-5400000" vert="horz"/>
          <a:lstStyle/>
          <a:p>
            <a:pPr>
              <a:defRPr/>
            </a:pPr>
            <a:endParaRPr lang="en-US"/>
          </a:p>
        </c:txPr>
        <c:crossAx val="61846272"/>
        <c:crosses val="autoZero"/>
        <c:auto val="1"/>
        <c:lblAlgn val="ctr"/>
        <c:lblOffset val="100"/>
        <c:tickLblSkip val="1"/>
        <c:tickMarkSkip val="1"/>
        <c:noMultiLvlLbl val="1"/>
      </c:catAx>
      <c:valAx>
        <c:axId val="61846272"/>
        <c:scaling>
          <c:orientation val="minMax"/>
        </c:scaling>
        <c:axPos val="l"/>
        <c:majorGridlines/>
        <c:numFmt formatCode="&quot;$&quot;#,##0" sourceLinked="1"/>
        <c:tickLblPos val="nextTo"/>
        <c:txPr>
          <a:bodyPr rot="0" vert="horz"/>
          <a:lstStyle/>
          <a:p>
            <a:pPr>
              <a:defRPr/>
            </a:pPr>
            <a:endParaRPr lang="en-US"/>
          </a:p>
        </c:txPr>
        <c:crossAx val="61836288"/>
        <c:crosses val="autoZero"/>
        <c:crossBetween val="between"/>
      </c:valAx>
    </c:plotArea>
    <c:legend>
      <c:legendPos val="r"/>
      <c:layout>
        <c:manualLayout>
          <c:xMode val="edge"/>
          <c:yMode val="edge"/>
          <c:x val="0.81021087680355164"/>
          <c:y val="0.48613376835236582"/>
          <c:w val="0.15205327413984471"/>
          <c:h val="0.10440456769983635"/>
        </c:manualLayout>
      </c:layout>
    </c:legend>
    <c:plotVisOnly val="1"/>
    <c:dispBlanksAs val="gap"/>
  </c:chart>
</c:chartSpace>
</file>

<file path=xl/charts/chart2.xml><?xml version="1.0" encoding="utf-8"?>
<c:chartSpace xmlns:c="http://schemas.openxmlformats.org/drawingml/2006/chart" xmlns:a="http://schemas.openxmlformats.org/drawingml/2006/main" xmlns:r="http://schemas.openxmlformats.org/officeDocument/2006/relationships">
  <c:date1904 val="1"/>
  <c:lang val="en-US"/>
  <c:protection/>
  <c:chart>
    <c:title>
      <c:tx>
        <c:strRef>
          <c:f>Config!$E$34</c:f>
          <c:strCache>
            <c:ptCount val="1"/>
            <c:pt idx="0">
              <c:v>Year 1: Net Sales (2008-2009)</c:v>
            </c:pt>
          </c:strCache>
        </c:strRef>
      </c:tx>
      <c:layout>
        <c:manualLayout>
          <c:xMode val="edge"/>
          <c:yMode val="edge"/>
          <c:x val="0.34961154273029965"/>
          <c:y val="3.2626427406199046E-2"/>
        </c:manualLayout>
      </c:layout>
    </c:title>
    <c:view3D>
      <c:rotX val="0"/>
      <c:hPercent val="100"/>
      <c:rotY val="0"/>
      <c:depthPercent val="100"/>
      <c:perspective val="0"/>
    </c:view3D>
    <c:plotArea>
      <c:layout>
        <c:manualLayout>
          <c:layoutTarget val="inner"/>
          <c:xMode val="edge"/>
          <c:yMode val="edge"/>
          <c:x val="7.399186089530152E-2"/>
          <c:y val="0.11256117455138685"/>
          <c:w val="0.79245283018867962"/>
          <c:h val="0.74714518760195769"/>
        </c:manualLayout>
      </c:layout>
      <c:bar3DChart>
        <c:barDir val="col"/>
        <c:grouping val="stacked"/>
        <c:ser>
          <c:idx val="0"/>
          <c:order val="0"/>
          <c:tx>
            <c:strRef>
              <c:f>SalesProj!$B$5</c:f>
              <c:strCache>
                <c:ptCount val="1"/>
                <c:pt idx="0">
                  <c:v>Product Line 1</c:v>
                </c:pt>
              </c:strCache>
            </c:strRef>
          </c:tx>
          <c:cat>
            <c:strRef>
              <c:f>SalesProj!$E$3:$P$3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SalesProj!$E$11:$P$11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SalesProj!$B$15</c:f>
              <c:strCache>
                <c:ptCount val="1"/>
                <c:pt idx="0">
                  <c:v>Product Line 2</c:v>
                </c:pt>
              </c:strCache>
            </c:strRef>
          </c:tx>
          <c:cat>
            <c:strRef>
              <c:f>SalesProj!$E$3:$P$3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SalesProj!$E$21:$P$21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SalesProj!$B$25</c:f>
              <c:strCache>
                <c:ptCount val="1"/>
                <c:pt idx="0">
                  <c:v>Product Line 3</c:v>
                </c:pt>
              </c:strCache>
            </c:strRef>
          </c:tx>
          <c:cat>
            <c:strRef>
              <c:f>SalesProj!$E$3:$P$3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SalesProj!$E$31:$P$31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SalesProj!$B$35</c:f>
              <c:strCache>
                <c:ptCount val="1"/>
                <c:pt idx="0">
                  <c:v>Product Line 4</c:v>
                </c:pt>
              </c:strCache>
            </c:strRef>
          </c:tx>
          <c:cat>
            <c:strRef>
              <c:f>SalesProj!$E$3:$P$3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SalesProj!$E$41:$P$41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4"/>
          <c:order val="4"/>
          <c:tx>
            <c:strRef>
              <c:f>SalesProj!$B$45</c:f>
              <c:strCache>
                <c:ptCount val="1"/>
                <c:pt idx="0">
                  <c:v>Product Line 5</c:v>
                </c:pt>
              </c:strCache>
            </c:strRef>
          </c:tx>
          <c:val>
            <c:numRef>
              <c:f>SalesProj!$E$51:$P$51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5"/>
          <c:order val="5"/>
          <c:tx>
            <c:strRef>
              <c:f>SalesProj!$B$55</c:f>
              <c:strCache>
                <c:ptCount val="1"/>
                <c:pt idx="0">
                  <c:v>Product Line 6</c:v>
                </c:pt>
              </c:strCache>
            </c:strRef>
          </c:tx>
          <c:val>
            <c:numRef>
              <c:f>SalesProj!$E$61:$P$61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6"/>
          <c:order val="6"/>
          <c:tx>
            <c:strRef>
              <c:f>SalesProj!$B$65</c:f>
              <c:strCache>
                <c:ptCount val="1"/>
                <c:pt idx="0">
                  <c:v>Product Line 7</c:v>
                </c:pt>
              </c:strCache>
            </c:strRef>
          </c:tx>
          <c:val>
            <c:numRef>
              <c:f>SalesProj!$E$71:$P$71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7"/>
          <c:order val="7"/>
          <c:tx>
            <c:strRef>
              <c:f>SalesProj!$B$75</c:f>
              <c:strCache>
                <c:ptCount val="1"/>
                <c:pt idx="0">
                  <c:v>Product Line 8</c:v>
                </c:pt>
              </c:strCache>
            </c:strRef>
          </c:tx>
          <c:val>
            <c:numRef>
              <c:f>SalesProj!$E$81:$P$81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8"/>
          <c:order val="8"/>
          <c:tx>
            <c:strRef>
              <c:f>SalesProj!$B$85</c:f>
              <c:strCache>
                <c:ptCount val="1"/>
                <c:pt idx="0">
                  <c:v>Product Line 9</c:v>
                </c:pt>
              </c:strCache>
            </c:strRef>
          </c:tx>
          <c:val>
            <c:numRef>
              <c:f>SalesProj!$E$91:$P$91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9"/>
          <c:order val="9"/>
          <c:tx>
            <c:strRef>
              <c:f>SalesProj!$B$95</c:f>
              <c:strCache>
                <c:ptCount val="1"/>
                <c:pt idx="0">
                  <c:v>Product Line 10</c:v>
                </c:pt>
              </c:strCache>
            </c:strRef>
          </c:tx>
          <c:val>
            <c:numRef>
              <c:f>SalesProj!$E$101:$P$101</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hape val="box"/>
        <c:axId val="61891328"/>
        <c:axId val="61892864"/>
        <c:axId val="0"/>
      </c:bar3DChart>
      <c:catAx>
        <c:axId val="61891328"/>
        <c:scaling>
          <c:orientation val="minMax"/>
        </c:scaling>
        <c:axPos val="b"/>
        <c:numFmt formatCode="&quot;$&quot;#,##0.00" sourceLinked="1"/>
        <c:tickLblPos val="low"/>
        <c:txPr>
          <a:bodyPr rot="-5400000" vert="horz"/>
          <a:lstStyle/>
          <a:p>
            <a:pPr>
              <a:defRPr/>
            </a:pPr>
            <a:endParaRPr lang="en-US"/>
          </a:p>
        </c:txPr>
        <c:crossAx val="61892864"/>
        <c:crosses val="autoZero"/>
        <c:auto val="1"/>
        <c:lblAlgn val="ctr"/>
        <c:lblOffset val="100"/>
        <c:tickLblSkip val="1"/>
        <c:tickMarkSkip val="1"/>
        <c:noMultiLvlLbl val="1"/>
      </c:catAx>
      <c:valAx>
        <c:axId val="61892864"/>
        <c:scaling>
          <c:orientation val="minMax"/>
        </c:scaling>
        <c:axPos val="l"/>
        <c:majorGridlines/>
        <c:numFmt formatCode="&quot;$&quot;#,##0" sourceLinked="1"/>
        <c:tickLblPos val="nextTo"/>
        <c:txPr>
          <a:bodyPr rot="0" vert="horz"/>
          <a:lstStyle/>
          <a:p>
            <a:pPr>
              <a:defRPr/>
            </a:pPr>
            <a:endParaRPr lang="en-US"/>
          </a:p>
        </c:txPr>
        <c:crossAx val="61891328"/>
        <c:crosses val="autoZero"/>
        <c:crossBetween val="between"/>
      </c:valAx>
    </c:plotArea>
    <c:legend>
      <c:legendPos val="r"/>
      <c:layout>
        <c:manualLayout>
          <c:xMode val="edge"/>
          <c:yMode val="edge"/>
          <c:x val="0.75138734739178692"/>
          <c:y val="0.21044045676998813"/>
          <c:w val="0.20532741398446194"/>
          <c:h val="0.616639477977177"/>
        </c:manualLayout>
      </c:layout>
    </c:legend>
    <c:plotVisOnly val="1"/>
    <c:dispBlanksAs val="gap"/>
  </c:chart>
</c:chartSpace>
</file>

<file path=xl/charts/chart3.xml><?xml version="1.0" encoding="utf-8"?>
<c:chartSpace xmlns:c="http://schemas.openxmlformats.org/drawingml/2006/chart" xmlns:a="http://schemas.openxmlformats.org/drawingml/2006/main" xmlns:r="http://schemas.openxmlformats.org/officeDocument/2006/relationships">
  <c:date1904 val="1"/>
  <c:lang val="en-US"/>
  <c:protection/>
  <c:chart>
    <c:title>
      <c:tx>
        <c:strRef>
          <c:f>Config!$E$35</c:f>
          <c:strCache>
            <c:ptCount val="1"/>
            <c:pt idx="0">
              <c:v>Year 1: Cash Flow (2008-2009)</c:v>
            </c:pt>
          </c:strCache>
        </c:strRef>
      </c:tx>
      <c:layout>
        <c:manualLayout>
          <c:xMode val="edge"/>
          <c:yMode val="edge"/>
          <c:x val="0.35331113577506573"/>
          <c:y val="1.9575856443719477E-2"/>
        </c:manualLayout>
      </c:layout>
    </c:title>
    <c:view3D>
      <c:rotX val="0"/>
      <c:hPercent val="100"/>
      <c:rotY val="0"/>
      <c:depthPercent val="100"/>
      <c:perspective val="0"/>
    </c:view3D>
    <c:plotArea>
      <c:layout>
        <c:manualLayout>
          <c:layoutTarget val="inner"/>
          <c:xMode val="edge"/>
          <c:yMode val="edge"/>
          <c:x val="0.15649278579356343"/>
          <c:y val="9.7879282218596986E-2"/>
          <c:w val="0.66925638179800218"/>
          <c:h val="0.74225122349103989"/>
        </c:manualLayout>
      </c:layout>
      <c:bar3DChart>
        <c:barDir val="col"/>
        <c:grouping val="clustered"/>
        <c:ser>
          <c:idx val="0"/>
          <c:order val="0"/>
          <c:tx>
            <c:v>Net Cash Flow</c:v>
          </c:tx>
          <c:cat>
            <c:strRef>
              <c:f>CshFlw!$C$3:$N$3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CshFlw!$C$29:$N$29</c:f>
              <c:numCache>
                <c:formatCode>"$"#,##0</c:formatCode>
                <c:ptCount val="12"/>
                <c:pt idx="0">
                  <c:v>4.166666666666667</c:v>
                </c:pt>
                <c:pt idx="1">
                  <c:v>4.1701388888888893</c:v>
                </c:pt>
                <c:pt idx="2">
                  <c:v>4.1736140046296297</c:v>
                </c:pt>
                <c:pt idx="3">
                  <c:v>4.177092016300155</c:v>
                </c:pt>
                <c:pt idx="4">
                  <c:v>4.1805729263137374</c:v>
                </c:pt>
                <c:pt idx="5">
                  <c:v>4.1840567370856654</c:v>
                </c:pt>
                <c:pt idx="6">
                  <c:v>4.1875434510332363</c:v>
                </c:pt>
                <c:pt idx="7">
                  <c:v>4.1910330705757639</c:v>
                </c:pt>
                <c:pt idx="8">
                  <c:v>4.1945255981345779</c:v>
                </c:pt>
                <c:pt idx="9">
                  <c:v>4.1980210361330235</c:v>
                </c:pt>
                <c:pt idx="10">
                  <c:v>4.2015193869964671</c:v>
                </c:pt>
                <c:pt idx="11">
                  <c:v>4.2050206531522978</c:v>
                </c:pt>
              </c:numCache>
            </c:numRef>
          </c:val>
        </c:ser>
        <c:ser>
          <c:idx val="1"/>
          <c:order val="1"/>
          <c:tx>
            <c:v>Ending Cash Balance</c:v>
          </c:tx>
          <c:val>
            <c:numRef>
              <c:f>CshFlw!$C$34:$N$34</c:f>
              <c:numCache>
                <c:formatCode>"$"#,##0</c:formatCode>
                <c:ptCount val="12"/>
                <c:pt idx="0">
                  <c:v>5004.166666666667</c:v>
                </c:pt>
                <c:pt idx="1">
                  <c:v>5008.3368055555557</c:v>
                </c:pt>
                <c:pt idx="2">
                  <c:v>5012.5104195601853</c:v>
                </c:pt>
                <c:pt idx="3">
                  <c:v>5016.6875115764851</c:v>
                </c:pt>
                <c:pt idx="4">
                  <c:v>5020.8680845027984</c:v>
                </c:pt>
                <c:pt idx="5">
                  <c:v>5025.0521412398839</c:v>
                </c:pt>
                <c:pt idx="6">
                  <c:v>5029.2396846909169</c:v>
                </c:pt>
                <c:pt idx="7">
                  <c:v>5033.4307177614928</c:v>
                </c:pt>
                <c:pt idx="8">
                  <c:v>5037.6252433596273</c:v>
                </c:pt>
                <c:pt idx="9">
                  <c:v>5041.8232643957608</c:v>
                </c:pt>
                <c:pt idx="10">
                  <c:v>5046.0247837827574</c:v>
                </c:pt>
                <c:pt idx="11">
                  <c:v>5050.2298044359095</c:v>
                </c:pt>
              </c:numCache>
            </c:numRef>
          </c:val>
        </c:ser>
        <c:shape val="box"/>
        <c:axId val="61906304"/>
        <c:axId val="61924480"/>
        <c:axId val="0"/>
      </c:bar3DChart>
      <c:catAx>
        <c:axId val="61906304"/>
        <c:scaling>
          <c:orientation val="minMax"/>
        </c:scaling>
        <c:axPos val="b"/>
        <c:numFmt formatCode="&quot;$&quot;#,##0.00" sourceLinked="1"/>
        <c:tickLblPos val="low"/>
        <c:txPr>
          <a:bodyPr rot="-5400000" vert="horz"/>
          <a:lstStyle/>
          <a:p>
            <a:pPr>
              <a:defRPr/>
            </a:pPr>
            <a:endParaRPr lang="en-US"/>
          </a:p>
        </c:txPr>
        <c:crossAx val="61924480"/>
        <c:crosses val="autoZero"/>
        <c:auto val="1"/>
        <c:lblAlgn val="ctr"/>
        <c:lblOffset val="100"/>
        <c:tickLblSkip val="1"/>
        <c:tickMarkSkip val="1"/>
        <c:noMultiLvlLbl val="1"/>
      </c:catAx>
      <c:valAx>
        <c:axId val="61924480"/>
        <c:scaling>
          <c:orientation val="minMax"/>
        </c:scaling>
        <c:axPos val="l"/>
        <c:majorGridlines/>
        <c:numFmt formatCode="&quot;$&quot;#,##0" sourceLinked="1"/>
        <c:tickLblPos val="nextTo"/>
        <c:txPr>
          <a:bodyPr rot="0" vert="horz"/>
          <a:lstStyle/>
          <a:p>
            <a:pPr>
              <a:defRPr/>
            </a:pPr>
            <a:endParaRPr lang="en-US"/>
          </a:p>
        </c:txPr>
        <c:crossAx val="61906304"/>
        <c:crosses val="autoZero"/>
        <c:crossBetween val="between"/>
      </c:valAx>
    </c:plotArea>
    <c:legend>
      <c:legendPos val="r"/>
      <c:layout>
        <c:manualLayout>
          <c:xMode val="edge"/>
          <c:yMode val="edge"/>
          <c:x val="0.7691453940066596"/>
          <c:y val="0.48613376835236582"/>
          <c:w val="0.16093229744728524"/>
          <c:h val="7.0146818923327872E-2"/>
        </c:manualLayout>
      </c:layout>
    </c:legend>
    <c:plotVisOnly val="1"/>
    <c:dispBlanksAs val="gap"/>
  </c:chart>
</c:chartSpace>
</file>

<file path=xl/charts/chart4.xml><?xml version="1.0" encoding="utf-8"?>
<c:chartSpace xmlns:c="http://schemas.openxmlformats.org/drawingml/2006/chart" xmlns:a="http://schemas.openxmlformats.org/drawingml/2006/main" xmlns:r="http://schemas.openxmlformats.org/officeDocument/2006/relationships">
  <c:date1904 val="1"/>
  <c:lang val="en-US"/>
  <c:protection/>
  <c:chart>
    <c:title>
      <c:tx>
        <c:strRef>
          <c:f>Config!$E$36</c:f>
          <c:strCache>
            <c:ptCount val="1"/>
            <c:pt idx="0">
              <c:v>Year 2: Cash Flow (2009-2010)</c:v>
            </c:pt>
          </c:strCache>
        </c:strRef>
      </c:tx>
      <c:layout>
        <c:manualLayout>
          <c:xMode val="edge"/>
          <c:yMode val="edge"/>
          <c:x val="0.35738068812430829"/>
          <c:y val="1.9575856443719477E-2"/>
        </c:manualLayout>
      </c:layout>
    </c:title>
    <c:view3D>
      <c:rotX val="0"/>
      <c:hPercent val="100"/>
      <c:rotY val="0"/>
      <c:depthPercent val="100"/>
      <c:perspective val="0"/>
    </c:view3D>
    <c:plotArea>
      <c:layout>
        <c:manualLayout>
          <c:layoutTarget val="inner"/>
          <c:xMode val="edge"/>
          <c:yMode val="edge"/>
          <c:x val="0.14317425083241161"/>
          <c:y val="9.7879282218596986E-2"/>
          <c:w val="0.66925638179800218"/>
          <c:h val="0.74225122349103989"/>
        </c:manualLayout>
      </c:layout>
      <c:bar3DChart>
        <c:barDir val="col"/>
        <c:grouping val="clustered"/>
        <c:ser>
          <c:idx val="0"/>
          <c:order val="0"/>
          <c:tx>
            <c:v>Net Cash Flow</c:v>
          </c:tx>
          <c:cat>
            <c:strRef>
              <c:f>CshFlw!$Q$3:$AB$3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CshFlw!$Q$29:$AB$29</c:f>
              <c:numCache>
                <c:formatCode>"$"#,##0</c:formatCode>
                <c:ptCount val="12"/>
                <c:pt idx="0">
                  <c:v>4.2085248370299242</c:v>
                </c:pt>
                <c:pt idx="1">
                  <c:v>4.2120319410607827</c:v>
                </c:pt>
                <c:pt idx="2">
                  <c:v>4.215541967678333</c:v>
                </c:pt>
                <c:pt idx="3">
                  <c:v>4.2190549193180651</c:v>
                </c:pt>
                <c:pt idx="4">
                  <c:v>4.2225707984174967</c:v>
                </c:pt>
                <c:pt idx="5">
                  <c:v>4.2260896074161778</c:v>
                </c:pt>
                <c:pt idx="6">
                  <c:v>4.2296113487556912</c:v>
                </c:pt>
                <c:pt idx="7">
                  <c:v>4.2331360248796539</c:v>
                </c:pt>
                <c:pt idx="8">
                  <c:v>4.2366636382337211</c:v>
                </c:pt>
                <c:pt idx="9">
                  <c:v>4.2401941912655827</c:v>
                </c:pt>
                <c:pt idx="10">
                  <c:v>4.2437276864249709</c:v>
                </c:pt>
                <c:pt idx="11">
                  <c:v>4.2472641261636577</c:v>
                </c:pt>
              </c:numCache>
            </c:numRef>
          </c:val>
        </c:ser>
        <c:ser>
          <c:idx val="1"/>
          <c:order val="1"/>
          <c:tx>
            <c:v>Ending Cash Balance</c:v>
          </c:tx>
          <c:cat>
            <c:strRef>
              <c:f>CshFlw!$Q$3:$AB$3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CshFlw!$Q$34:$AB$34</c:f>
              <c:numCache>
                <c:formatCode>"$"#,##0</c:formatCode>
                <c:ptCount val="12"/>
                <c:pt idx="0">
                  <c:v>5054.438329272939</c:v>
                </c:pt>
                <c:pt idx="1">
                  <c:v>5058.6503612139995</c:v>
                </c:pt>
                <c:pt idx="2">
                  <c:v>5062.8659031816778</c:v>
                </c:pt>
                <c:pt idx="3">
                  <c:v>5067.0849581009961</c:v>
                </c:pt>
                <c:pt idx="4">
                  <c:v>5071.3075288994132</c:v>
                </c:pt>
                <c:pt idx="5">
                  <c:v>5075.533618506829</c:v>
                </c:pt>
                <c:pt idx="6">
                  <c:v>5079.7632298555845</c:v>
                </c:pt>
                <c:pt idx="7">
                  <c:v>5083.9963658804645</c:v>
                </c:pt>
                <c:pt idx="8">
                  <c:v>5088.2330295186985</c:v>
                </c:pt>
                <c:pt idx="9">
                  <c:v>5092.4732237099643</c:v>
                </c:pt>
                <c:pt idx="10">
                  <c:v>5096.716951396389</c:v>
                </c:pt>
                <c:pt idx="11">
                  <c:v>5100.9642155225529</c:v>
                </c:pt>
              </c:numCache>
            </c:numRef>
          </c:val>
        </c:ser>
        <c:shape val="box"/>
        <c:axId val="62139008"/>
        <c:axId val="62140800"/>
        <c:axId val="0"/>
      </c:bar3DChart>
      <c:catAx>
        <c:axId val="62139008"/>
        <c:scaling>
          <c:orientation val="minMax"/>
        </c:scaling>
        <c:axPos val="b"/>
        <c:numFmt formatCode="&quot;$&quot;#,##0.00" sourceLinked="1"/>
        <c:tickLblPos val="low"/>
        <c:txPr>
          <a:bodyPr rot="-5400000" vert="horz"/>
          <a:lstStyle/>
          <a:p>
            <a:pPr>
              <a:defRPr/>
            </a:pPr>
            <a:endParaRPr lang="en-US"/>
          </a:p>
        </c:txPr>
        <c:crossAx val="62140800"/>
        <c:crosses val="autoZero"/>
        <c:auto val="1"/>
        <c:lblAlgn val="ctr"/>
        <c:lblOffset val="100"/>
        <c:tickLblSkip val="1"/>
        <c:tickMarkSkip val="1"/>
        <c:noMultiLvlLbl val="1"/>
      </c:catAx>
      <c:valAx>
        <c:axId val="62140800"/>
        <c:scaling>
          <c:orientation val="minMax"/>
        </c:scaling>
        <c:axPos val="l"/>
        <c:majorGridlines/>
        <c:numFmt formatCode="&quot;$&quot;#,##0" sourceLinked="1"/>
        <c:tickLblPos val="nextTo"/>
        <c:txPr>
          <a:bodyPr rot="0" vert="horz"/>
          <a:lstStyle/>
          <a:p>
            <a:pPr>
              <a:defRPr/>
            </a:pPr>
            <a:endParaRPr lang="en-US"/>
          </a:p>
        </c:txPr>
        <c:crossAx val="62139008"/>
        <c:crosses val="autoZero"/>
        <c:crossBetween val="between"/>
      </c:valAx>
    </c:plotArea>
    <c:legend>
      <c:legendPos val="r"/>
      <c:layout>
        <c:manualLayout>
          <c:xMode val="edge"/>
          <c:yMode val="edge"/>
          <c:x val="0.7691453940066596"/>
          <c:y val="0.48613376835236582"/>
          <c:w val="0.16093229744728524"/>
          <c:h val="7.0146818923327872E-2"/>
        </c:manualLayout>
      </c:layout>
    </c:legend>
    <c:plotVisOnly val="1"/>
    <c:dispBlanksAs val="gap"/>
  </c:chart>
</c:chartSpace>
</file>

<file path=xl/charts/chart5.xml><?xml version="1.0" encoding="utf-8"?>
<c:chartSpace xmlns:c="http://schemas.openxmlformats.org/drawingml/2006/chart" xmlns:a="http://schemas.openxmlformats.org/drawingml/2006/main" xmlns:r="http://schemas.openxmlformats.org/officeDocument/2006/relationships">
  <c:date1904 val="1"/>
  <c:lang val="en-US"/>
  <c:protection/>
  <c:chart>
    <c:title>
      <c:tx>
        <c:strRef>
          <c:f>Config!$E$37</c:f>
          <c:strCache>
            <c:ptCount val="1"/>
            <c:pt idx="0">
              <c:v>5-Year Financials At-a-Glance</c:v>
            </c:pt>
          </c:strCache>
        </c:strRef>
      </c:tx>
      <c:layout>
        <c:manualLayout>
          <c:xMode val="edge"/>
          <c:yMode val="edge"/>
          <c:x val="0.30965593784683687"/>
          <c:y val="1.9575856443719553E-2"/>
        </c:manualLayout>
      </c:layout>
    </c:title>
    <c:view3D>
      <c:rotX val="0"/>
      <c:hPercent val="100"/>
      <c:rotY val="0"/>
      <c:depthPercent val="100"/>
      <c:perspective val="0"/>
    </c:view3D>
    <c:plotArea>
      <c:layout>
        <c:manualLayout>
          <c:layoutTarget val="inner"/>
          <c:xMode val="edge"/>
          <c:yMode val="edge"/>
          <c:x val="7.8801331853497969E-2"/>
          <c:y val="0.11092985318107668"/>
          <c:w val="0.70921198668146501"/>
          <c:h val="0.82544861337685038"/>
        </c:manualLayout>
      </c:layout>
      <c:bar3DChart>
        <c:barDir val="col"/>
        <c:grouping val="clustered"/>
        <c:ser>
          <c:idx val="0"/>
          <c:order val="0"/>
          <c:tx>
            <c:v>Gross Sales</c:v>
          </c:tx>
          <c:cat>
            <c:numRef>
              <c:f>(IncSt!$C$2,IncSt!$Q$2,IncSt!$AE$2,IncSt!$AK$2,IncSt!$AQ$2)</c:f>
              <c:numCache>
                <c:formatCode>0</c:formatCode>
                <c:ptCount val="5"/>
                <c:pt idx="0">
                  <c:v>2008</c:v>
                </c:pt>
                <c:pt idx="1">
                  <c:v>2009</c:v>
                </c:pt>
                <c:pt idx="2">
                  <c:v>2010</c:v>
                </c:pt>
                <c:pt idx="3">
                  <c:v>2011</c:v>
                </c:pt>
                <c:pt idx="4">
                  <c:v>2012</c:v>
                </c:pt>
              </c:numCache>
            </c:numRef>
          </c:cat>
          <c:val>
            <c:numRef>
              <c:f>(IncSt!$O$6,IncSt!$AC$6,IncSt!$AI$6,IncSt!$AO$6,IncSt!$AQ$6)</c:f>
              <c:numCache>
                <c:formatCode>"$"#,##0</c:formatCode>
                <c:ptCount val="5"/>
                <c:pt idx="0">
                  <c:v>0</c:v>
                </c:pt>
                <c:pt idx="1">
                  <c:v>0</c:v>
                </c:pt>
                <c:pt idx="2">
                  <c:v>0</c:v>
                </c:pt>
                <c:pt idx="3">
                  <c:v>0</c:v>
                </c:pt>
                <c:pt idx="4">
                  <c:v>0</c:v>
                </c:pt>
              </c:numCache>
            </c:numRef>
          </c:val>
        </c:ser>
        <c:ser>
          <c:idx val="1"/>
          <c:order val="1"/>
          <c:tx>
            <c:v>Gross Profit</c:v>
          </c:tx>
          <c:cat>
            <c:numRef>
              <c:f>(IncSt!$C$2,IncSt!$Q$2,IncSt!$AE$2,IncSt!$AK$2,IncSt!$AQ$2)</c:f>
              <c:numCache>
                <c:formatCode>0</c:formatCode>
                <c:ptCount val="5"/>
                <c:pt idx="0">
                  <c:v>2008</c:v>
                </c:pt>
                <c:pt idx="1">
                  <c:v>2009</c:v>
                </c:pt>
                <c:pt idx="2">
                  <c:v>2010</c:v>
                </c:pt>
                <c:pt idx="3">
                  <c:v>2011</c:v>
                </c:pt>
                <c:pt idx="4">
                  <c:v>2012</c:v>
                </c:pt>
              </c:numCache>
            </c:numRef>
          </c:cat>
          <c:val>
            <c:numRef>
              <c:f>(IncSt!$O$11,IncSt!$AC$11,IncSt!$AI$11,IncSt!$AO$11,IncSt!$AQ$11)</c:f>
              <c:numCache>
                <c:formatCode>"$"#,##0</c:formatCode>
                <c:ptCount val="5"/>
                <c:pt idx="0">
                  <c:v>0</c:v>
                </c:pt>
                <c:pt idx="1">
                  <c:v>0</c:v>
                </c:pt>
                <c:pt idx="2">
                  <c:v>0</c:v>
                </c:pt>
                <c:pt idx="3">
                  <c:v>0</c:v>
                </c:pt>
                <c:pt idx="4">
                  <c:v>0</c:v>
                </c:pt>
              </c:numCache>
            </c:numRef>
          </c:val>
        </c:ser>
        <c:ser>
          <c:idx val="2"/>
          <c:order val="2"/>
          <c:tx>
            <c:v>Net Profit</c:v>
          </c:tx>
          <c:cat>
            <c:numRef>
              <c:f>(IncSt!$C$2,IncSt!$Q$2,IncSt!$AE$2,IncSt!$AK$2,IncSt!$AQ$2)</c:f>
              <c:numCache>
                <c:formatCode>0</c:formatCode>
                <c:ptCount val="5"/>
                <c:pt idx="0">
                  <c:v>2008</c:v>
                </c:pt>
                <c:pt idx="1">
                  <c:v>2009</c:v>
                </c:pt>
                <c:pt idx="2">
                  <c:v>2010</c:v>
                </c:pt>
                <c:pt idx="3">
                  <c:v>2011</c:v>
                </c:pt>
                <c:pt idx="4">
                  <c:v>2012</c:v>
                </c:pt>
              </c:numCache>
            </c:numRef>
          </c:cat>
          <c:val>
            <c:numRef>
              <c:f>(IncSt!$O$36,IncSt!$AC$36,IncSt!$AI$36,IncSt!$AO$36,IncSt!$AQ$36)</c:f>
              <c:numCache>
                <c:formatCode>"$"#,##0</c:formatCode>
                <c:ptCount val="5"/>
                <c:pt idx="0">
                  <c:v>0</c:v>
                </c:pt>
                <c:pt idx="1">
                  <c:v>0</c:v>
                </c:pt>
                <c:pt idx="2">
                  <c:v>0</c:v>
                </c:pt>
                <c:pt idx="3">
                  <c:v>0</c:v>
                </c:pt>
                <c:pt idx="4">
                  <c:v>0</c:v>
                </c:pt>
              </c:numCache>
            </c:numRef>
          </c:val>
        </c:ser>
        <c:shape val="box"/>
        <c:axId val="62175488"/>
        <c:axId val="62181376"/>
        <c:axId val="0"/>
      </c:bar3DChart>
      <c:catAx>
        <c:axId val="62175488"/>
        <c:scaling>
          <c:orientation val="minMax"/>
        </c:scaling>
        <c:axPos val="b"/>
        <c:numFmt formatCode="0" sourceLinked="1"/>
        <c:tickLblPos val="low"/>
        <c:txPr>
          <a:bodyPr rot="0" vert="horz"/>
          <a:lstStyle/>
          <a:p>
            <a:pPr>
              <a:defRPr/>
            </a:pPr>
            <a:endParaRPr lang="en-US"/>
          </a:p>
        </c:txPr>
        <c:crossAx val="62181376"/>
        <c:crosses val="autoZero"/>
        <c:auto val="1"/>
        <c:lblAlgn val="ctr"/>
        <c:lblOffset val="100"/>
        <c:tickLblSkip val="1"/>
        <c:tickMarkSkip val="1"/>
        <c:noMultiLvlLbl val="1"/>
      </c:catAx>
      <c:valAx>
        <c:axId val="62181376"/>
        <c:scaling>
          <c:orientation val="minMax"/>
        </c:scaling>
        <c:axPos val="l"/>
        <c:majorGridlines/>
        <c:numFmt formatCode="&quot;$&quot;#,##0" sourceLinked="1"/>
        <c:tickLblPos val="nextTo"/>
        <c:txPr>
          <a:bodyPr rot="0" vert="horz"/>
          <a:lstStyle/>
          <a:p>
            <a:pPr>
              <a:defRPr/>
            </a:pPr>
            <a:endParaRPr lang="en-US"/>
          </a:p>
        </c:txPr>
        <c:crossAx val="62175488"/>
        <c:crosses val="autoZero"/>
        <c:crossBetween val="between"/>
      </c:valAx>
    </c:plotArea>
    <c:legend>
      <c:legendPos val="r"/>
      <c:layout>
        <c:manualLayout>
          <c:xMode val="edge"/>
          <c:yMode val="edge"/>
          <c:x val="0.81021087680355164"/>
          <c:y val="0.48613376835236582"/>
          <c:w val="0.15205327413984471"/>
          <c:h val="0.10440456769983635"/>
        </c:manualLayout>
      </c:layout>
    </c:legend>
    <c:plotVisOnly val="1"/>
    <c:dispBlanksAs val="gap"/>
  </c:chart>
</c:chartSpace>
</file>

<file path=xl/charts/chart6.xml><?xml version="1.0" encoding="utf-8"?>
<c:chartSpace xmlns:c="http://schemas.openxmlformats.org/drawingml/2006/chart" xmlns:a="http://schemas.openxmlformats.org/drawingml/2006/main" xmlns:r="http://schemas.openxmlformats.org/officeDocument/2006/relationships">
  <c:date1904 val="1"/>
  <c:lang val="en-US"/>
  <c:protection/>
  <c:chart>
    <c:title>
      <c:tx>
        <c:strRef>
          <c:f>Config!$E$38</c:f>
          <c:strCache>
            <c:ptCount val="1"/>
            <c:pt idx="0">
              <c:v>5-Year Net Sales</c:v>
            </c:pt>
          </c:strCache>
        </c:strRef>
      </c:tx>
      <c:layout>
        <c:manualLayout>
          <c:xMode val="edge"/>
          <c:yMode val="edge"/>
          <c:x val="0.35700929527050596"/>
          <c:y val="1.9575841321323423E-2"/>
        </c:manualLayout>
      </c:layout>
    </c:title>
    <c:view3D>
      <c:rotX val="0"/>
      <c:hPercent val="100"/>
      <c:rotY val="0"/>
      <c:depthPercent val="100"/>
      <c:perspective val="0"/>
    </c:view3D>
    <c:plotArea>
      <c:layout>
        <c:manualLayout>
          <c:layoutTarget val="inner"/>
          <c:xMode val="edge"/>
          <c:yMode val="edge"/>
          <c:x val="3.7735849056604806E-2"/>
          <c:y val="0.10114192495921867"/>
          <c:w val="0.82130965593784688"/>
          <c:h val="0.83034257748776508"/>
        </c:manualLayout>
      </c:layout>
      <c:bar3DChart>
        <c:barDir val="col"/>
        <c:grouping val="stacked"/>
        <c:ser>
          <c:idx val="0"/>
          <c:order val="0"/>
          <c:tx>
            <c:strRef>
              <c:f>SalesProj!$B$5</c:f>
              <c:strCache>
                <c:ptCount val="1"/>
                <c:pt idx="0">
                  <c:v>Product Line 1</c:v>
                </c:pt>
              </c:strCache>
            </c:strRef>
          </c:tx>
          <c:cat>
            <c:numRef>
              <c:f>(SalesProj!$E$2,SalesProj!$S$2,SalesProj!$AG$2,SalesProj!$AM$2,SalesProj!$AS$2)</c:f>
              <c:numCache>
                <c:formatCode>0</c:formatCode>
                <c:ptCount val="5"/>
                <c:pt idx="0">
                  <c:v>2008</c:v>
                </c:pt>
                <c:pt idx="1">
                  <c:v>2009</c:v>
                </c:pt>
                <c:pt idx="2">
                  <c:v>2010</c:v>
                </c:pt>
                <c:pt idx="3">
                  <c:v>2011</c:v>
                </c:pt>
                <c:pt idx="4">
                  <c:v>2012</c:v>
                </c:pt>
              </c:numCache>
            </c:numRef>
          </c:cat>
          <c:val>
            <c:numRef>
              <c:f>(SalesProj!$Q$11,SalesProj!$AE$11,SalesProj!$AK$11,SalesProj!$AQ$11,SalesProj!$AS$11)</c:f>
              <c:numCache>
                <c:formatCode>"$"#,##0</c:formatCode>
                <c:ptCount val="5"/>
                <c:pt idx="0">
                  <c:v>0</c:v>
                </c:pt>
                <c:pt idx="1">
                  <c:v>0</c:v>
                </c:pt>
                <c:pt idx="2">
                  <c:v>0</c:v>
                </c:pt>
                <c:pt idx="3">
                  <c:v>0</c:v>
                </c:pt>
                <c:pt idx="4">
                  <c:v>0</c:v>
                </c:pt>
              </c:numCache>
            </c:numRef>
          </c:val>
        </c:ser>
        <c:ser>
          <c:idx val="1"/>
          <c:order val="1"/>
          <c:tx>
            <c:strRef>
              <c:f>SalesProj!$B$15</c:f>
              <c:strCache>
                <c:ptCount val="1"/>
                <c:pt idx="0">
                  <c:v>Product Line 2</c:v>
                </c:pt>
              </c:strCache>
            </c:strRef>
          </c:tx>
          <c:cat>
            <c:numRef>
              <c:f>(SalesProj!$E$2,SalesProj!$S$2,SalesProj!$AG$2,SalesProj!$AM$2,SalesProj!$AS$2)</c:f>
              <c:numCache>
                <c:formatCode>0</c:formatCode>
                <c:ptCount val="5"/>
                <c:pt idx="0">
                  <c:v>2008</c:v>
                </c:pt>
                <c:pt idx="1">
                  <c:v>2009</c:v>
                </c:pt>
                <c:pt idx="2">
                  <c:v>2010</c:v>
                </c:pt>
                <c:pt idx="3">
                  <c:v>2011</c:v>
                </c:pt>
                <c:pt idx="4">
                  <c:v>2012</c:v>
                </c:pt>
              </c:numCache>
            </c:numRef>
          </c:cat>
          <c:val>
            <c:numRef>
              <c:f>(SalesProj!$Q$21,SalesProj!$AE$21,SalesProj!$AK$21,SalesProj!$AQ$21,SalesProj!$AS$21)</c:f>
              <c:numCache>
                <c:formatCode>"$"#,##0</c:formatCode>
                <c:ptCount val="5"/>
                <c:pt idx="0">
                  <c:v>0</c:v>
                </c:pt>
                <c:pt idx="1">
                  <c:v>0</c:v>
                </c:pt>
                <c:pt idx="2">
                  <c:v>0</c:v>
                </c:pt>
                <c:pt idx="3">
                  <c:v>0</c:v>
                </c:pt>
                <c:pt idx="4">
                  <c:v>0</c:v>
                </c:pt>
              </c:numCache>
            </c:numRef>
          </c:val>
        </c:ser>
        <c:ser>
          <c:idx val="2"/>
          <c:order val="2"/>
          <c:tx>
            <c:strRef>
              <c:f>SalesProj!$B$25</c:f>
              <c:strCache>
                <c:ptCount val="1"/>
                <c:pt idx="0">
                  <c:v>Product Line 3</c:v>
                </c:pt>
              </c:strCache>
            </c:strRef>
          </c:tx>
          <c:cat>
            <c:numRef>
              <c:f>(SalesProj!$E$2,SalesProj!$S$2,SalesProj!$AG$2,SalesProj!$AM$2,SalesProj!$AS$2)</c:f>
              <c:numCache>
                <c:formatCode>0</c:formatCode>
                <c:ptCount val="5"/>
                <c:pt idx="0">
                  <c:v>2008</c:v>
                </c:pt>
                <c:pt idx="1">
                  <c:v>2009</c:v>
                </c:pt>
                <c:pt idx="2">
                  <c:v>2010</c:v>
                </c:pt>
                <c:pt idx="3">
                  <c:v>2011</c:v>
                </c:pt>
                <c:pt idx="4">
                  <c:v>2012</c:v>
                </c:pt>
              </c:numCache>
            </c:numRef>
          </c:cat>
          <c:val>
            <c:numRef>
              <c:f>(SalesProj!$Q$31,SalesProj!$AE$31,SalesProj!$AK$31,SalesProj!$AQ$31,SalesProj!$AS$31)</c:f>
              <c:numCache>
                <c:formatCode>"$"#,##0</c:formatCode>
                <c:ptCount val="5"/>
                <c:pt idx="0">
                  <c:v>0</c:v>
                </c:pt>
                <c:pt idx="1">
                  <c:v>0</c:v>
                </c:pt>
                <c:pt idx="2">
                  <c:v>0</c:v>
                </c:pt>
                <c:pt idx="3">
                  <c:v>0</c:v>
                </c:pt>
                <c:pt idx="4">
                  <c:v>0</c:v>
                </c:pt>
              </c:numCache>
            </c:numRef>
          </c:val>
        </c:ser>
        <c:ser>
          <c:idx val="3"/>
          <c:order val="3"/>
          <c:tx>
            <c:strRef>
              <c:f>SalesProj!$B$35</c:f>
              <c:strCache>
                <c:ptCount val="1"/>
                <c:pt idx="0">
                  <c:v>Product Line 4</c:v>
                </c:pt>
              </c:strCache>
            </c:strRef>
          </c:tx>
          <c:cat>
            <c:numRef>
              <c:f>(SalesProj!$E$2,SalesProj!$S$2,SalesProj!$AG$2,SalesProj!$AM$2,SalesProj!$AS$2)</c:f>
              <c:numCache>
                <c:formatCode>0</c:formatCode>
                <c:ptCount val="5"/>
                <c:pt idx="0">
                  <c:v>2008</c:v>
                </c:pt>
                <c:pt idx="1">
                  <c:v>2009</c:v>
                </c:pt>
                <c:pt idx="2">
                  <c:v>2010</c:v>
                </c:pt>
                <c:pt idx="3">
                  <c:v>2011</c:v>
                </c:pt>
                <c:pt idx="4">
                  <c:v>2012</c:v>
                </c:pt>
              </c:numCache>
            </c:numRef>
          </c:cat>
          <c:val>
            <c:numRef>
              <c:f>(SalesProj!$Q$41,SalesProj!$AE$41,SalesProj!$AK$41,SalesProj!$AQ$41,SalesProj!$AS$41)</c:f>
              <c:numCache>
                <c:formatCode>"$"#,##0</c:formatCode>
                <c:ptCount val="5"/>
                <c:pt idx="0">
                  <c:v>0</c:v>
                </c:pt>
                <c:pt idx="1">
                  <c:v>0</c:v>
                </c:pt>
                <c:pt idx="2">
                  <c:v>0</c:v>
                </c:pt>
                <c:pt idx="3">
                  <c:v>0</c:v>
                </c:pt>
                <c:pt idx="4">
                  <c:v>0</c:v>
                </c:pt>
              </c:numCache>
            </c:numRef>
          </c:val>
        </c:ser>
        <c:ser>
          <c:idx val="4"/>
          <c:order val="4"/>
          <c:tx>
            <c:strRef>
              <c:f>SalesProj!$B$45</c:f>
              <c:strCache>
                <c:ptCount val="1"/>
                <c:pt idx="0">
                  <c:v>Product Line 5</c:v>
                </c:pt>
              </c:strCache>
            </c:strRef>
          </c:tx>
          <c:val>
            <c:numRef>
              <c:f>(SalesProj!$Q$51,SalesProj!$AE$51,SalesProj!$AK$51,SalesProj!$AQ$51,SalesProj!$AS$51)</c:f>
              <c:numCache>
                <c:formatCode>"$"#,##0</c:formatCode>
                <c:ptCount val="5"/>
                <c:pt idx="0">
                  <c:v>0</c:v>
                </c:pt>
                <c:pt idx="1">
                  <c:v>0</c:v>
                </c:pt>
                <c:pt idx="2">
                  <c:v>0</c:v>
                </c:pt>
                <c:pt idx="3">
                  <c:v>0</c:v>
                </c:pt>
                <c:pt idx="4">
                  <c:v>0</c:v>
                </c:pt>
              </c:numCache>
            </c:numRef>
          </c:val>
        </c:ser>
        <c:ser>
          <c:idx val="5"/>
          <c:order val="5"/>
          <c:tx>
            <c:strRef>
              <c:f>SalesProj!$B$55</c:f>
              <c:strCache>
                <c:ptCount val="1"/>
                <c:pt idx="0">
                  <c:v>Product Line 6</c:v>
                </c:pt>
              </c:strCache>
            </c:strRef>
          </c:tx>
          <c:val>
            <c:numRef>
              <c:f>(SalesProj!$Q$61,SalesProj!$AE$61,SalesProj!$AK$61,SalesProj!$AQ$61,SalesProj!$AS$61)</c:f>
              <c:numCache>
                <c:formatCode>"$"#,##0</c:formatCode>
                <c:ptCount val="5"/>
                <c:pt idx="0">
                  <c:v>0</c:v>
                </c:pt>
                <c:pt idx="1">
                  <c:v>0</c:v>
                </c:pt>
                <c:pt idx="2">
                  <c:v>0</c:v>
                </c:pt>
                <c:pt idx="3">
                  <c:v>0</c:v>
                </c:pt>
                <c:pt idx="4">
                  <c:v>0</c:v>
                </c:pt>
              </c:numCache>
            </c:numRef>
          </c:val>
        </c:ser>
        <c:ser>
          <c:idx val="6"/>
          <c:order val="6"/>
          <c:tx>
            <c:strRef>
              <c:f>SalesProj!$B$65</c:f>
              <c:strCache>
                <c:ptCount val="1"/>
                <c:pt idx="0">
                  <c:v>Product Line 7</c:v>
                </c:pt>
              </c:strCache>
            </c:strRef>
          </c:tx>
          <c:val>
            <c:numRef>
              <c:f>(SalesProj!$Q$71,SalesProj!$AE$71,SalesProj!$AK$71,SalesProj!$AQ$71,SalesProj!$AS$71)</c:f>
              <c:numCache>
                <c:formatCode>"$"#,##0</c:formatCode>
                <c:ptCount val="5"/>
                <c:pt idx="0">
                  <c:v>0</c:v>
                </c:pt>
                <c:pt idx="1">
                  <c:v>0</c:v>
                </c:pt>
                <c:pt idx="2">
                  <c:v>0</c:v>
                </c:pt>
                <c:pt idx="3">
                  <c:v>0</c:v>
                </c:pt>
                <c:pt idx="4">
                  <c:v>0</c:v>
                </c:pt>
              </c:numCache>
            </c:numRef>
          </c:val>
        </c:ser>
        <c:ser>
          <c:idx val="7"/>
          <c:order val="7"/>
          <c:tx>
            <c:strRef>
              <c:f>SalesProj!$B$75</c:f>
              <c:strCache>
                <c:ptCount val="1"/>
                <c:pt idx="0">
                  <c:v>Product Line 8</c:v>
                </c:pt>
              </c:strCache>
            </c:strRef>
          </c:tx>
          <c:val>
            <c:numRef>
              <c:f>(SalesProj!$Q$81,SalesProj!$AE$81,SalesProj!$AK$81,SalesProj!$AQ$81,SalesProj!$AS$81)</c:f>
              <c:numCache>
                <c:formatCode>"$"#,##0</c:formatCode>
                <c:ptCount val="5"/>
                <c:pt idx="0">
                  <c:v>0</c:v>
                </c:pt>
                <c:pt idx="1">
                  <c:v>0</c:v>
                </c:pt>
                <c:pt idx="2">
                  <c:v>0</c:v>
                </c:pt>
                <c:pt idx="3">
                  <c:v>0</c:v>
                </c:pt>
                <c:pt idx="4">
                  <c:v>0</c:v>
                </c:pt>
              </c:numCache>
            </c:numRef>
          </c:val>
        </c:ser>
        <c:ser>
          <c:idx val="8"/>
          <c:order val="8"/>
          <c:tx>
            <c:strRef>
              <c:f>SalesProj!$B$85</c:f>
              <c:strCache>
                <c:ptCount val="1"/>
                <c:pt idx="0">
                  <c:v>Product Line 9</c:v>
                </c:pt>
              </c:strCache>
            </c:strRef>
          </c:tx>
          <c:val>
            <c:numRef>
              <c:f>(SalesProj!$Q$91,SalesProj!$AE$91,SalesProj!$AK$91,SalesProj!$AQ$91,SalesProj!$AS$91)</c:f>
              <c:numCache>
                <c:formatCode>"$"#,##0</c:formatCode>
                <c:ptCount val="5"/>
                <c:pt idx="0">
                  <c:v>0</c:v>
                </c:pt>
                <c:pt idx="1">
                  <c:v>0</c:v>
                </c:pt>
                <c:pt idx="2">
                  <c:v>0</c:v>
                </c:pt>
                <c:pt idx="3">
                  <c:v>0</c:v>
                </c:pt>
                <c:pt idx="4">
                  <c:v>0</c:v>
                </c:pt>
              </c:numCache>
            </c:numRef>
          </c:val>
        </c:ser>
        <c:ser>
          <c:idx val="9"/>
          <c:order val="9"/>
          <c:tx>
            <c:strRef>
              <c:f>SalesProj!$B$95</c:f>
              <c:strCache>
                <c:ptCount val="1"/>
                <c:pt idx="0">
                  <c:v>Product Line 10</c:v>
                </c:pt>
              </c:strCache>
            </c:strRef>
          </c:tx>
          <c:val>
            <c:numRef>
              <c:f>(SalesProj!$Q$101,SalesProj!$AE$101,SalesProj!$AK$101,SalesProj!$AQ$101,SalesProj!$AS$101)</c:f>
              <c:numCache>
                <c:formatCode>"$"#,##0</c:formatCode>
                <c:ptCount val="5"/>
                <c:pt idx="0">
                  <c:v>0</c:v>
                </c:pt>
                <c:pt idx="1">
                  <c:v>0</c:v>
                </c:pt>
                <c:pt idx="2">
                  <c:v>0</c:v>
                </c:pt>
                <c:pt idx="3">
                  <c:v>0</c:v>
                </c:pt>
                <c:pt idx="4">
                  <c:v>0</c:v>
                </c:pt>
              </c:numCache>
            </c:numRef>
          </c:val>
        </c:ser>
        <c:shape val="box"/>
        <c:axId val="67612032"/>
        <c:axId val="67622016"/>
        <c:axId val="0"/>
      </c:bar3DChart>
      <c:catAx>
        <c:axId val="67612032"/>
        <c:scaling>
          <c:orientation val="minMax"/>
        </c:scaling>
        <c:axPos val="b"/>
        <c:numFmt formatCode="0" sourceLinked="1"/>
        <c:tickLblPos val="low"/>
        <c:txPr>
          <a:bodyPr rot="0" vert="horz"/>
          <a:lstStyle/>
          <a:p>
            <a:pPr>
              <a:defRPr/>
            </a:pPr>
            <a:endParaRPr lang="en-US"/>
          </a:p>
        </c:txPr>
        <c:crossAx val="67622016"/>
        <c:crosses val="autoZero"/>
        <c:auto val="1"/>
        <c:lblAlgn val="ctr"/>
        <c:lblOffset val="100"/>
        <c:tickLblSkip val="1"/>
        <c:tickMarkSkip val="1"/>
        <c:noMultiLvlLbl val="1"/>
      </c:catAx>
      <c:valAx>
        <c:axId val="67622016"/>
        <c:scaling>
          <c:orientation val="minMax"/>
        </c:scaling>
        <c:axPos val="l"/>
        <c:majorGridlines/>
        <c:numFmt formatCode="&quot;$&quot;#,##0" sourceLinked="1"/>
        <c:tickLblPos val="nextTo"/>
        <c:txPr>
          <a:bodyPr rot="0" vert="horz"/>
          <a:lstStyle/>
          <a:p>
            <a:pPr>
              <a:defRPr/>
            </a:pPr>
            <a:endParaRPr lang="en-US"/>
          </a:p>
        </c:txPr>
        <c:crossAx val="67612032"/>
        <c:crosses val="autoZero"/>
        <c:crossBetween val="between"/>
      </c:valAx>
    </c:plotArea>
    <c:legend>
      <c:legendPos val="r"/>
      <c:layout>
        <c:manualLayout>
          <c:xMode val="edge"/>
          <c:yMode val="edge"/>
          <c:x val="0.77358490566037763"/>
          <c:y val="0.22675367047308317"/>
          <c:w val="0.20310765815760271"/>
          <c:h val="0.62805872756934344"/>
        </c:manualLayout>
      </c:layout>
    </c:legend>
    <c:plotVisOnly val="1"/>
    <c:dispBlanksAs val="gap"/>
  </c:chart>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9.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chartsheets/sheet1.xml><?xml version="1.0" encoding="utf-8"?>
<chartsheet xmlns="http://schemas.openxmlformats.org/spreadsheetml/2006/main" xmlns:r="http://schemas.openxmlformats.org/officeDocument/2006/relationships">
  <sheetPr codeName="Chart3"/>
  <sheetViews>
    <sheetView zoomScale="91" workbookViewId="0"/>
  </sheetViews>
  <sheetProtection content="1" objects="1"/>
  <pageMargins left="0.75" right="0.75" top="1" bottom="1" header="0.5" footer="0.5"/>
  <pageSetup orientation="landscape" horizontalDpi="4294967293" r:id="rId1"/>
  <headerFooter alignWithMargins="0">
    <oddFooter>Page &amp;P of &amp;N</oddFooter>
  </headerFooter>
  <drawing r:id="rId2"/>
</chartsheet>
</file>

<file path=xl/chartsheets/sheet2.xml><?xml version="1.0" encoding="utf-8"?>
<chartsheet xmlns="http://schemas.openxmlformats.org/spreadsheetml/2006/main" xmlns:r="http://schemas.openxmlformats.org/officeDocument/2006/relationships">
  <sheetPr codeName="Chart4"/>
  <sheetViews>
    <sheetView zoomScale="91" workbookViewId="0"/>
  </sheetViews>
  <sheetProtection content="1" objects="1"/>
  <pageMargins left="0.75" right="0.75" top="1" bottom="1" header="0.5" footer="0.5"/>
  <pageSetup orientation="landscape" horizontalDpi="4294967293" r:id="rId1"/>
  <headerFooter alignWithMargins="0">
    <oddFooter>Page &amp;P of &amp;N</oddFooter>
  </headerFooter>
  <drawing r:id="rId2"/>
</chartsheet>
</file>

<file path=xl/chartsheets/sheet3.xml><?xml version="1.0" encoding="utf-8"?>
<chartsheet xmlns="http://schemas.openxmlformats.org/spreadsheetml/2006/main" xmlns:r="http://schemas.openxmlformats.org/officeDocument/2006/relationships">
  <sheetPr codeName="Chart5"/>
  <sheetViews>
    <sheetView zoomScale="91" workbookViewId="0"/>
  </sheetViews>
  <sheetProtection content="1" objects="1"/>
  <pageMargins left="0.75" right="0.75" top="1" bottom="1" header="0.5" footer="0.5"/>
  <pageSetup orientation="landscape" horizontalDpi="4294967293" r:id="rId1"/>
  <headerFooter alignWithMargins="0">
    <oddFooter>Page &amp;P of &amp;N</oddFooter>
  </headerFooter>
  <drawing r:id="rId2"/>
</chartsheet>
</file>

<file path=xl/chartsheets/sheet4.xml><?xml version="1.0" encoding="utf-8"?>
<chartsheet xmlns="http://schemas.openxmlformats.org/spreadsheetml/2006/main" xmlns:r="http://schemas.openxmlformats.org/officeDocument/2006/relationships">
  <sheetPr codeName="Chart6"/>
  <sheetViews>
    <sheetView zoomScale="91" workbookViewId="0"/>
  </sheetViews>
  <sheetProtection content="1" objects="1"/>
  <pageMargins left="0.75" right="0.75" top="1" bottom="1" header="0.5" footer="0.5"/>
  <pageSetup orientation="landscape" horizontalDpi="4294967293" r:id="rId1"/>
  <headerFooter alignWithMargins="0">
    <oddFooter>Page &amp;P of &amp;N</oddFooter>
  </headerFooter>
  <drawing r:id="rId2"/>
</chartsheet>
</file>

<file path=xl/chartsheets/sheet5.xml><?xml version="1.0" encoding="utf-8"?>
<chartsheet xmlns="http://schemas.openxmlformats.org/spreadsheetml/2006/main" xmlns:r="http://schemas.openxmlformats.org/officeDocument/2006/relationships">
  <sheetPr codeName="Chart2"/>
  <sheetViews>
    <sheetView zoomScale="91" workbookViewId="0"/>
  </sheetViews>
  <sheetProtection content="1" objects="1"/>
  <pageMargins left="0.75" right="0.75" top="1" bottom="1" header="0.5" footer="0.5"/>
  <pageSetup orientation="landscape" horizontalDpi="4294967293" r:id="rId1"/>
  <headerFooter alignWithMargins="0">
    <oddFooter>Page &amp;P of &amp;N</oddFooter>
  </headerFooter>
  <drawing r:id="rId2"/>
</chartsheet>
</file>

<file path=xl/chartsheets/sheet6.xml><?xml version="1.0" encoding="utf-8"?>
<chartsheet xmlns="http://schemas.openxmlformats.org/spreadsheetml/2006/main" xmlns:r="http://schemas.openxmlformats.org/officeDocument/2006/relationships">
  <sheetPr codeName="Chart1"/>
  <sheetViews>
    <sheetView zoomScale="91" workbookViewId="0"/>
  </sheetViews>
  <sheetProtection content="1" objects="1"/>
  <pageMargins left="0.75" right="0.75" top="1" bottom="1" header="0.5" footer="0.5"/>
  <pageSetup orientation="landscape" horizontalDpi="4294967293" r:id="rId1"/>
  <headerFooter alignWithMargins="0">
    <oddFooter>Page &amp;P of &amp;N</oddFooter>
  </headerFooter>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 Id="rId4" Type="http://schemas.openxmlformats.org/officeDocument/2006/relationships/image" Target="../media/image5.gif"/></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4.jpeg"/><Relationship Id="rId4"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1</xdr:col>
      <xdr:colOff>990599</xdr:colOff>
      <xdr:row>3</xdr:row>
      <xdr:rowOff>259688</xdr:rowOff>
    </xdr:from>
    <xdr:to>
      <xdr:col>1</xdr:col>
      <xdr:colOff>4581524</xdr:colOff>
      <xdr:row>3</xdr:row>
      <xdr:rowOff>581024</xdr:rowOff>
    </xdr:to>
    <xdr:pic>
      <xdr:nvPicPr>
        <xdr:cNvPr id="31745" name="Picture 1" descr="C:\DOCUME~1\Sue\LOCALS~1\Temp\msohtml1\01\clip_image001.gif"/>
        <xdr:cNvPicPr>
          <a:picLocks noChangeAspect="1" noChangeArrowheads="1"/>
        </xdr:cNvPicPr>
      </xdr:nvPicPr>
      <xdr:blipFill>
        <a:blip xmlns:r="http://schemas.openxmlformats.org/officeDocument/2006/relationships" r:embed="rId1"/>
        <a:srcRect/>
        <a:stretch>
          <a:fillRect/>
        </a:stretch>
      </xdr:blipFill>
      <xdr:spPr bwMode="auto">
        <a:xfrm>
          <a:off x="1724024" y="1707488"/>
          <a:ext cx="3590925" cy="321336"/>
        </a:xfrm>
        <a:prstGeom prst="rect">
          <a:avLst/>
        </a:prstGeom>
        <a:solidFill>
          <a:schemeClr val="accent1"/>
        </a:solid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352425</xdr:colOff>
      <xdr:row>7</xdr:row>
      <xdr:rowOff>47625</xdr:rowOff>
    </xdr:from>
    <xdr:to>
      <xdr:col>1</xdr:col>
      <xdr:colOff>3848100</xdr:colOff>
      <xdr:row>7</xdr:row>
      <xdr:rowOff>1209675</xdr:rowOff>
    </xdr:to>
    <xdr:pic>
      <xdr:nvPicPr>
        <xdr:cNvPr id="4" name="Picture 17" descr="blueCells"/>
        <xdr:cNvPicPr>
          <a:picLocks noChangeAspect="1" noChangeArrowheads="1"/>
        </xdr:cNvPicPr>
      </xdr:nvPicPr>
      <xdr:blipFill>
        <a:blip xmlns:r="http://schemas.openxmlformats.org/officeDocument/2006/relationships" r:embed="rId1"/>
        <a:srcRect/>
        <a:stretch>
          <a:fillRect/>
        </a:stretch>
      </xdr:blipFill>
      <xdr:spPr bwMode="auto">
        <a:xfrm>
          <a:off x="581025" y="4943475"/>
          <a:ext cx="3495675" cy="1162050"/>
        </a:xfrm>
        <a:prstGeom prst="rect">
          <a:avLst/>
        </a:prstGeom>
        <a:noFill/>
        <a:ln w="9525">
          <a:noFill/>
          <a:miter lim="800000"/>
          <a:headEnd/>
          <a:tailEnd/>
        </a:ln>
      </xdr:spPr>
    </xdr:pic>
    <xdr:clientData/>
  </xdr:twoCellAnchor>
  <xdr:twoCellAnchor editAs="oneCell">
    <xdr:from>
      <xdr:col>1</xdr:col>
      <xdr:colOff>485775</xdr:colOff>
      <xdr:row>9</xdr:row>
      <xdr:rowOff>28575</xdr:rowOff>
    </xdr:from>
    <xdr:to>
      <xdr:col>1</xdr:col>
      <xdr:colOff>2714625</xdr:colOff>
      <xdr:row>9</xdr:row>
      <xdr:rowOff>1466850</xdr:rowOff>
    </xdr:to>
    <xdr:pic>
      <xdr:nvPicPr>
        <xdr:cNvPr id="5" name="Picture 18" descr="RedTriangle"/>
        <xdr:cNvPicPr>
          <a:picLocks noChangeAspect="1" noChangeArrowheads="1"/>
        </xdr:cNvPicPr>
      </xdr:nvPicPr>
      <xdr:blipFill>
        <a:blip xmlns:r="http://schemas.openxmlformats.org/officeDocument/2006/relationships" r:embed="rId2"/>
        <a:srcRect/>
        <a:stretch>
          <a:fillRect/>
        </a:stretch>
      </xdr:blipFill>
      <xdr:spPr bwMode="auto">
        <a:xfrm>
          <a:off x="714375" y="6734175"/>
          <a:ext cx="2228850" cy="1438275"/>
        </a:xfrm>
        <a:prstGeom prst="rect">
          <a:avLst/>
        </a:prstGeom>
        <a:noFill/>
        <a:ln w="9525">
          <a:noFill/>
          <a:miter lim="800000"/>
          <a:headEnd/>
          <a:tailEnd/>
        </a:ln>
      </xdr:spPr>
    </xdr:pic>
    <xdr:clientData/>
  </xdr:twoCellAnchor>
  <xdr:twoCellAnchor editAs="oneCell">
    <xdr:from>
      <xdr:col>1</xdr:col>
      <xdr:colOff>4371975</xdr:colOff>
      <xdr:row>12</xdr:row>
      <xdr:rowOff>66675</xdr:rowOff>
    </xdr:from>
    <xdr:to>
      <xdr:col>1</xdr:col>
      <xdr:colOff>4676775</xdr:colOff>
      <xdr:row>13</xdr:row>
      <xdr:rowOff>28575</xdr:rowOff>
    </xdr:to>
    <xdr:pic>
      <xdr:nvPicPr>
        <xdr:cNvPr id="6" name="Picture 19" descr="TPSLogo"/>
        <xdr:cNvPicPr>
          <a:picLocks noChangeAspect="1" noChangeArrowheads="1"/>
        </xdr:cNvPicPr>
      </xdr:nvPicPr>
      <xdr:blipFill>
        <a:blip xmlns:r="http://schemas.openxmlformats.org/officeDocument/2006/relationships" r:embed="rId3"/>
        <a:srcRect/>
        <a:stretch>
          <a:fillRect/>
        </a:stretch>
      </xdr:blipFill>
      <xdr:spPr bwMode="auto">
        <a:xfrm>
          <a:off x="4600575" y="9305925"/>
          <a:ext cx="304800" cy="333375"/>
        </a:xfrm>
        <a:prstGeom prst="rect">
          <a:avLst/>
        </a:prstGeom>
        <a:noFill/>
        <a:ln w="9525">
          <a:noFill/>
          <a:miter lim="800000"/>
          <a:headEnd/>
          <a:tailEnd/>
        </a:ln>
      </xdr:spPr>
    </xdr:pic>
    <xdr:clientData/>
  </xdr:twoCellAnchor>
  <xdr:twoCellAnchor editAs="oneCell">
    <xdr:from>
      <xdr:col>1</xdr:col>
      <xdr:colOff>986118</xdr:colOff>
      <xdr:row>4</xdr:row>
      <xdr:rowOff>2375648</xdr:rowOff>
    </xdr:from>
    <xdr:to>
      <xdr:col>1</xdr:col>
      <xdr:colOff>6815418</xdr:colOff>
      <xdr:row>5</xdr:row>
      <xdr:rowOff>316007</xdr:rowOff>
    </xdr:to>
    <xdr:pic>
      <xdr:nvPicPr>
        <xdr:cNvPr id="34818" name="Picture 2" descr="C:\DOCUME~1\Sue\LOCALS~1\Temp\msohtml1\01\clip_image001.gif"/>
        <xdr:cNvPicPr>
          <a:picLocks noChangeAspect="1" noChangeArrowheads="1"/>
        </xdr:cNvPicPr>
      </xdr:nvPicPr>
      <xdr:blipFill>
        <a:blip xmlns:r="http://schemas.openxmlformats.org/officeDocument/2006/relationships" r:embed="rId4"/>
        <a:srcRect/>
        <a:stretch>
          <a:fillRect/>
        </a:stretch>
      </xdr:blipFill>
      <xdr:spPr bwMode="auto">
        <a:xfrm>
          <a:off x="1210236" y="2947148"/>
          <a:ext cx="5829300" cy="314325"/>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3781425</xdr:colOff>
      <xdr:row>5</xdr:row>
      <xdr:rowOff>0</xdr:rowOff>
    </xdr:from>
    <xdr:to>
      <xdr:col>1</xdr:col>
      <xdr:colOff>8763000</xdr:colOff>
      <xdr:row>5</xdr:row>
      <xdr:rowOff>1533525</xdr:rowOff>
    </xdr:to>
    <xdr:pic>
      <xdr:nvPicPr>
        <xdr:cNvPr id="2" name="Picture 9"/>
        <xdr:cNvPicPr>
          <a:picLocks noChangeAspect="1" noChangeArrowheads="1"/>
        </xdr:cNvPicPr>
      </xdr:nvPicPr>
      <xdr:blipFill>
        <a:blip xmlns:r="http://schemas.openxmlformats.org/officeDocument/2006/relationships" r:embed="rId1"/>
        <a:srcRect/>
        <a:stretch>
          <a:fillRect/>
        </a:stretch>
      </xdr:blipFill>
      <xdr:spPr bwMode="auto">
        <a:xfrm>
          <a:off x="4005543" y="2969559"/>
          <a:ext cx="4981575" cy="1533525"/>
        </a:xfrm>
        <a:prstGeom prst="rect">
          <a:avLst/>
        </a:prstGeom>
        <a:noFill/>
        <a:ln w="9525">
          <a:noFill/>
          <a:miter lim="800000"/>
          <a:headEnd/>
          <a:tailEnd/>
        </a:ln>
      </xdr:spPr>
    </xdr:pic>
    <xdr:clientData/>
  </xdr:twoCellAnchor>
  <xdr:twoCellAnchor editAs="oneCell">
    <xdr:from>
      <xdr:col>1</xdr:col>
      <xdr:colOff>190500</xdr:colOff>
      <xdr:row>5</xdr:row>
      <xdr:rowOff>57150</xdr:rowOff>
    </xdr:from>
    <xdr:to>
      <xdr:col>1</xdr:col>
      <xdr:colOff>3400425</xdr:colOff>
      <xdr:row>5</xdr:row>
      <xdr:rowOff>1514475</xdr:rowOff>
    </xdr:to>
    <xdr:pic>
      <xdr:nvPicPr>
        <xdr:cNvPr id="3" name="Picture 13"/>
        <xdr:cNvPicPr>
          <a:picLocks noChangeAspect="1" noChangeArrowheads="1"/>
        </xdr:cNvPicPr>
      </xdr:nvPicPr>
      <xdr:blipFill>
        <a:blip xmlns:r="http://schemas.openxmlformats.org/officeDocument/2006/relationships" r:embed="rId2"/>
        <a:srcRect/>
        <a:stretch>
          <a:fillRect/>
        </a:stretch>
      </xdr:blipFill>
      <xdr:spPr bwMode="auto">
        <a:xfrm>
          <a:off x="419100" y="3028950"/>
          <a:ext cx="3209925" cy="1457325"/>
        </a:xfrm>
        <a:prstGeom prst="rect">
          <a:avLst/>
        </a:prstGeom>
        <a:noFill/>
        <a:ln w="9525">
          <a:noFill/>
          <a:miter lim="800000"/>
          <a:headEnd/>
          <a:tailEnd/>
        </a:ln>
      </xdr:spPr>
    </xdr:pic>
    <xdr:clientData/>
  </xdr:twoCellAnchor>
  <xdr:twoCellAnchor editAs="oneCell">
    <xdr:from>
      <xdr:col>1</xdr:col>
      <xdr:colOff>352425</xdr:colOff>
      <xdr:row>7</xdr:row>
      <xdr:rowOff>47625</xdr:rowOff>
    </xdr:from>
    <xdr:to>
      <xdr:col>1</xdr:col>
      <xdr:colOff>3848100</xdr:colOff>
      <xdr:row>7</xdr:row>
      <xdr:rowOff>1209675</xdr:rowOff>
    </xdr:to>
    <xdr:pic>
      <xdr:nvPicPr>
        <xdr:cNvPr id="4" name="Picture 17" descr="blueCells"/>
        <xdr:cNvPicPr>
          <a:picLocks noChangeAspect="1" noChangeArrowheads="1"/>
        </xdr:cNvPicPr>
      </xdr:nvPicPr>
      <xdr:blipFill>
        <a:blip xmlns:r="http://schemas.openxmlformats.org/officeDocument/2006/relationships" r:embed="rId3"/>
        <a:srcRect/>
        <a:stretch>
          <a:fillRect/>
        </a:stretch>
      </xdr:blipFill>
      <xdr:spPr bwMode="auto">
        <a:xfrm>
          <a:off x="581025" y="4972050"/>
          <a:ext cx="3495675" cy="1162050"/>
        </a:xfrm>
        <a:prstGeom prst="rect">
          <a:avLst/>
        </a:prstGeom>
        <a:noFill/>
        <a:ln w="9525">
          <a:noFill/>
          <a:miter lim="800000"/>
          <a:headEnd/>
          <a:tailEnd/>
        </a:ln>
      </xdr:spPr>
    </xdr:pic>
    <xdr:clientData/>
  </xdr:twoCellAnchor>
  <xdr:twoCellAnchor editAs="oneCell">
    <xdr:from>
      <xdr:col>1</xdr:col>
      <xdr:colOff>485775</xdr:colOff>
      <xdr:row>9</xdr:row>
      <xdr:rowOff>28575</xdr:rowOff>
    </xdr:from>
    <xdr:to>
      <xdr:col>1</xdr:col>
      <xdr:colOff>2714625</xdr:colOff>
      <xdr:row>9</xdr:row>
      <xdr:rowOff>1466850</xdr:rowOff>
    </xdr:to>
    <xdr:pic>
      <xdr:nvPicPr>
        <xdr:cNvPr id="5" name="Picture 18" descr="RedTriangle"/>
        <xdr:cNvPicPr>
          <a:picLocks noChangeAspect="1" noChangeArrowheads="1"/>
        </xdr:cNvPicPr>
      </xdr:nvPicPr>
      <xdr:blipFill>
        <a:blip xmlns:r="http://schemas.openxmlformats.org/officeDocument/2006/relationships" r:embed="rId4"/>
        <a:srcRect/>
        <a:stretch>
          <a:fillRect/>
        </a:stretch>
      </xdr:blipFill>
      <xdr:spPr bwMode="auto">
        <a:xfrm>
          <a:off x="714375" y="6762750"/>
          <a:ext cx="2228850" cy="1438275"/>
        </a:xfrm>
        <a:prstGeom prst="rect">
          <a:avLst/>
        </a:prstGeom>
        <a:noFill/>
        <a:ln w="9525">
          <a:noFill/>
          <a:miter lim="800000"/>
          <a:headEnd/>
          <a:tailEnd/>
        </a:ln>
      </xdr:spPr>
    </xdr:pic>
    <xdr:clientData/>
  </xdr:twoCellAnchor>
  <xdr:twoCellAnchor editAs="oneCell">
    <xdr:from>
      <xdr:col>1</xdr:col>
      <xdr:colOff>4371975</xdr:colOff>
      <xdr:row>12</xdr:row>
      <xdr:rowOff>66675</xdr:rowOff>
    </xdr:from>
    <xdr:to>
      <xdr:col>1</xdr:col>
      <xdr:colOff>4676775</xdr:colOff>
      <xdr:row>13</xdr:row>
      <xdr:rowOff>28575</xdr:rowOff>
    </xdr:to>
    <xdr:pic>
      <xdr:nvPicPr>
        <xdr:cNvPr id="6" name="Picture 19" descr="TPSLogo"/>
        <xdr:cNvPicPr>
          <a:picLocks noChangeAspect="1" noChangeArrowheads="1"/>
        </xdr:cNvPicPr>
      </xdr:nvPicPr>
      <xdr:blipFill>
        <a:blip xmlns:r="http://schemas.openxmlformats.org/officeDocument/2006/relationships" r:embed="rId5"/>
        <a:srcRect/>
        <a:stretch>
          <a:fillRect/>
        </a:stretch>
      </xdr:blipFill>
      <xdr:spPr bwMode="auto">
        <a:xfrm>
          <a:off x="4600575" y="9334500"/>
          <a:ext cx="304800" cy="3333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1590678</xdr:colOff>
      <xdr:row>3</xdr:row>
      <xdr:rowOff>104778</xdr:rowOff>
    </xdr:from>
    <xdr:to>
      <xdr:col>1</xdr:col>
      <xdr:colOff>3102572</xdr:colOff>
      <xdr:row>9</xdr:row>
      <xdr:rowOff>6947</xdr:rowOff>
    </xdr:to>
    <xdr:pic>
      <xdr:nvPicPr>
        <xdr:cNvPr id="3" name="Picture 2" descr="PS Logo2.png"/>
        <xdr:cNvPicPr>
          <a:picLocks noChangeAspect="1"/>
        </xdr:cNvPicPr>
      </xdr:nvPicPr>
      <xdr:blipFill>
        <a:blip xmlns:r="http://schemas.openxmlformats.org/officeDocument/2006/relationships" r:embed="rId1" cstate="print"/>
        <a:stretch>
          <a:fillRect/>
        </a:stretch>
      </xdr:blipFill>
      <xdr:spPr>
        <a:xfrm>
          <a:off x="1590678" y="428628"/>
          <a:ext cx="1511894" cy="15118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9525</xdr:colOff>
      <xdr:row>15</xdr:row>
      <xdr:rowOff>9525</xdr:rowOff>
    </xdr:from>
    <xdr:to>
      <xdr:col>4</xdr:col>
      <xdr:colOff>171450</xdr:colOff>
      <xdr:row>15</xdr:row>
      <xdr:rowOff>171450</xdr:rowOff>
    </xdr:to>
    <xdr:pic>
      <xdr:nvPicPr>
        <xdr:cNvPr id="2" name="Picture 1" descr="arrowicon.PNG"/>
        <xdr:cNvPicPr>
          <a:picLocks noChangeAspect="1"/>
        </xdr:cNvPicPr>
      </xdr:nvPicPr>
      <xdr:blipFill>
        <a:blip xmlns:r="http://schemas.openxmlformats.org/officeDocument/2006/relationships" r:embed="rId1"/>
        <a:stretch>
          <a:fillRect/>
        </a:stretch>
      </xdr:blipFill>
      <xdr:spPr>
        <a:xfrm>
          <a:off x="4981575" y="3000375"/>
          <a:ext cx="161925" cy="161925"/>
        </a:xfrm>
        <a:prstGeom prst="rect">
          <a:avLst/>
        </a:prstGeom>
      </xdr:spPr>
    </xdr:pic>
    <xdr:clientData/>
  </xdr:twoCellAnchor>
  <xdr:twoCellAnchor editAs="oneCell">
    <xdr:from>
      <xdr:col>4</xdr:col>
      <xdr:colOff>9525</xdr:colOff>
      <xdr:row>11</xdr:row>
      <xdr:rowOff>19050</xdr:rowOff>
    </xdr:from>
    <xdr:to>
      <xdr:col>4</xdr:col>
      <xdr:colOff>171450</xdr:colOff>
      <xdr:row>11</xdr:row>
      <xdr:rowOff>180975</xdr:rowOff>
    </xdr:to>
    <xdr:pic>
      <xdr:nvPicPr>
        <xdr:cNvPr id="3" name="Picture 2" descr="arrowicon.PNG"/>
        <xdr:cNvPicPr>
          <a:picLocks noChangeAspect="1"/>
        </xdr:cNvPicPr>
      </xdr:nvPicPr>
      <xdr:blipFill>
        <a:blip xmlns:r="http://schemas.openxmlformats.org/officeDocument/2006/relationships" r:embed="rId1"/>
        <a:stretch>
          <a:fillRect/>
        </a:stretch>
      </xdr:blipFill>
      <xdr:spPr>
        <a:xfrm>
          <a:off x="4981575" y="2066925"/>
          <a:ext cx="161925" cy="161925"/>
        </a:xfrm>
        <a:prstGeom prst="rect">
          <a:avLst/>
        </a:prstGeom>
      </xdr:spPr>
    </xdr:pic>
    <xdr:clientData/>
  </xdr:twoCellAnchor>
  <xdr:twoCellAnchor editAs="oneCell">
    <xdr:from>
      <xdr:col>4</xdr:col>
      <xdr:colOff>9525</xdr:colOff>
      <xdr:row>8</xdr:row>
      <xdr:rowOff>19050</xdr:rowOff>
    </xdr:from>
    <xdr:to>
      <xdr:col>4</xdr:col>
      <xdr:colOff>171450</xdr:colOff>
      <xdr:row>8</xdr:row>
      <xdr:rowOff>180975</xdr:rowOff>
    </xdr:to>
    <xdr:pic>
      <xdr:nvPicPr>
        <xdr:cNvPr id="4" name="Picture 3" descr="arrowicon.PNG"/>
        <xdr:cNvPicPr>
          <a:picLocks noChangeAspect="1"/>
        </xdr:cNvPicPr>
      </xdr:nvPicPr>
      <xdr:blipFill>
        <a:blip xmlns:r="http://schemas.openxmlformats.org/officeDocument/2006/relationships" r:embed="rId1"/>
        <a:stretch>
          <a:fillRect/>
        </a:stretch>
      </xdr:blipFill>
      <xdr:spPr>
        <a:xfrm>
          <a:off x="4981575" y="1562100"/>
          <a:ext cx="161925" cy="1619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21876"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21876"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1"/>
    <xdr:ext cx="8614368" cy="53277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1"/>
    <xdr:ext cx="8582967" cy="5285852"/>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twoCellAnchor editAs="oneCell">
    <xdr:from>
      <xdr:col>3</xdr:col>
      <xdr:colOff>28575</xdr:colOff>
      <xdr:row>0</xdr:row>
      <xdr:rowOff>19050</xdr:rowOff>
    </xdr:from>
    <xdr:to>
      <xdr:col>3</xdr:col>
      <xdr:colOff>180975</xdr:colOff>
      <xdr:row>1</xdr:row>
      <xdr:rowOff>9525</xdr:rowOff>
    </xdr:to>
    <xdr:pic>
      <xdr:nvPicPr>
        <xdr:cNvPr id="8294" name="Picture 1"/>
        <xdr:cNvPicPr>
          <a:picLocks noChangeAspect="1" noChangeArrowheads="1"/>
        </xdr:cNvPicPr>
      </xdr:nvPicPr>
      <xdr:blipFill>
        <a:blip xmlns:r="http://schemas.openxmlformats.org/officeDocument/2006/relationships" r:embed="rId1"/>
        <a:srcRect/>
        <a:stretch>
          <a:fillRect/>
        </a:stretch>
      </xdr:blipFill>
      <xdr:spPr bwMode="auto">
        <a:xfrm>
          <a:off x="2028825" y="19050"/>
          <a:ext cx="152400" cy="152400"/>
        </a:xfrm>
        <a:prstGeom prst="rect">
          <a:avLst/>
        </a:prstGeom>
        <a:noFill/>
        <a:ln w="1">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Sue/Application%20Data/Microsoft/Excel/EFWorksheets(2.5).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Warning"/>
      <sheetName val="Welcome"/>
      <sheetName val="Welcome OLD"/>
      <sheetName val="Setup"/>
      <sheetName val="SalesProj"/>
      <sheetName val="Inventory"/>
      <sheetName val="CapEx"/>
      <sheetName val="PersBudj"/>
      <sheetName val="MktBudj"/>
      <sheetName val="ProSvs"/>
      <sheetName val="CapInvest"/>
      <sheetName val="IncSt"/>
      <sheetName val="CshFlw"/>
      <sheetName val="BalSht"/>
      <sheetName val="BrkEvn"/>
      <sheetName val="Ratios"/>
      <sheetName val="1YrAtGl"/>
      <sheetName val="NSYr1"/>
      <sheetName val="1YrCshFlw"/>
      <sheetName val="2ndYrCshFlw"/>
      <sheetName val="5YrAtGl"/>
      <sheetName val="NS5Yr"/>
      <sheetName val="Config"/>
    </sheetNames>
    <sheetDataSet>
      <sheetData sheetId="0" refreshError="1"/>
      <sheetData sheetId="1"/>
      <sheetData sheetId="2" refreshError="1"/>
      <sheetData sheetId="3">
        <row r="14">
          <cell r="C14">
            <v>0.25</v>
          </cell>
        </row>
        <row r="16">
          <cell r="C16">
            <v>30</v>
          </cell>
        </row>
        <row r="20">
          <cell r="C20">
            <v>5000</v>
          </cell>
        </row>
        <row r="22">
          <cell r="C22">
            <v>0.05</v>
          </cell>
        </row>
        <row r="24">
          <cell r="C24">
            <v>3.5000000000000003E-2</v>
          </cell>
        </row>
        <row r="26">
          <cell r="C26">
            <v>0.15</v>
          </cell>
        </row>
        <row r="30">
          <cell r="C30">
            <v>5000</v>
          </cell>
        </row>
        <row r="32">
          <cell r="C32">
            <v>0.25</v>
          </cell>
        </row>
        <row r="34">
          <cell r="C34">
            <v>0.01</v>
          </cell>
        </row>
      </sheetData>
      <sheetData sheetId="4">
        <row r="6">
          <cell r="D6">
            <v>0.02</v>
          </cell>
        </row>
        <row r="9">
          <cell r="C9">
            <v>0.5</v>
          </cell>
          <cell r="D9">
            <v>0.15</v>
          </cell>
        </row>
        <row r="10">
          <cell r="D10">
            <v>0.03</v>
          </cell>
        </row>
        <row r="12">
          <cell r="D12">
            <v>0.5</v>
          </cell>
        </row>
        <row r="16">
          <cell r="D16">
            <v>0.02</v>
          </cell>
        </row>
        <row r="19">
          <cell r="C19">
            <v>0.5</v>
          </cell>
          <cell r="D19">
            <v>0.15</v>
          </cell>
        </row>
        <row r="20">
          <cell r="D20">
            <v>0.03</v>
          </cell>
        </row>
        <row r="22">
          <cell r="D22">
            <v>0.5</v>
          </cell>
        </row>
        <row r="26">
          <cell r="D26">
            <v>0.02</v>
          </cell>
        </row>
        <row r="29">
          <cell r="C29">
            <v>0.5</v>
          </cell>
          <cell r="D29">
            <v>0.15</v>
          </cell>
        </row>
        <row r="30">
          <cell r="D30">
            <v>0.03</v>
          </cell>
        </row>
        <row r="32">
          <cell r="D32">
            <v>0.5</v>
          </cell>
        </row>
        <row r="36">
          <cell r="D36">
            <v>0.02</v>
          </cell>
        </row>
        <row r="39">
          <cell r="C39">
            <v>0.5</v>
          </cell>
          <cell r="D39">
            <v>0.15</v>
          </cell>
        </row>
        <row r="40">
          <cell r="D40">
            <v>0.03</v>
          </cell>
        </row>
        <row r="42">
          <cell r="D42">
            <v>0.5</v>
          </cell>
        </row>
        <row r="46">
          <cell r="D46">
            <v>0.02</v>
          </cell>
        </row>
        <row r="49">
          <cell r="C49">
            <v>0.5</v>
          </cell>
          <cell r="D49">
            <v>0.15</v>
          </cell>
        </row>
        <row r="50">
          <cell r="D50">
            <v>0.03</v>
          </cell>
        </row>
        <row r="52">
          <cell r="D52">
            <v>0.5</v>
          </cell>
        </row>
        <row r="56">
          <cell r="D56">
            <v>0.02</v>
          </cell>
        </row>
        <row r="59">
          <cell r="C59">
            <v>0.5</v>
          </cell>
          <cell r="D59">
            <v>0.15</v>
          </cell>
        </row>
        <row r="60">
          <cell r="D60">
            <v>0.03</v>
          </cell>
        </row>
        <row r="62">
          <cell r="D62">
            <v>0.5</v>
          </cell>
        </row>
        <row r="66">
          <cell r="D66">
            <v>0.02</v>
          </cell>
        </row>
        <row r="69">
          <cell r="C69">
            <v>0.5</v>
          </cell>
          <cell r="D69">
            <v>0.15</v>
          </cell>
        </row>
        <row r="70">
          <cell r="D70">
            <v>0.03</v>
          </cell>
        </row>
        <row r="72">
          <cell r="D72">
            <v>0.5</v>
          </cell>
        </row>
        <row r="76">
          <cell r="D76">
            <v>0.02</v>
          </cell>
        </row>
        <row r="79">
          <cell r="C79">
            <v>0.5</v>
          </cell>
          <cell r="D79">
            <v>0.15</v>
          </cell>
        </row>
        <row r="80">
          <cell r="D80">
            <v>0.03</v>
          </cell>
        </row>
        <row r="82">
          <cell r="D82">
            <v>0.5</v>
          </cell>
        </row>
        <row r="86">
          <cell r="D86">
            <v>0.02</v>
          </cell>
        </row>
        <row r="89">
          <cell r="C89">
            <v>0.5</v>
          </cell>
          <cell r="D89">
            <v>0.15</v>
          </cell>
        </row>
        <row r="90">
          <cell r="D90">
            <v>0.03</v>
          </cell>
        </row>
        <row r="92">
          <cell r="D92">
            <v>0.5</v>
          </cell>
        </row>
        <row r="96">
          <cell r="D96">
            <v>0.02</v>
          </cell>
        </row>
        <row r="99">
          <cell r="C99">
            <v>0.5</v>
          </cell>
          <cell r="D99">
            <v>0.15</v>
          </cell>
        </row>
        <row r="100">
          <cell r="D100">
            <v>0.03</v>
          </cell>
        </row>
        <row r="102">
          <cell r="D102">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ow r="1">
          <cell r="I1" t="str">
            <v>Jan</v>
          </cell>
        </row>
        <row r="2">
          <cell r="I2" t="str">
            <v>Feb</v>
          </cell>
          <cell r="K2">
            <v>2008</v>
          </cell>
        </row>
        <row r="3">
          <cell r="I3" t="str">
            <v>Mar</v>
          </cell>
          <cell r="K3">
            <v>2009</v>
          </cell>
        </row>
        <row r="4">
          <cell r="I4" t="str">
            <v>Apr</v>
          </cell>
          <cell r="K4">
            <v>2010</v>
          </cell>
        </row>
        <row r="5">
          <cell r="I5" t="str">
            <v>May</v>
          </cell>
          <cell r="K5">
            <v>2011</v>
          </cell>
        </row>
        <row r="6">
          <cell r="I6" t="str">
            <v>Jun</v>
          </cell>
          <cell r="K6">
            <v>2012</v>
          </cell>
        </row>
        <row r="7">
          <cell r="I7" t="str">
            <v>Jul</v>
          </cell>
        </row>
        <row r="8">
          <cell r="I8" t="str">
            <v>Aug</v>
          </cell>
        </row>
        <row r="9">
          <cell r="I9" t="str">
            <v>Sep</v>
          </cell>
        </row>
        <row r="10">
          <cell r="I10" t="str">
            <v>Oct</v>
          </cell>
        </row>
        <row r="11">
          <cell r="I11" t="str">
            <v>Nov</v>
          </cell>
        </row>
        <row r="12">
          <cell r="I12" t="str">
            <v>Dec</v>
          </cell>
        </row>
        <row r="16">
          <cell r="F16">
            <v>0</v>
          </cell>
        </row>
        <row r="17">
          <cell r="F17">
            <v>0.25</v>
          </cell>
        </row>
        <row r="22">
          <cell r="E22">
            <v>5012.5104195601853</v>
          </cell>
        </row>
        <row r="23">
          <cell r="E23">
            <v>5025.0521412398839</v>
          </cell>
        </row>
        <row r="24">
          <cell r="E24">
            <v>5037.6252433596273</v>
          </cell>
        </row>
        <row r="25">
          <cell r="E25">
            <v>5050.2298044359095</v>
          </cell>
        </row>
        <row r="26">
          <cell r="E26">
            <v>5100.9642155225529</v>
          </cell>
        </row>
        <row r="27">
          <cell r="E27">
            <v>5152.1654628453807</v>
          </cell>
        </row>
        <row r="28">
          <cell r="E28">
            <v>5203.8806458902891</v>
          </cell>
        </row>
        <row r="29">
          <cell r="E29">
            <v>5255.9194523491924</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hyperlink" Target="http://www.macintouch.com/reviews/office2008/"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www.planningshop.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24.bin"/><Relationship Id="rId4" Type="http://schemas.openxmlformats.org/officeDocument/2006/relationships/comments" Target="../comments14.xml"/></Relationships>
</file>

<file path=xl/worksheets/sheet1.xml><?xml version="1.0" encoding="utf-8"?>
<worksheet xmlns="http://schemas.openxmlformats.org/spreadsheetml/2006/main" xmlns:r="http://schemas.openxmlformats.org/officeDocument/2006/relationships">
  <sheetPr codeName="Setup2">
    <pageSetUpPr autoPageBreaks="0"/>
  </sheetPr>
  <dimension ref="A1:B7"/>
  <sheetViews>
    <sheetView showGridLines="0" tabSelected="1" showOutlineSymbols="0" workbookViewId="0">
      <selection activeCell="B3" sqref="B3"/>
    </sheetView>
  </sheetViews>
  <sheetFormatPr defaultColWidth="10.5703125" defaultRowHeight="15"/>
  <cols>
    <col min="1" max="1" width="11" style="4" customWidth="1"/>
    <col min="2" max="2" width="87.42578125" style="4" customWidth="1"/>
    <col min="3" max="16384" width="10.5703125" style="4"/>
  </cols>
  <sheetData>
    <row r="1" spans="1:2" ht="48.75" customHeight="1">
      <c r="B1" s="4" t="s">
        <v>322</v>
      </c>
    </row>
    <row r="2" spans="1:2" s="7" customFormat="1" ht="24.95" customHeight="1">
      <c r="A2" s="2"/>
      <c r="B2" s="765" t="s">
        <v>172</v>
      </c>
    </row>
    <row r="3" spans="1:2" s="7" customFormat="1" ht="40.5" customHeight="1">
      <c r="B3" s="764" t="s">
        <v>316</v>
      </c>
    </row>
    <row r="4" spans="1:2" s="7" customFormat="1" ht="46.5" customHeight="1">
      <c r="B4" s="766" t="s">
        <v>319</v>
      </c>
    </row>
    <row r="5" spans="1:2" s="7" customFormat="1" ht="30" customHeight="1">
      <c r="B5" s="767" t="s">
        <v>320</v>
      </c>
    </row>
    <row r="6" spans="1:2" s="7" customFormat="1" ht="87.75" customHeight="1">
      <c r="B6" s="768" t="s">
        <v>317</v>
      </c>
    </row>
    <row r="7" spans="1:2" s="70" customFormat="1" ht="12.75">
      <c r="B7" s="763"/>
    </row>
  </sheetData>
  <dataConsolidate/>
  <phoneticPr fontId="3" type="noConversion"/>
  <pageMargins left="0.75" right="0.75" top="1" bottom="1" header="0.5" footer="0.5"/>
  <pageSetup orientation="portrait" horizontalDpi="4294967292" verticalDpi="4294967292" r:id="rId1"/>
  <headerFooter alignWithMargins="0">
    <oddHeader>&amp;CYour Company Name</oddHeader>
  </headerFooter>
  <drawing r:id="rId2"/>
</worksheet>
</file>

<file path=xl/worksheets/sheet2.xml><?xml version="1.0" encoding="utf-8"?>
<worksheet xmlns="http://schemas.openxmlformats.org/spreadsheetml/2006/main" xmlns:r="http://schemas.openxmlformats.org/officeDocument/2006/relationships">
  <sheetPr codeName="Sheet9"/>
  <dimension ref="A1:C14"/>
  <sheetViews>
    <sheetView showGridLines="0" zoomScale="85" zoomScaleNormal="85" workbookViewId="0">
      <selection activeCell="B2" sqref="B2"/>
    </sheetView>
  </sheetViews>
  <sheetFormatPr defaultRowHeight="12.75"/>
  <cols>
    <col min="1" max="1" width="3.42578125" style="6" customWidth="1"/>
    <col min="2" max="2" width="135.7109375" style="6" customWidth="1"/>
    <col min="3" max="3" width="1.42578125" style="6" customWidth="1"/>
    <col min="4" max="256" width="9.140625" style="6"/>
    <col min="257" max="257" width="3.42578125" style="6" customWidth="1"/>
    <col min="258" max="258" width="135.7109375" style="6" customWidth="1"/>
    <col min="259" max="259" width="1.42578125" style="6" customWidth="1"/>
    <col min="260" max="512" width="9.140625" style="6"/>
    <col min="513" max="513" width="3.42578125" style="6" customWidth="1"/>
    <col min="514" max="514" width="135.7109375" style="6" customWidth="1"/>
    <col min="515" max="515" width="1.42578125" style="6" customWidth="1"/>
    <col min="516" max="768" width="9.140625" style="6"/>
    <col min="769" max="769" width="3.42578125" style="6" customWidth="1"/>
    <col min="770" max="770" width="135.7109375" style="6" customWidth="1"/>
    <col min="771" max="771" width="1.42578125" style="6" customWidth="1"/>
    <col min="772" max="1024" width="9.140625" style="6"/>
    <col min="1025" max="1025" width="3.42578125" style="6" customWidth="1"/>
    <col min="1026" max="1026" width="135.7109375" style="6" customWidth="1"/>
    <col min="1027" max="1027" width="1.42578125" style="6" customWidth="1"/>
    <col min="1028" max="1280" width="9.140625" style="6"/>
    <col min="1281" max="1281" width="3.42578125" style="6" customWidth="1"/>
    <col min="1282" max="1282" width="135.7109375" style="6" customWidth="1"/>
    <col min="1283" max="1283" width="1.42578125" style="6" customWidth="1"/>
    <col min="1284" max="1536" width="9.140625" style="6"/>
    <col min="1537" max="1537" width="3.42578125" style="6" customWidth="1"/>
    <col min="1538" max="1538" width="135.7109375" style="6" customWidth="1"/>
    <col min="1539" max="1539" width="1.42578125" style="6" customWidth="1"/>
    <col min="1540" max="1792" width="9.140625" style="6"/>
    <col min="1793" max="1793" width="3.42578125" style="6" customWidth="1"/>
    <col min="1794" max="1794" width="135.7109375" style="6" customWidth="1"/>
    <col min="1795" max="1795" width="1.42578125" style="6" customWidth="1"/>
    <col min="1796" max="2048" width="9.140625" style="6"/>
    <col min="2049" max="2049" width="3.42578125" style="6" customWidth="1"/>
    <col min="2050" max="2050" width="135.7109375" style="6" customWidth="1"/>
    <col min="2051" max="2051" width="1.42578125" style="6" customWidth="1"/>
    <col min="2052" max="2304" width="9.140625" style="6"/>
    <col min="2305" max="2305" width="3.42578125" style="6" customWidth="1"/>
    <col min="2306" max="2306" width="135.7109375" style="6" customWidth="1"/>
    <col min="2307" max="2307" width="1.42578125" style="6" customWidth="1"/>
    <col min="2308" max="2560" width="9.140625" style="6"/>
    <col min="2561" max="2561" width="3.42578125" style="6" customWidth="1"/>
    <col min="2562" max="2562" width="135.7109375" style="6" customWidth="1"/>
    <col min="2563" max="2563" width="1.42578125" style="6" customWidth="1"/>
    <col min="2564" max="2816" width="9.140625" style="6"/>
    <col min="2817" max="2817" width="3.42578125" style="6" customWidth="1"/>
    <col min="2818" max="2818" width="135.7109375" style="6" customWidth="1"/>
    <col min="2819" max="2819" width="1.42578125" style="6" customWidth="1"/>
    <col min="2820" max="3072" width="9.140625" style="6"/>
    <col min="3073" max="3073" width="3.42578125" style="6" customWidth="1"/>
    <col min="3074" max="3074" width="135.7109375" style="6" customWidth="1"/>
    <col min="3075" max="3075" width="1.42578125" style="6" customWidth="1"/>
    <col min="3076" max="3328" width="9.140625" style="6"/>
    <col min="3329" max="3329" width="3.42578125" style="6" customWidth="1"/>
    <col min="3330" max="3330" width="135.7109375" style="6" customWidth="1"/>
    <col min="3331" max="3331" width="1.42578125" style="6" customWidth="1"/>
    <col min="3332" max="3584" width="9.140625" style="6"/>
    <col min="3585" max="3585" width="3.42578125" style="6" customWidth="1"/>
    <col min="3586" max="3586" width="135.7109375" style="6" customWidth="1"/>
    <col min="3587" max="3587" width="1.42578125" style="6" customWidth="1"/>
    <col min="3588" max="3840" width="9.140625" style="6"/>
    <col min="3841" max="3841" width="3.42578125" style="6" customWidth="1"/>
    <col min="3842" max="3842" width="135.7109375" style="6" customWidth="1"/>
    <col min="3843" max="3843" width="1.42578125" style="6" customWidth="1"/>
    <col min="3844" max="4096" width="9.140625" style="6"/>
    <col min="4097" max="4097" width="3.42578125" style="6" customWidth="1"/>
    <col min="4098" max="4098" width="135.7109375" style="6" customWidth="1"/>
    <col min="4099" max="4099" width="1.42578125" style="6" customWidth="1"/>
    <col min="4100" max="4352" width="9.140625" style="6"/>
    <col min="4353" max="4353" width="3.42578125" style="6" customWidth="1"/>
    <col min="4354" max="4354" width="135.7109375" style="6" customWidth="1"/>
    <col min="4355" max="4355" width="1.42578125" style="6" customWidth="1"/>
    <col min="4356" max="4608" width="9.140625" style="6"/>
    <col min="4609" max="4609" width="3.42578125" style="6" customWidth="1"/>
    <col min="4610" max="4610" width="135.7109375" style="6" customWidth="1"/>
    <col min="4611" max="4611" width="1.42578125" style="6" customWidth="1"/>
    <col min="4612" max="4864" width="9.140625" style="6"/>
    <col min="4865" max="4865" width="3.42578125" style="6" customWidth="1"/>
    <col min="4866" max="4866" width="135.7109375" style="6" customWidth="1"/>
    <col min="4867" max="4867" width="1.42578125" style="6" customWidth="1"/>
    <col min="4868" max="5120" width="9.140625" style="6"/>
    <col min="5121" max="5121" width="3.42578125" style="6" customWidth="1"/>
    <col min="5122" max="5122" width="135.7109375" style="6" customWidth="1"/>
    <col min="5123" max="5123" width="1.42578125" style="6" customWidth="1"/>
    <col min="5124" max="5376" width="9.140625" style="6"/>
    <col min="5377" max="5377" width="3.42578125" style="6" customWidth="1"/>
    <col min="5378" max="5378" width="135.7109375" style="6" customWidth="1"/>
    <col min="5379" max="5379" width="1.42578125" style="6" customWidth="1"/>
    <col min="5380" max="5632" width="9.140625" style="6"/>
    <col min="5633" max="5633" width="3.42578125" style="6" customWidth="1"/>
    <col min="5634" max="5634" width="135.7109375" style="6" customWidth="1"/>
    <col min="5635" max="5635" width="1.42578125" style="6" customWidth="1"/>
    <col min="5636" max="5888" width="9.140625" style="6"/>
    <col min="5889" max="5889" width="3.42578125" style="6" customWidth="1"/>
    <col min="5890" max="5890" width="135.7109375" style="6" customWidth="1"/>
    <col min="5891" max="5891" width="1.42578125" style="6" customWidth="1"/>
    <col min="5892" max="6144" width="9.140625" style="6"/>
    <col min="6145" max="6145" width="3.42578125" style="6" customWidth="1"/>
    <col min="6146" max="6146" width="135.7109375" style="6" customWidth="1"/>
    <col min="6147" max="6147" width="1.42578125" style="6" customWidth="1"/>
    <col min="6148" max="6400" width="9.140625" style="6"/>
    <col min="6401" max="6401" width="3.42578125" style="6" customWidth="1"/>
    <col min="6402" max="6402" width="135.7109375" style="6" customWidth="1"/>
    <col min="6403" max="6403" width="1.42578125" style="6" customWidth="1"/>
    <col min="6404" max="6656" width="9.140625" style="6"/>
    <col min="6657" max="6657" width="3.42578125" style="6" customWidth="1"/>
    <col min="6658" max="6658" width="135.7109375" style="6" customWidth="1"/>
    <col min="6659" max="6659" width="1.42578125" style="6" customWidth="1"/>
    <col min="6660" max="6912" width="9.140625" style="6"/>
    <col min="6913" max="6913" width="3.42578125" style="6" customWidth="1"/>
    <col min="6914" max="6914" width="135.7109375" style="6" customWidth="1"/>
    <col min="6915" max="6915" width="1.42578125" style="6" customWidth="1"/>
    <col min="6916" max="7168" width="9.140625" style="6"/>
    <col min="7169" max="7169" width="3.42578125" style="6" customWidth="1"/>
    <col min="7170" max="7170" width="135.7109375" style="6" customWidth="1"/>
    <col min="7171" max="7171" width="1.42578125" style="6" customWidth="1"/>
    <col min="7172" max="7424" width="9.140625" style="6"/>
    <col min="7425" max="7425" width="3.42578125" style="6" customWidth="1"/>
    <col min="7426" max="7426" width="135.7109375" style="6" customWidth="1"/>
    <col min="7427" max="7427" width="1.42578125" style="6" customWidth="1"/>
    <col min="7428" max="7680" width="9.140625" style="6"/>
    <col min="7681" max="7681" width="3.42578125" style="6" customWidth="1"/>
    <col min="7682" max="7682" width="135.7109375" style="6" customWidth="1"/>
    <col min="7683" max="7683" width="1.42578125" style="6" customWidth="1"/>
    <col min="7684" max="7936" width="9.140625" style="6"/>
    <col min="7937" max="7937" width="3.42578125" style="6" customWidth="1"/>
    <col min="7938" max="7938" width="135.7109375" style="6" customWidth="1"/>
    <col min="7939" max="7939" width="1.42578125" style="6" customWidth="1"/>
    <col min="7940" max="8192" width="9.140625" style="6"/>
    <col min="8193" max="8193" width="3.42578125" style="6" customWidth="1"/>
    <col min="8194" max="8194" width="135.7109375" style="6" customWidth="1"/>
    <col min="8195" max="8195" width="1.42578125" style="6" customWidth="1"/>
    <col min="8196" max="8448" width="9.140625" style="6"/>
    <col min="8449" max="8449" width="3.42578125" style="6" customWidth="1"/>
    <col min="8450" max="8450" width="135.7109375" style="6" customWidth="1"/>
    <col min="8451" max="8451" width="1.42578125" style="6" customWidth="1"/>
    <col min="8452" max="8704" width="9.140625" style="6"/>
    <col min="8705" max="8705" width="3.42578125" style="6" customWidth="1"/>
    <col min="8706" max="8706" width="135.7109375" style="6" customWidth="1"/>
    <col min="8707" max="8707" width="1.42578125" style="6" customWidth="1"/>
    <col min="8708" max="8960" width="9.140625" style="6"/>
    <col min="8961" max="8961" width="3.42578125" style="6" customWidth="1"/>
    <col min="8962" max="8962" width="135.7109375" style="6" customWidth="1"/>
    <col min="8963" max="8963" width="1.42578125" style="6" customWidth="1"/>
    <col min="8964" max="9216" width="9.140625" style="6"/>
    <col min="9217" max="9217" width="3.42578125" style="6" customWidth="1"/>
    <col min="9218" max="9218" width="135.7109375" style="6" customWidth="1"/>
    <col min="9219" max="9219" width="1.42578125" style="6" customWidth="1"/>
    <col min="9220" max="9472" width="9.140625" style="6"/>
    <col min="9473" max="9473" width="3.42578125" style="6" customWidth="1"/>
    <col min="9474" max="9474" width="135.7109375" style="6" customWidth="1"/>
    <col min="9475" max="9475" width="1.42578125" style="6" customWidth="1"/>
    <col min="9476" max="9728" width="9.140625" style="6"/>
    <col min="9729" max="9729" width="3.42578125" style="6" customWidth="1"/>
    <col min="9730" max="9730" width="135.7109375" style="6" customWidth="1"/>
    <col min="9731" max="9731" width="1.42578125" style="6" customWidth="1"/>
    <col min="9732" max="9984" width="9.140625" style="6"/>
    <col min="9985" max="9985" width="3.42578125" style="6" customWidth="1"/>
    <col min="9986" max="9986" width="135.7109375" style="6" customWidth="1"/>
    <col min="9987" max="9987" width="1.42578125" style="6" customWidth="1"/>
    <col min="9988" max="10240" width="9.140625" style="6"/>
    <col min="10241" max="10241" width="3.42578125" style="6" customWidth="1"/>
    <col min="10242" max="10242" width="135.7109375" style="6" customWidth="1"/>
    <col min="10243" max="10243" width="1.42578125" style="6" customWidth="1"/>
    <col min="10244" max="10496" width="9.140625" style="6"/>
    <col min="10497" max="10497" width="3.42578125" style="6" customWidth="1"/>
    <col min="10498" max="10498" width="135.7109375" style="6" customWidth="1"/>
    <col min="10499" max="10499" width="1.42578125" style="6" customWidth="1"/>
    <col min="10500" max="10752" width="9.140625" style="6"/>
    <col min="10753" max="10753" width="3.42578125" style="6" customWidth="1"/>
    <col min="10754" max="10754" width="135.7109375" style="6" customWidth="1"/>
    <col min="10755" max="10755" width="1.42578125" style="6" customWidth="1"/>
    <col min="10756" max="11008" width="9.140625" style="6"/>
    <col min="11009" max="11009" width="3.42578125" style="6" customWidth="1"/>
    <col min="11010" max="11010" width="135.7109375" style="6" customWidth="1"/>
    <col min="11011" max="11011" width="1.42578125" style="6" customWidth="1"/>
    <col min="11012" max="11264" width="9.140625" style="6"/>
    <col min="11265" max="11265" width="3.42578125" style="6" customWidth="1"/>
    <col min="11266" max="11266" width="135.7109375" style="6" customWidth="1"/>
    <col min="11267" max="11267" width="1.42578125" style="6" customWidth="1"/>
    <col min="11268" max="11520" width="9.140625" style="6"/>
    <col min="11521" max="11521" width="3.42578125" style="6" customWidth="1"/>
    <col min="11522" max="11522" width="135.7109375" style="6" customWidth="1"/>
    <col min="11523" max="11523" width="1.42578125" style="6" customWidth="1"/>
    <col min="11524" max="11776" width="9.140625" style="6"/>
    <col min="11777" max="11777" width="3.42578125" style="6" customWidth="1"/>
    <col min="11778" max="11778" width="135.7109375" style="6" customWidth="1"/>
    <col min="11779" max="11779" width="1.42578125" style="6" customWidth="1"/>
    <col min="11780" max="12032" width="9.140625" style="6"/>
    <col min="12033" max="12033" width="3.42578125" style="6" customWidth="1"/>
    <col min="12034" max="12034" width="135.7109375" style="6" customWidth="1"/>
    <col min="12035" max="12035" width="1.42578125" style="6" customWidth="1"/>
    <col min="12036" max="12288" width="9.140625" style="6"/>
    <col min="12289" max="12289" width="3.42578125" style="6" customWidth="1"/>
    <col min="12290" max="12290" width="135.7109375" style="6" customWidth="1"/>
    <col min="12291" max="12291" width="1.42578125" style="6" customWidth="1"/>
    <col min="12292" max="12544" width="9.140625" style="6"/>
    <col min="12545" max="12545" width="3.42578125" style="6" customWidth="1"/>
    <col min="12546" max="12546" width="135.7109375" style="6" customWidth="1"/>
    <col min="12547" max="12547" width="1.42578125" style="6" customWidth="1"/>
    <col min="12548" max="12800" width="9.140625" style="6"/>
    <col min="12801" max="12801" width="3.42578125" style="6" customWidth="1"/>
    <col min="12802" max="12802" width="135.7109375" style="6" customWidth="1"/>
    <col min="12803" max="12803" width="1.42578125" style="6" customWidth="1"/>
    <col min="12804" max="13056" width="9.140625" style="6"/>
    <col min="13057" max="13057" width="3.42578125" style="6" customWidth="1"/>
    <col min="13058" max="13058" width="135.7109375" style="6" customWidth="1"/>
    <col min="13059" max="13059" width="1.42578125" style="6" customWidth="1"/>
    <col min="13060" max="13312" width="9.140625" style="6"/>
    <col min="13313" max="13313" width="3.42578125" style="6" customWidth="1"/>
    <col min="13314" max="13314" width="135.7109375" style="6" customWidth="1"/>
    <col min="13315" max="13315" width="1.42578125" style="6" customWidth="1"/>
    <col min="13316" max="13568" width="9.140625" style="6"/>
    <col min="13569" max="13569" width="3.42578125" style="6" customWidth="1"/>
    <col min="13570" max="13570" width="135.7109375" style="6" customWidth="1"/>
    <col min="13571" max="13571" width="1.42578125" style="6" customWidth="1"/>
    <col min="13572" max="13824" width="9.140625" style="6"/>
    <col min="13825" max="13825" width="3.42578125" style="6" customWidth="1"/>
    <col min="13826" max="13826" width="135.7109375" style="6" customWidth="1"/>
    <col min="13827" max="13827" width="1.42578125" style="6" customWidth="1"/>
    <col min="13828" max="14080" width="9.140625" style="6"/>
    <col min="14081" max="14081" width="3.42578125" style="6" customWidth="1"/>
    <col min="14082" max="14082" width="135.7109375" style="6" customWidth="1"/>
    <col min="14083" max="14083" width="1.42578125" style="6" customWidth="1"/>
    <col min="14084" max="14336" width="9.140625" style="6"/>
    <col min="14337" max="14337" width="3.42578125" style="6" customWidth="1"/>
    <col min="14338" max="14338" width="135.7109375" style="6" customWidth="1"/>
    <col min="14339" max="14339" width="1.42578125" style="6" customWidth="1"/>
    <col min="14340" max="14592" width="9.140625" style="6"/>
    <col min="14593" max="14593" width="3.42578125" style="6" customWidth="1"/>
    <col min="14594" max="14594" width="135.7109375" style="6" customWidth="1"/>
    <col min="14595" max="14595" width="1.42578125" style="6" customWidth="1"/>
    <col min="14596" max="14848" width="9.140625" style="6"/>
    <col min="14849" max="14849" width="3.42578125" style="6" customWidth="1"/>
    <col min="14850" max="14850" width="135.7109375" style="6" customWidth="1"/>
    <col min="14851" max="14851" width="1.42578125" style="6" customWidth="1"/>
    <col min="14852" max="15104" width="9.140625" style="6"/>
    <col min="15105" max="15105" width="3.42578125" style="6" customWidth="1"/>
    <col min="15106" max="15106" width="135.7109375" style="6" customWidth="1"/>
    <col min="15107" max="15107" width="1.42578125" style="6" customWidth="1"/>
    <col min="15108" max="15360" width="9.140625" style="6"/>
    <col min="15361" max="15361" width="3.42578125" style="6" customWidth="1"/>
    <col min="15362" max="15362" width="135.7109375" style="6" customWidth="1"/>
    <col min="15363" max="15363" width="1.42578125" style="6" customWidth="1"/>
    <col min="15364" max="15616" width="9.140625" style="6"/>
    <col min="15617" max="15617" width="3.42578125" style="6" customWidth="1"/>
    <col min="15618" max="15618" width="135.7109375" style="6" customWidth="1"/>
    <col min="15619" max="15619" width="1.42578125" style="6" customWidth="1"/>
    <col min="15620" max="15872" width="9.140625" style="6"/>
    <col min="15873" max="15873" width="3.42578125" style="6" customWidth="1"/>
    <col min="15874" max="15874" width="135.7109375" style="6" customWidth="1"/>
    <col min="15875" max="15875" width="1.42578125" style="6" customWidth="1"/>
    <col min="15876" max="16128" width="9.140625" style="6"/>
    <col min="16129" max="16129" width="3.42578125" style="6" customWidth="1"/>
    <col min="16130" max="16130" width="135.7109375" style="6" customWidth="1"/>
    <col min="16131" max="16131" width="1.42578125" style="6" customWidth="1"/>
    <col min="16132" max="16384" width="9.140625" style="6"/>
  </cols>
  <sheetData>
    <row r="1" spans="1:3" ht="7.5" customHeight="1" thickBot="1">
      <c r="A1" s="431"/>
      <c r="B1" s="431"/>
      <c r="C1" s="431"/>
    </row>
    <row r="2" spans="1:3" ht="15.75">
      <c r="A2" s="470"/>
      <c r="B2" s="790" t="s">
        <v>379</v>
      </c>
      <c r="C2" s="470"/>
    </row>
    <row r="3" spans="1:3" ht="14.25" customHeight="1" thickBot="1">
      <c r="A3" s="110"/>
      <c r="B3" s="791"/>
      <c r="C3" s="110"/>
    </row>
    <row r="4" spans="1:3" ht="7.5" customHeight="1">
      <c r="A4" s="110"/>
      <c r="B4" s="792"/>
      <c r="C4" s="110"/>
    </row>
    <row r="5" spans="1:3" ht="156" customHeight="1">
      <c r="A5" s="112"/>
      <c r="B5" s="821" t="s">
        <v>373</v>
      </c>
      <c r="C5" s="112"/>
    </row>
    <row r="6" spans="1:3" ht="36" customHeight="1">
      <c r="A6" s="112"/>
      <c r="B6" s="820"/>
      <c r="C6" s="112"/>
    </row>
    <row r="7" spans="1:3" ht="77.25" customHeight="1">
      <c r="A7" s="112"/>
      <c r="B7" s="820" t="s">
        <v>374</v>
      </c>
      <c r="C7" s="112"/>
    </row>
    <row r="8" spans="1:3" ht="112.5" customHeight="1">
      <c r="A8" s="112"/>
      <c r="B8" s="793"/>
      <c r="C8" s="112"/>
    </row>
    <row r="9" spans="1:3" ht="30" customHeight="1">
      <c r="A9" s="112"/>
      <c r="B9" s="820" t="s">
        <v>174</v>
      </c>
      <c r="C9" s="112"/>
    </row>
    <row r="10" spans="1:3" ht="120" customHeight="1">
      <c r="A10" s="116"/>
      <c r="B10" s="793"/>
      <c r="C10" s="116"/>
    </row>
    <row r="11" spans="1:3" ht="63.75">
      <c r="A11" s="116"/>
      <c r="B11" s="820" t="s">
        <v>369</v>
      </c>
      <c r="C11" s="116"/>
    </row>
    <row r="12" spans="1:3" ht="15.75" thickBot="1">
      <c r="A12" s="116"/>
      <c r="B12" s="795"/>
      <c r="C12" s="116"/>
    </row>
    <row r="13" spans="1:3" ht="29.25" customHeight="1">
      <c r="A13" s="116"/>
      <c r="B13" s="431"/>
      <c r="C13" s="116"/>
    </row>
    <row r="14" spans="1:3" ht="22.5">
      <c r="A14" s="116"/>
      <c r="B14" s="769" t="s">
        <v>375</v>
      </c>
      <c r="C14" s="116"/>
    </row>
  </sheetData>
  <sheetProtection sheet="1" objects="1" scenarios="1"/>
  <pageMargins left="0.7" right="0.7" top="0.75" bottom="0.75" header="0.3" footer="0.3"/>
  <pageSetup scale="65"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sheetPr codeName="Sheet1"/>
  <dimension ref="A1:C14"/>
  <sheetViews>
    <sheetView showGridLines="0" zoomScale="85" zoomScaleNormal="85" workbookViewId="0"/>
  </sheetViews>
  <sheetFormatPr defaultRowHeight="12.75"/>
  <cols>
    <col min="1" max="1" width="3.42578125" style="6" customWidth="1"/>
    <col min="2" max="2" width="135.7109375" style="6" customWidth="1"/>
    <col min="3" max="3" width="1.42578125" style="6" customWidth="1"/>
    <col min="4" max="256" width="9.140625" style="6"/>
    <col min="257" max="257" width="3.42578125" style="6" customWidth="1"/>
    <col min="258" max="258" width="135.7109375" style="6" customWidth="1"/>
    <col min="259" max="259" width="1.42578125" style="6" customWidth="1"/>
    <col min="260" max="512" width="9.140625" style="6"/>
    <col min="513" max="513" width="3.42578125" style="6" customWidth="1"/>
    <col min="514" max="514" width="135.7109375" style="6" customWidth="1"/>
    <col min="515" max="515" width="1.42578125" style="6" customWidth="1"/>
    <col min="516" max="768" width="9.140625" style="6"/>
    <col min="769" max="769" width="3.42578125" style="6" customWidth="1"/>
    <col min="770" max="770" width="135.7109375" style="6" customWidth="1"/>
    <col min="771" max="771" width="1.42578125" style="6" customWidth="1"/>
    <col min="772" max="1024" width="9.140625" style="6"/>
    <col min="1025" max="1025" width="3.42578125" style="6" customWidth="1"/>
    <col min="1026" max="1026" width="135.7109375" style="6" customWidth="1"/>
    <col min="1027" max="1027" width="1.42578125" style="6" customWidth="1"/>
    <col min="1028" max="1280" width="9.140625" style="6"/>
    <col min="1281" max="1281" width="3.42578125" style="6" customWidth="1"/>
    <col min="1282" max="1282" width="135.7109375" style="6" customWidth="1"/>
    <col min="1283" max="1283" width="1.42578125" style="6" customWidth="1"/>
    <col min="1284" max="1536" width="9.140625" style="6"/>
    <col min="1537" max="1537" width="3.42578125" style="6" customWidth="1"/>
    <col min="1538" max="1538" width="135.7109375" style="6" customWidth="1"/>
    <col min="1539" max="1539" width="1.42578125" style="6" customWidth="1"/>
    <col min="1540" max="1792" width="9.140625" style="6"/>
    <col min="1793" max="1793" width="3.42578125" style="6" customWidth="1"/>
    <col min="1794" max="1794" width="135.7109375" style="6" customWidth="1"/>
    <col min="1795" max="1795" width="1.42578125" style="6" customWidth="1"/>
    <col min="1796" max="2048" width="9.140625" style="6"/>
    <col min="2049" max="2049" width="3.42578125" style="6" customWidth="1"/>
    <col min="2050" max="2050" width="135.7109375" style="6" customWidth="1"/>
    <col min="2051" max="2051" width="1.42578125" style="6" customWidth="1"/>
    <col min="2052" max="2304" width="9.140625" style="6"/>
    <col min="2305" max="2305" width="3.42578125" style="6" customWidth="1"/>
    <col min="2306" max="2306" width="135.7109375" style="6" customWidth="1"/>
    <col min="2307" max="2307" width="1.42578125" style="6" customWidth="1"/>
    <col min="2308" max="2560" width="9.140625" style="6"/>
    <col min="2561" max="2561" width="3.42578125" style="6" customWidth="1"/>
    <col min="2562" max="2562" width="135.7109375" style="6" customWidth="1"/>
    <col min="2563" max="2563" width="1.42578125" style="6" customWidth="1"/>
    <col min="2564" max="2816" width="9.140625" style="6"/>
    <col min="2817" max="2817" width="3.42578125" style="6" customWidth="1"/>
    <col min="2818" max="2818" width="135.7109375" style="6" customWidth="1"/>
    <col min="2819" max="2819" width="1.42578125" style="6" customWidth="1"/>
    <col min="2820" max="3072" width="9.140625" style="6"/>
    <col min="3073" max="3073" width="3.42578125" style="6" customWidth="1"/>
    <col min="3074" max="3074" width="135.7109375" style="6" customWidth="1"/>
    <col min="3075" max="3075" width="1.42578125" style="6" customWidth="1"/>
    <col min="3076" max="3328" width="9.140625" style="6"/>
    <col min="3329" max="3329" width="3.42578125" style="6" customWidth="1"/>
    <col min="3330" max="3330" width="135.7109375" style="6" customWidth="1"/>
    <col min="3331" max="3331" width="1.42578125" style="6" customWidth="1"/>
    <col min="3332" max="3584" width="9.140625" style="6"/>
    <col min="3585" max="3585" width="3.42578125" style="6" customWidth="1"/>
    <col min="3586" max="3586" width="135.7109375" style="6" customWidth="1"/>
    <col min="3587" max="3587" width="1.42578125" style="6" customWidth="1"/>
    <col min="3588" max="3840" width="9.140625" style="6"/>
    <col min="3841" max="3841" width="3.42578125" style="6" customWidth="1"/>
    <col min="3842" max="3842" width="135.7109375" style="6" customWidth="1"/>
    <col min="3843" max="3843" width="1.42578125" style="6" customWidth="1"/>
    <col min="3844" max="4096" width="9.140625" style="6"/>
    <col min="4097" max="4097" width="3.42578125" style="6" customWidth="1"/>
    <col min="4098" max="4098" width="135.7109375" style="6" customWidth="1"/>
    <col min="4099" max="4099" width="1.42578125" style="6" customWidth="1"/>
    <col min="4100" max="4352" width="9.140625" style="6"/>
    <col min="4353" max="4353" width="3.42578125" style="6" customWidth="1"/>
    <col min="4354" max="4354" width="135.7109375" style="6" customWidth="1"/>
    <col min="4355" max="4355" width="1.42578125" style="6" customWidth="1"/>
    <col min="4356" max="4608" width="9.140625" style="6"/>
    <col min="4609" max="4609" width="3.42578125" style="6" customWidth="1"/>
    <col min="4610" max="4610" width="135.7109375" style="6" customWidth="1"/>
    <col min="4611" max="4611" width="1.42578125" style="6" customWidth="1"/>
    <col min="4612" max="4864" width="9.140625" style="6"/>
    <col min="4865" max="4865" width="3.42578125" style="6" customWidth="1"/>
    <col min="4866" max="4866" width="135.7109375" style="6" customWidth="1"/>
    <col min="4867" max="4867" width="1.42578125" style="6" customWidth="1"/>
    <col min="4868" max="5120" width="9.140625" style="6"/>
    <col min="5121" max="5121" width="3.42578125" style="6" customWidth="1"/>
    <col min="5122" max="5122" width="135.7109375" style="6" customWidth="1"/>
    <col min="5123" max="5123" width="1.42578125" style="6" customWidth="1"/>
    <col min="5124" max="5376" width="9.140625" style="6"/>
    <col min="5377" max="5377" width="3.42578125" style="6" customWidth="1"/>
    <col min="5378" max="5378" width="135.7109375" style="6" customWidth="1"/>
    <col min="5379" max="5379" width="1.42578125" style="6" customWidth="1"/>
    <col min="5380" max="5632" width="9.140625" style="6"/>
    <col min="5633" max="5633" width="3.42578125" style="6" customWidth="1"/>
    <col min="5634" max="5634" width="135.7109375" style="6" customWidth="1"/>
    <col min="5635" max="5635" width="1.42578125" style="6" customWidth="1"/>
    <col min="5636" max="5888" width="9.140625" style="6"/>
    <col min="5889" max="5889" width="3.42578125" style="6" customWidth="1"/>
    <col min="5890" max="5890" width="135.7109375" style="6" customWidth="1"/>
    <col min="5891" max="5891" width="1.42578125" style="6" customWidth="1"/>
    <col min="5892" max="6144" width="9.140625" style="6"/>
    <col min="6145" max="6145" width="3.42578125" style="6" customWidth="1"/>
    <col min="6146" max="6146" width="135.7109375" style="6" customWidth="1"/>
    <col min="6147" max="6147" width="1.42578125" style="6" customWidth="1"/>
    <col min="6148" max="6400" width="9.140625" style="6"/>
    <col min="6401" max="6401" width="3.42578125" style="6" customWidth="1"/>
    <col min="6402" max="6402" width="135.7109375" style="6" customWidth="1"/>
    <col min="6403" max="6403" width="1.42578125" style="6" customWidth="1"/>
    <col min="6404" max="6656" width="9.140625" style="6"/>
    <col min="6657" max="6657" width="3.42578125" style="6" customWidth="1"/>
    <col min="6658" max="6658" width="135.7109375" style="6" customWidth="1"/>
    <col min="6659" max="6659" width="1.42578125" style="6" customWidth="1"/>
    <col min="6660" max="6912" width="9.140625" style="6"/>
    <col min="6913" max="6913" width="3.42578125" style="6" customWidth="1"/>
    <col min="6914" max="6914" width="135.7109375" style="6" customWidth="1"/>
    <col min="6915" max="6915" width="1.42578125" style="6" customWidth="1"/>
    <col min="6916" max="7168" width="9.140625" style="6"/>
    <col min="7169" max="7169" width="3.42578125" style="6" customWidth="1"/>
    <col min="7170" max="7170" width="135.7109375" style="6" customWidth="1"/>
    <col min="7171" max="7171" width="1.42578125" style="6" customWidth="1"/>
    <col min="7172" max="7424" width="9.140625" style="6"/>
    <col min="7425" max="7425" width="3.42578125" style="6" customWidth="1"/>
    <col min="7426" max="7426" width="135.7109375" style="6" customWidth="1"/>
    <col min="7427" max="7427" width="1.42578125" style="6" customWidth="1"/>
    <col min="7428" max="7680" width="9.140625" style="6"/>
    <col min="7681" max="7681" width="3.42578125" style="6" customWidth="1"/>
    <col min="7682" max="7682" width="135.7109375" style="6" customWidth="1"/>
    <col min="7683" max="7683" width="1.42578125" style="6" customWidth="1"/>
    <col min="7684" max="7936" width="9.140625" style="6"/>
    <col min="7937" max="7937" width="3.42578125" style="6" customWidth="1"/>
    <col min="7938" max="7938" width="135.7109375" style="6" customWidth="1"/>
    <col min="7939" max="7939" width="1.42578125" style="6" customWidth="1"/>
    <col min="7940" max="8192" width="9.140625" style="6"/>
    <col min="8193" max="8193" width="3.42578125" style="6" customWidth="1"/>
    <col min="8194" max="8194" width="135.7109375" style="6" customWidth="1"/>
    <col min="8195" max="8195" width="1.42578125" style="6" customWidth="1"/>
    <col min="8196" max="8448" width="9.140625" style="6"/>
    <col min="8449" max="8449" width="3.42578125" style="6" customWidth="1"/>
    <col min="8450" max="8450" width="135.7109375" style="6" customWidth="1"/>
    <col min="8451" max="8451" width="1.42578125" style="6" customWidth="1"/>
    <col min="8452" max="8704" width="9.140625" style="6"/>
    <col min="8705" max="8705" width="3.42578125" style="6" customWidth="1"/>
    <col min="8706" max="8706" width="135.7109375" style="6" customWidth="1"/>
    <col min="8707" max="8707" width="1.42578125" style="6" customWidth="1"/>
    <col min="8708" max="8960" width="9.140625" style="6"/>
    <col min="8961" max="8961" width="3.42578125" style="6" customWidth="1"/>
    <col min="8962" max="8962" width="135.7109375" style="6" customWidth="1"/>
    <col min="8963" max="8963" width="1.42578125" style="6" customWidth="1"/>
    <col min="8964" max="9216" width="9.140625" style="6"/>
    <col min="9217" max="9217" width="3.42578125" style="6" customWidth="1"/>
    <col min="9218" max="9218" width="135.7109375" style="6" customWidth="1"/>
    <col min="9219" max="9219" width="1.42578125" style="6" customWidth="1"/>
    <col min="9220" max="9472" width="9.140625" style="6"/>
    <col min="9473" max="9473" width="3.42578125" style="6" customWidth="1"/>
    <col min="9474" max="9474" width="135.7109375" style="6" customWidth="1"/>
    <col min="9475" max="9475" width="1.42578125" style="6" customWidth="1"/>
    <col min="9476" max="9728" width="9.140625" style="6"/>
    <col min="9729" max="9729" width="3.42578125" style="6" customWidth="1"/>
    <col min="9730" max="9730" width="135.7109375" style="6" customWidth="1"/>
    <col min="9731" max="9731" width="1.42578125" style="6" customWidth="1"/>
    <col min="9732" max="9984" width="9.140625" style="6"/>
    <col min="9985" max="9985" width="3.42578125" style="6" customWidth="1"/>
    <col min="9986" max="9986" width="135.7109375" style="6" customWidth="1"/>
    <col min="9987" max="9987" width="1.42578125" style="6" customWidth="1"/>
    <col min="9988" max="10240" width="9.140625" style="6"/>
    <col min="10241" max="10241" width="3.42578125" style="6" customWidth="1"/>
    <col min="10242" max="10242" width="135.7109375" style="6" customWidth="1"/>
    <col min="10243" max="10243" width="1.42578125" style="6" customWidth="1"/>
    <col min="10244" max="10496" width="9.140625" style="6"/>
    <col min="10497" max="10497" width="3.42578125" style="6" customWidth="1"/>
    <col min="10498" max="10498" width="135.7109375" style="6" customWidth="1"/>
    <col min="10499" max="10499" width="1.42578125" style="6" customWidth="1"/>
    <col min="10500" max="10752" width="9.140625" style="6"/>
    <col min="10753" max="10753" width="3.42578125" style="6" customWidth="1"/>
    <col min="10754" max="10754" width="135.7109375" style="6" customWidth="1"/>
    <col min="10755" max="10755" width="1.42578125" style="6" customWidth="1"/>
    <col min="10756" max="11008" width="9.140625" style="6"/>
    <col min="11009" max="11009" width="3.42578125" style="6" customWidth="1"/>
    <col min="11010" max="11010" width="135.7109375" style="6" customWidth="1"/>
    <col min="11011" max="11011" width="1.42578125" style="6" customWidth="1"/>
    <col min="11012" max="11264" width="9.140625" style="6"/>
    <col min="11265" max="11265" width="3.42578125" style="6" customWidth="1"/>
    <col min="11266" max="11266" width="135.7109375" style="6" customWidth="1"/>
    <col min="11267" max="11267" width="1.42578125" style="6" customWidth="1"/>
    <col min="11268" max="11520" width="9.140625" style="6"/>
    <col min="11521" max="11521" width="3.42578125" style="6" customWidth="1"/>
    <col min="11522" max="11522" width="135.7109375" style="6" customWidth="1"/>
    <col min="11523" max="11523" width="1.42578125" style="6" customWidth="1"/>
    <col min="11524" max="11776" width="9.140625" style="6"/>
    <col min="11777" max="11777" width="3.42578125" style="6" customWidth="1"/>
    <col min="11778" max="11778" width="135.7109375" style="6" customWidth="1"/>
    <col min="11779" max="11779" width="1.42578125" style="6" customWidth="1"/>
    <col min="11780" max="12032" width="9.140625" style="6"/>
    <col min="12033" max="12033" width="3.42578125" style="6" customWidth="1"/>
    <col min="12034" max="12034" width="135.7109375" style="6" customWidth="1"/>
    <col min="12035" max="12035" width="1.42578125" style="6" customWidth="1"/>
    <col min="12036" max="12288" width="9.140625" style="6"/>
    <col min="12289" max="12289" width="3.42578125" style="6" customWidth="1"/>
    <col min="12290" max="12290" width="135.7109375" style="6" customWidth="1"/>
    <col min="12291" max="12291" width="1.42578125" style="6" customWidth="1"/>
    <col min="12292" max="12544" width="9.140625" style="6"/>
    <col min="12545" max="12545" width="3.42578125" style="6" customWidth="1"/>
    <col min="12546" max="12546" width="135.7109375" style="6" customWidth="1"/>
    <col min="12547" max="12547" width="1.42578125" style="6" customWidth="1"/>
    <col min="12548" max="12800" width="9.140625" style="6"/>
    <col min="12801" max="12801" width="3.42578125" style="6" customWidth="1"/>
    <col min="12802" max="12802" width="135.7109375" style="6" customWidth="1"/>
    <col min="12803" max="12803" width="1.42578125" style="6" customWidth="1"/>
    <col min="12804" max="13056" width="9.140625" style="6"/>
    <col min="13057" max="13057" width="3.42578125" style="6" customWidth="1"/>
    <col min="13058" max="13058" width="135.7109375" style="6" customWidth="1"/>
    <col min="13059" max="13059" width="1.42578125" style="6" customWidth="1"/>
    <col min="13060" max="13312" width="9.140625" style="6"/>
    <col min="13313" max="13313" width="3.42578125" style="6" customWidth="1"/>
    <col min="13314" max="13314" width="135.7109375" style="6" customWidth="1"/>
    <col min="13315" max="13315" width="1.42578125" style="6" customWidth="1"/>
    <col min="13316" max="13568" width="9.140625" style="6"/>
    <col min="13569" max="13569" width="3.42578125" style="6" customWidth="1"/>
    <col min="13570" max="13570" width="135.7109375" style="6" customWidth="1"/>
    <col min="13571" max="13571" width="1.42578125" style="6" customWidth="1"/>
    <col min="13572" max="13824" width="9.140625" style="6"/>
    <col min="13825" max="13825" width="3.42578125" style="6" customWidth="1"/>
    <col min="13826" max="13826" width="135.7109375" style="6" customWidth="1"/>
    <col min="13827" max="13827" width="1.42578125" style="6" customWidth="1"/>
    <col min="13828" max="14080" width="9.140625" style="6"/>
    <col min="14081" max="14081" width="3.42578125" style="6" customWidth="1"/>
    <col min="14082" max="14082" width="135.7109375" style="6" customWidth="1"/>
    <col min="14083" max="14083" width="1.42578125" style="6" customWidth="1"/>
    <col min="14084" max="14336" width="9.140625" style="6"/>
    <col min="14337" max="14337" width="3.42578125" style="6" customWidth="1"/>
    <col min="14338" max="14338" width="135.7109375" style="6" customWidth="1"/>
    <col min="14339" max="14339" width="1.42578125" style="6" customWidth="1"/>
    <col min="14340" max="14592" width="9.140625" style="6"/>
    <col min="14593" max="14593" width="3.42578125" style="6" customWidth="1"/>
    <col min="14594" max="14594" width="135.7109375" style="6" customWidth="1"/>
    <col min="14595" max="14595" width="1.42578125" style="6" customWidth="1"/>
    <col min="14596" max="14848" width="9.140625" style="6"/>
    <col min="14849" max="14849" width="3.42578125" style="6" customWidth="1"/>
    <col min="14850" max="14850" width="135.7109375" style="6" customWidth="1"/>
    <col min="14851" max="14851" width="1.42578125" style="6" customWidth="1"/>
    <col min="14852" max="15104" width="9.140625" style="6"/>
    <col min="15105" max="15105" width="3.42578125" style="6" customWidth="1"/>
    <col min="15106" max="15106" width="135.7109375" style="6" customWidth="1"/>
    <col min="15107" max="15107" width="1.42578125" style="6" customWidth="1"/>
    <col min="15108" max="15360" width="9.140625" style="6"/>
    <col min="15361" max="15361" width="3.42578125" style="6" customWidth="1"/>
    <col min="15362" max="15362" width="135.7109375" style="6" customWidth="1"/>
    <col min="15363" max="15363" width="1.42578125" style="6" customWidth="1"/>
    <col min="15364" max="15616" width="9.140625" style="6"/>
    <col min="15617" max="15617" width="3.42578125" style="6" customWidth="1"/>
    <col min="15618" max="15618" width="135.7109375" style="6" customWidth="1"/>
    <col min="15619" max="15619" width="1.42578125" style="6" customWidth="1"/>
    <col min="15620" max="15872" width="9.140625" style="6"/>
    <col min="15873" max="15873" width="3.42578125" style="6" customWidth="1"/>
    <col min="15874" max="15874" width="135.7109375" style="6" customWidth="1"/>
    <col min="15875" max="15875" width="1.42578125" style="6" customWidth="1"/>
    <col min="15876" max="16128" width="9.140625" style="6"/>
    <col min="16129" max="16129" width="3.42578125" style="6" customWidth="1"/>
    <col min="16130" max="16130" width="135.7109375" style="6" customWidth="1"/>
    <col min="16131" max="16131" width="1.42578125" style="6" customWidth="1"/>
    <col min="16132" max="16384" width="9.140625" style="6"/>
  </cols>
  <sheetData>
    <row r="1" spans="1:3" ht="7.5" customHeight="1" thickBot="1">
      <c r="A1" s="431"/>
      <c r="B1" s="431"/>
      <c r="C1" s="431"/>
    </row>
    <row r="2" spans="1:3" ht="15.75">
      <c r="A2" s="470"/>
      <c r="B2" s="790" t="s">
        <v>170</v>
      </c>
      <c r="C2" s="470"/>
    </row>
    <row r="3" spans="1:3" ht="13.5" thickBot="1">
      <c r="A3" s="110"/>
      <c r="B3" s="791"/>
      <c r="C3" s="110"/>
    </row>
    <row r="4" spans="1:3" ht="7.5" customHeight="1">
      <c r="A4" s="110"/>
      <c r="B4" s="792"/>
      <c r="C4" s="110"/>
    </row>
    <row r="5" spans="1:3" ht="187.5" customHeight="1">
      <c r="A5" s="112"/>
      <c r="B5" s="821" t="s">
        <v>324</v>
      </c>
      <c r="C5" s="112"/>
    </row>
    <row r="6" spans="1:3" ht="128.25" customHeight="1">
      <c r="A6" s="112"/>
      <c r="B6" s="793"/>
      <c r="C6" s="112"/>
    </row>
    <row r="7" spans="1:3" ht="25.5">
      <c r="A7" s="112"/>
      <c r="B7" s="794" t="s">
        <v>171</v>
      </c>
      <c r="C7" s="112"/>
    </row>
    <row r="8" spans="1:3" ht="112.5" customHeight="1">
      <c r="A8" s="112"/>
      <c r="B8" s="793"/>
      <c r="C8" s="112"/>
    </row>
    <row r="9" spans="1:3" ht="30" customHeight="1">
      <c r="A9" s="112"/>
      <c r="B9" s="820" t="s">
        <v>174</v>
      </c>
      <c r="C9" s="112"/>
    </row>
    <row r="10" spans="1:3" ht="120" customHeight="1">
      <c r="A10" s="116"/>
      <c r="B10" s="793"/>
      <c r="C10" s="116"/>
    </row>
    <row r="11" spans="1:3" ht="63.75">
      <c r="A11" s="116"/>
      <c r="B11" s="794" t="s">
        <v>321</v>
      </c>
      <c r="C11" s="116"/>
    </row>
    <row r="12" spans="1:3" ht="15.75" thickBot="1">
      <c r="A12" s="116"/>
      <c r="B12" s="795"/>
      <c r="C12" s="116"/>
    </row>
    <row r="13" spans="1:3" ht="29.25" customHeight="1">
      <c r="A13" s="116"/>
      <c r="B13" s="431"/>
      <c r="C13" s="116"/>
    </row>
    <row r="14" spans="1:3" ht="22.5">
      <c r="A14" s="116"/>
      <c r="B14" s="769" t="s">
        <v>318</v>
      </c>
      <c r="C14" s="116"/>
    </row>
  </sheetData>
  <sheetProtection sheet="1" objects="1" scenarios="1"/>
  <pageMargins left="0.7" right="0.7" top="0.75" bottom="0.75" header="0.3" footer="0.3"/>
  <pageSetup scale="65"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sheetPr codeName="Sheet10"/>
  <dimension ref="A1:C37"/>
  <sheetViews>
    <sheetView showGridLines="0" workbookViewId="0"/>
  </sheetViews>
  <sheetFormatPr defaultRowHeight="12.75"/>
  <cols>
    <col min="1" max="1" width="1.85546875" customWidth="1"/>
    <col min="2" max="2" width="94.85546875" style="868" customWidth="1"/>
    <col min="3" max="3" width="3.5703125" customWidth="1"/>
  </cols>
  <sheetData>
    <row r="1" spans="1:2" ht="7.5" customHeight="1"/>
    <row r="2" spans="1:2" ht="16.5" customHeight="1">
      <c r="A2" s="823"/>
      <c r="B2" s="774" t="s">
        <v>376</v>
      </c>
    </row>
    <row r="3" spans="1:2" ht="16.5" customHeight="1" thickBot="1">
      <c r="A3" s="823"/>
      <c r="B3" s="858"/>
    </row>
    <row r="4" spans="1:2">
      <c r="B4" s="871" t="s">
        <v>351</v>
      </c>
    </row>
    <row r="5" spans="1:2">
      <c r="B5" s="871"/>
    </row>
    <row r="6" spans="1:2">
      <c r="B6" s="872" t="s">
        <v>357</v>
      </c>
    </row>
    <row r="7" spans="1:2">
      <c r="B7" s="873" t="s">
        <v>352</v>
      </c>
    </row>
    <row r="8" spans="1:2">
      <c r="B8" s="873" t="s">
        <v>353</v>
      </c>
    </row>
    <row r="9" spans="1:2">
      <c r="B9" s="873" t="s">
        <v>354</v>
      </c>
    </row>
    <row r="10" spans="1:2">
      <c r="B10" s="873" t="s">
        <v>355</v>
      </c>
    </row>
    <row r="11" spans="1:2">
      <c r="B11" s="874"/>
    </row>
    <row r="12" spans="1:2">
      <c r="B12" s="875" t="s">
        <v>358</v>
      </c>
    </row>
    <row r="13" spans="1:2">
      <c r="B13" s="873" t="s">
        <v>356</v>
      </c>
    </row>
    <row r="14" spans="1:2">
      <c r="B14" s="873" t="s">
        <v>380</v>
      </c>
    </row>
    <row r="15" spans="1:2">
      <c r="B15" s="874"/>
    </row>
    <row r="16" spans="1:2">
      <c r="B16" s="871" t="s">
        <v>359</v>
      </c>
    </row>
    <row r="17" spans="1:3">
      <c r="B17" s="874"/>
    </row>
    <row r="18" spans="1:3">
      <c r="B18" s="871" t="s">
        <v>360</v>
      </c>
    </row>
    <row r="19" spans="1:3">
      <c r="B19" s="871"/>
    </row>
    <row r="20" spans="1:3">
      <c r="B20" s="874"/>
    </row>
    <row r="21" spans="1:3">
      <c r="B21" s="870" t="s">
        <v>361</v>
      </c>
    </row>
    <row r="22" spans="1:3" ht="132.75" customHeight="1">
      <c r="A22" s="823"/>
      <c r="B22" s="871" t="s">
        <v>381</v>
      </c>
    </row>
    <row r="23" spans="1:3" ht="33.75" customHeight="1">
      <c r="B23" s="871" t="s">
        <v>365</v>
      </c>
    </row>
    <row r="24" spans="1:3" ht="35.25" customHeight="1">
      <c r="B24" s="871" t="s">
        <v>363</v>
      </c>
    </row>
    <row r="25" spans="1:3" ht="114.75">
      <c r="B25" s="871" t="s">
        <v>382</v>
      </c>
    </row>
    <row r="26" spans="1:3" ht="63.75">
      <c r="B26" s="876" t="s">
        <v>370</v>
      </c>
    </row>
    <row r="27" spans="1:3" ht="63.75">
      <c r="B27" s="871" t="s">
        <v>364</v>
      </c>
    </row>
    <row r="28" spans="1:3">
      <c r="B28" s="871"/>
    </row>
    <row r="29" spans="1:3" ht="38.25">
      <c r="B29" s="871" t="s">
        <v>371</v>
      </c>
    </row>
    <row r="30" spans="1:3">
      <c r="B30" s="871"/>
    </row>
    <row r="31" spans="1:3">
      <c r="B31" s="880" t="s">
        <v>366</v>
      </c>
      <c r="C31" s="823"/>
    </row>
    <row r="32" spans="1:3" ht="25.5">
      <c r="B32" s="873" t="s">
        <v>372</v>
      </c>
      <c r="C32" s="823"/>
    </row>
    <row r="33" spans="2:3" ht="47.25" customHeight="1">
      <c r="B33" s="873" t="s">
        <v>368</v>
      </c>
      <c r="C33" s="823"/>
    </row>
    <row r="34" spans="2:3" ht="33" customHeight="1">
      <c r="B34" s="873" t="s">
        <v>367</v>
      </c>
      <c r="C34" s="823"/>
    </row>
    <row r="35" spans="2:3">
      <c r="B35" s="877"/>
    </row>
    <row r="36" spans="2:3">
      <c r="B36" s="878" t="s">
        <v>362</v>
      </c>
    </row>
    <row r="37" spans="2:3">
      <c r="B37" s="879"/>
    </row>
  </sheetData>
  <sheetProtection sheet="1" objects="1" scenarios="1"/>
  <hyperlinks>
    <hyperlink ref="B36" r:id="rId1" display="* -http://www.macintouch.com/reviews/office2008/"/>
  </hyperlinks>
  <pageMargins left="0.7" right="0.7" top="0.75" bottom="0.75" header="0.3" footer="0.3"/>
  <rowBreaks count="1" manualBreakCount="1">
    <brk id="29" max="1" man="1"/>
  </rowBreaks>
</worksheet>
</file>

<file path=xl/worksheets/sheet5.xml><?xml version="1.0" encoding="utf-8"?>
<worksheet xmlns="http://schemas.openxmlformats.org/spreadsheetml/2006/main" xmlns:r="http://schemas.openxmlformats.org/officeDocument/2006/relationships">
  <sheetPr codeName="Sheet8"/>
  <dimension ref="B2:B15"/>
  <sheetViews>
    <sheetView showGridLines="0" workbookViewId="0"/>
  </sheetViews>
  <sheetFormatPr defaultRowHeight="12.75"/>
  <cols>
    <col min="1" max="1" width="2.7109375" customWidth="1"/>
    <col min="2" max="2" width="71" customWidth="1"/>
  </cols>
  <sheetData>
    <row r="2" spans="2:2" ht="15.75">
      <c r="B2" s="881" t="s">
        <v>377</v>
      </c>
    </row>
    <row r="3" spans="2:2" s="869" customFormat="1" ht="13.5" thickBot="1">
      <c r="B3" s="546"/>
    </row>
    <row r="4" spans="2:2" s="869" customFormat="1">
      <c r="B4" s="882" t="s">
        <v>345</v>
      </c>
    </row>
    <row r="5" spans="2:2" s="869" customFormat="1">
      <c r="B5" s="882" t="s">
        <v>346</v>
      </c>
    </row>
    <row r="6" spans="2:2">
      <c r="B6" s="883"/>
    </row>
    <row r="7" spans="2:2" ht="63" customHeight="1">
      <c r="B7" s="883"/>
    </row>
    <row r="8" spans="2:2">
      <c r="B8" s="883"/>
    </row>
    <row r="9" spans="2:2">
      <c r="B9" s="884" t="s">
        <v>350</v>
      </c>
    </row>
    <row r="10" spans="2:2">
      <c r="B10" s="884" t="s">
        <v>347</v>
      </c>
    </row>
    <row r="11" spans="2:2">
      <c r="B11" s="884" t="s">
        <v>348</v>
      </c>
    </row>
    <row r="12" spans="2:2">
      <c r="B12" s="885" t="s">
        <v>349</v>
      </c>
    </row>
    <row r="13" spans="2:2">
      <c r="B13" s="883"/>
    </row>
    <row r="14" spans="2:2">
      <c r="B14" s="883"/>
    </row>
    <row r="15" spans="2:2">
      <c r="B15" s="886"/>
    </row>
  </sheetData>
  <sheetProtection sheet="1" objects="1" scenarios="1"/>
  <hyperlinks>
    <hyperlink ref="B12" r:id="rId1"/>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sheetPr codeName="Sheet4">
    <pageSetUpPr fitToPage="1"/>
  </sheetPr>
  <dimension ref="B2:B5"/>
  <sheetViews>
    <sheetView showGridLines="0" workbookViewId="0"/>
  </sheetViews>
  <sheetFormatPr defaultRowHeight="12.75"/>
  <cols>
    <col min="1" max="1" width="3.42578125" customWidth="1"/>
    <col min="2" max="2" width="103.28515625" customWidth="1"/>
    <col min="3" max="3" width="2" customWidth="1"/>
  </cols>
  <sheetData>
    <row r="2" spans="2:2" ht="15.75">
      <c r="B2" s="881" t="s">
        <v>378</v>
      </c>
    </row>
    <row r="3" spans="2:2" ht="13.5" thickBot="1">
      <c r="B3" s="546"/>
    </row>
    <row r="4" spans="2:2" ht="352.5" customHeight="1">
      <c r="B4" s="874" t="s">
        <v>343</v>
      </c>
    </row>
    <row r="5" spans="2:2" ht="191.25">
      <c r="B5" s="879" t="s">
        <v>344</v>
      </c>
    </row>
  </sheetData>
  <sheetProtection sheet="1" objects="1" scenarios="1"/>
  <pageMargins left="0.7" right="0.7" top="0.75" bottom="0.75" header="0.3" footer="0.3"/>
  <pageSetup scale="94" orientation="portrait" horizontalDpi="1200" verticalDpi="1200" r:id="rId1"/>
</worksheet>
</file>

<file path=xl/worksheets/sheet7.xml><?xml version="1.0" encoding="utf-8"?>
<worksheet xmlns="http://schemas.openxmlformats.org/spreadsheetml/2006/main" xmlns:r="http://schemas.openxmlformats.org/officeDocument/2006/relationships">
  <sheetPr codeName="Setup">
    <pageSetUpPr autoPageBreaks="0"/>
  </sheetPr>
  <dimension ref="A1:G39"/>
  <sheetViews>
    <sheetView showGridLines="0" showOutlineSymbols="0" workbookViewId="0">
      <selection activeCell="B7" sqref="B7"/>
    </sheetView>
  </sheetViews>
  <sheetFormatPr defaultColWidth="10.5703125" defaultRowHeight="15"/>
  <cols>
    <col min="1" max="1" width="1.7109375" style="431" customWidth="1"/>
    <col min="2" max="2" width="59.28515625" style="431" customWidth="1"/>
    <col min="3" max="3" width="2.5703125" style="431" customWidth="1"/>
    <col min="4" max="4" width="11" style="431" customWidth="1"/>
    <col min="5" max="5" width="3.28515625" style="431" customWidth="1"/>
    <col min="6" max="6" width="2.5703125" style="431" customWidth="1"/>
    <col min="7" max="7" width="80.42578125" style="431" customWidth="1"/>
    <col min="8" max="16384" width="10.5703125" style="431"/>
  </cols>
  <sheetData>
    <row r="1" spans="1:7" ht="9.9499999999999993" customHeight="1"/>
    <row r="2" spans="1:7" s="470" customFormat="1" ht="24.95" customHeight="1">
      <c r="A2" s="432"/>
      <c r="B2" s="774" t="s">
        <v>175</v>
      </c>
      <c r="C2" s="433"/>
      <c r="D2" s="469"/>
      <c r="E2" s="469"/>
    </row>
    <row r="3" spans="1:7" s="110" customFormat="1" ht="14.1" customHeight="1" thickBot="1">
      <c r="A3" s="108"/>
      <c r="B3" s="858"/>
      <c r="C3" s="855"/>
      <c r="D3" s="856"/>
      <c r="E3" s="857"/>
    </row>
    <row r="4" spans="1:7" s="110" customFormat="1" ht="14.1" customHeight="1">
      <c r="A4" s="108"/>
      <c r="B4" s="631"/>
      <c r="C4" s="631"/>
      <c r="E4" s="108"/>
    </row>
    <row r="5" spans="1:7" s="112" customFormat="1" ht="14.1" customHeight="1">
      <c r="A5" s="111"/>
      <c r="B5" s="113" t="s">
        <v>117</v>
      </c>
      <c r="C5" s="113"/>
      <c r="D5" s="633"/>
      <c r="E5" s="551"/>
    </row>
    <row r="6" spans="1:7" s="112" customFormat="1" ht="14.1" customHeight="1">
      <c r="B6" s="473" t="s">
        <v>120</v>
      </c>
      <c r="C6" s="473"/>
      <c r="D6" s="837"/>
      <c r="E6" s="845"/>
    </row>
    <row r="7" spans="1:7" s="112" customFormat="1" ht="16.5" customHeight="1">
      <c r="B7" s="90" t="s">
        <v>323</v>
      </c>
      <c r="C7" s="865"/>
      <c r="D7" s="838"/>
      <c r="E7" s="846"/>
    </row>
    <row r="8" spans="1:7" s="112" customFormat="1" ht="16.5" customHeight="1" thickBot="1">
      <c r="B8" s="865"/>
      <c r="C8" s="865"/>
      <c r="D8" s="838"/>
      <c r="E8" s="846"/>
    </row>
    <row r="9" spans="1:7" s="112" customFormat="1" ht="15" customHeight="1">
      <c r="A9" s="111"/>
      <c r="B9" s="473" t="s">
        <v>118</v>
      </c>
      <c r="C9" s="473"/>
      <c r="D9" s="862" t="s">
        <v>7</v>
      </c>
      <c r="E9" s="847"/>
      <c r="G9" s="112" t="str">
        <f t="array" ref="G9">IF(OR(CapEx!I6:I73&lt;&gt;""), "ERROR: Some capital purchases are before your start date. Please Fix (CapEx worksheet).", "")</f>
        <v/>
      </c>
    </row>
    <row r="10" spans="1:7" s="112" customFormat="1" ht="4.5" customHeight="1">
      <c r="A10" s="111"/>
      <c r="B10" s="473"/>
      <c r="C10" s="473"/>
      <c r="D10" s="864"/>
      <c r="E10" s="847"/>
    </row>
    <row r="11" spans="1:7" s="112" customFormat="1" ht="14.25" customHeight="1" thickBot="1">
      <c r="A11" s="111"/>
      <c r="B11" s="473"/>
      <c r="C11" s="473"/>
      <c r="D11" s="839"/>
      <c r="E11" s="847"/>
      <c r="G11" s="112" t="str">
        <f t="array" ref="G11">IF(OR(CapInvest!I6:I43&lt;&gt;""), "ERROR: Some capital investments are before your start date. Please Fix (CapInvest worksheet.","")</f>
        <v/>
      </c>
    </row>
    <row r="12" spans="1:7" s="112" customFormat="1" ht="15" customHeight="1">
      <c r="A12" s="111"/>
      <c r="B12" s="636" t="s">
        <v>119</v>
      </c>
      <c r="C12" s="636"/>
      <c r="D12" s="867">
        <v>2008</v>
      </c>
      <c r="E12" s="551"/>
    </row>
    <row r="13" spans="1:7" s="116" customFormat="1" ht="14.1" customHeight="1">
      <c r="A13" s="117"/>
      <c r="B13" s="859"/>
      <c r="C13" s="859"/>
      <c r="D13" s="861"/>
      <c r="E13" s="860"/>
    </row>
    <row r="14" spans="1:7" s="116" customFormat="1" ht="21.75" customHeight="1">
      <c r="A14" s="117"/>
      <c r="B14" s="113" t="s">
        <v>143</v>
      </c>
      <c r="C14" s="113"/>
      <c r="D14" s="381"/>
      <c r="E14" s="380"/>
    </row>
    <row r="15" spans="1:7" s="116" customFormat="1" ht="24" customHeight="1" thickBot="1">
      <c r="A15" s="117"/>
      <c r="B15" s="887" t="s">
        <v>186</v>
      </c>
      <c r="C15" s="474"/>
      <c r="D15" s="381"/>
      <c r="E15" s="380"/>
    </row>
    <row r="16" spans="1:7" s="116" customFormat="1" ht="14.25" customHeight="1">
      <c r="A16" s="117"/>
      <c r="B16" s="887"/>
      <c r="C16" s="474"/>
      <c r="D16" s="863" t="s">
        <v>197</v>
      </c>
      <c r="E16" s="380"/>
    </row>
    <row r="17" spans="1:5" s="116" customFormat="1" ht="12.75" customHeight="1">
      <c r="A17" s="117"/>
      <c r="B17" s="113"/>
      <c r="C17" s="113"/>
      <c r="D17" s="381"/>
      <c r="E17" s="380"/>
    </row>
    <row r="18" spans="1:5" s="116" customFormat="1" ht="42.75" customHeight="1">
      <c r="A18" s="117"/>
      <c r="B18" s="475" t="s">
        <v>151</v>
      </c>
      <c r="C18" s="476"/>
      <c r="D18" s="840">
        <v>0.25</v>
      </c>
      <c r="E18" s="848"/>
    </row>
    <row r="19" spans="1:5" s="116" customFormat="1" ht="9.75" customHeight="1">
      <c r="A19" s="117"/>
      <c r="B19" s="476"/>
      <c r="C19" s="476"/>
      <c r="D19" s="841"/>
      <c r="E19" s="848"/>
    </row>
    <row r="20" spans="1:5" s="116" customFormat="1" ht="42.75" customHeight="1">
      <c r="A20" s="117"/>
      <c r="B20" s="476" t="s">
        <v>198</v>
      </c>
      <c r="C20" s="476"/>
      <c r="D20" s="842">
        <v>30</v>
      </c>
      <c r="E20" s="866"/>
    </row>
    <row r="21" spans="1:5" s="116" customFormat="1" ht="14.1" customHeight="1">
      <c r="A21" s="117"/>
      <c r="B21" s="477"/>
      <c r="C21" s="477"/>
      <c r="D21" s="851"/>
      <c r="E21" s="849"/>
    </row>
    <row r="22" spans="1:5" s="116" customFormat="1" ht="14.1" customHeight="1">
      <c r="A22" s="117"/>
      <c r="B22" s="473"/>
      <c r="C22" s="473"/>
      <c r="D22" s="841"/>
      <c r="E22" s="848"/>
    </row>
    <row r="23" spans="1:5" s="116" customFormat="1" ht="14.1" customHeight="1">
      <c r="A23" s="117"/>
      <c r="B23" s="478" t="s">
        <v>144</v>
      </c>
      <c r="C23" s="113"/>
      <c r="D23" s="841"/>
      <c r="E23" s="848"/>
    </row>
    <row r="24" spans="1:5" s="116" customFormat="1" ht="27" customHeight="1">
      <c r="A24" s="117"/>
      <c r="B24" s="475" t="s">
        <v>145</v>
      </c>
      <c r="C24" s="476"/>
      <c r="D24" s="843">
        <v>5000</v>
      </c>
      <c r="E24" s="850"/>
    </row>
    <row r="25" spans="1:5" s="116" customFormat="1" ht="14.1" customHeight="1">
      <c r="A25" s="117"/>
      <c r="B25" s="475"/>
      <c r="C25" s="476"/>
      <c r="D25" s="844"/>
      <c r="E25" s="850"/>
    </row>
    <row r="26" spans="1:5" s="116" customFormat="1" ht="40.5" customHeight="1">
      <c r="A26" s="117"/>
      <c r="B26" s="475" t="s">
        <v>147</v>
      </c>
      <c r="C26" s="476"/>
      <c r="D26" s="840">
        <v>0.05</v>
      </c>
      <c r="E26" s="848"/>
    </row>
    <row r="27" spans="1:5" s="116" customFormat="1" ht="10.5" customHeight="1">
      <c r="A27" s="117"/>
      <c r="B27" s="475"/>
      <c r="C27" s="476"/>
      <c r="D27" s="841"/>
      <c r="E27" s="848"/>
    </row>
    <row r="28" spans="1:5" s="116" customFormat="1" ht="30" customHeight="1">
      <c r="A28" s="117"/>
      <c r="B28" s="475" t="s">
        <v>182</v>
      </c>
      <c r="C28" s="476"/>
      <c r="D28" s="840">
        <v>3.5000000000000003E-2</v>
      </c>
      <c r="E28" s="848"/>
    </row>
    <row r="29" spans="1:5" s="116" customFormat="1" ht="14.1" customHeight="1">
      <c r="A29" s="117"/>
      <c r="B29" s="475"/>
      <c r="C29" s="476"/>
      <c r="D29" s="844"/>
      <c r="E29" s="850"/>
    </row>
    <row r="30" spans="1:5" s="116" customFormat="1" ht="27" customHeight="1">
      <c r="A30" s="117"/>
      <c r="B30" s="476" t="s">
        <v>146</v>
      </c>
      <c r="C30" s="476"/>
      <c r="D30" s="840">
        <v>0.15</v>
      </c>
      <c r="E30" s="848"/>
    </row>
    <row r="31" spans="1:5" s="116" customFormat="1" ht="14.1" customHeight="1">
      <c r="A31" s="117"/>
      <c r="B31" s="477"/>
      <c r="C31" s="477"/>
      <c r="D31" s="851"/>
      <c r="E31" s="849"/>
    </row>
    <row r="32" spans="1:5" s="116" customFormat="1" ht="14.1" customHeight="1">
      <c r="A32" s="117"/>
      <c r="B32" s="473"/>
      <c r="C32" s="473"/>
      <c r="D32" s="841"/>
      <c r="E32" s="848"/>
    </row>
    <row r="33" spans="1:5" s="116" customFormat="1" ht="14.1" customHeight="1">
      <c r="A33" s="117"/>
      <c r="B33" s="113" t="s">
        <v>148</v>
      </c>
      <c r="C33" s="113"/>
      <c r="D33" s="841"/>
      <c r="E33" s="848"/>
    </row>
    <row r="34" spans="1:5" s="116" customFormat="1" ht="43.5" customHeight="1">
      <c r="A34" s="117"/>
      <c r="B34" s="476" t="s">
        <v>313</v>
      </c>
      <c r="C34" s="476"/>
      <c r="D34" s="843">
        <v>5000</v>
      </c>
      <c r="E34" s="850"/>
    </row>
    <row r="35" spans="1:5" s="116" customFormat="1" ht="14.1" customHeight="1">
      <c r="A35" s="117"/>
      <c r="B35" s="473"/>
      <c r="C35" s="473"/>
      <c r="D35" s="841"/>
      <c r="E35" s="848"/>
    </row>
    <row r="36" spans="1:5" s="116" customFormat="1" ht="27" customHeight="1">
      <c r="A36" s="117"/>
      <c r="B36" s="475" t="s">
        <v>149</v>
      </c>
      <c r="C36" s="476"/>
      <c r="D36" s="840">
        <v>0.25</v>
      </c>
      <c r="E36" s="848"/>
    </row>
    <row r="37" spans="1:5" s="116" customFormat="1" ht="14.1" customHeight="1">
      <c r="A37" s="117"/>
      <c r="B37" s="473"/>
      <c r="C37" s="473"/>
      <c r="D37" s="841"/>
      <c r="E37" s="848"/>
    </row>
    <row r="38" spans="1:5" s="116" customFormat="1" ht="27" customHeight="1" thickBot="1">
      <c r="A38" s="117"/>
      <c r="B38" s="762" t="s">
        <v>179</v>
      </c>
      <c r="C38" s="853"/>
      <c r="D38" s="854">
        <v>0.01</v>
      </c>
      <c r="E38" s="848"/>
    </row>
    <row r="39" spans="1:5">
      <c r="E39" s="852"/>
    </row>
  </sheetData>
  <sheetProtection sheet="1" objects="1" scenarios="1"/>
  <dataConsolidate/>
  <mergeCells count="1">
    <mergeCell ref="B15:B16"/>
  </mergeCells>
  <phoneticPr fontId="3" type="noConversion"/>
  <conditionalFormatting sqref="G9">
    <cfRule type="containsText" dxfId="15" priority="2" operator="containsText" text="ERROR">
      <formula>NOT(ISERROR(SEARCH("ERROR",G9)))</formula>
    </cfRule>
  </conditionalFormatting>
  <conditionalFormatting sqref="G11">
    <cfRule type="containsText" dxfId="14" priority="1" operator="containsText" text="ERROR">
      <formula>NOT(ISERROR(SEARCH("ERROR",G11)))</formula>
    </cfRule>
  </conditionalFormatting>
  <dataValidations count="6">
    <dataValidation errorStyle="warning" allowBlank="1" showInputMessage="1" showErrorMessage="1" errorTitle="Whoa!" error="This be wrong!" sqref="D24:E24"/>
    <dataValidation type="textLength" showErrorMessage="1" errorTitle="Company Name" error="Please enter a Company Name using between 1 and 40 characters." promptTitle="Company Name" prompt="The name you enter here will appear on your financial printouts." sqref="B7:C8">
      <formula1>1</formula1>
      <formula2>45</formula2>
    </dataValidation>
    <dataValidation type="whole" allowBlank="1" showErrorMessage="1" errorTitle="Invalid Number" error="This cell only accepts a number between 0 and 120." sqref="D20:E20">
      <formula1>0</formula1>
      <formula2>120</formula2>
    </dataValidation>
    <dataValidation type="list" allowBlank="1" showInputMessage="1" showErrorMessage="1" errorTitle="Invalid month." error="Invalid month. Please select a month from the drop-down list, or enter the full name of the month (e.g. &quot;December&quot;, not &quot;Dec&quot;)." sqref="D9:D10">
      <formula1>listMonths</formula1>
    </dataValidation>
    <dataValidation type="list" allowBlank="1" showInputMessage="1" showErrorMessage="1" errorTitle="Invalid Year" error="Please enter a year between 2008 and 2012 as the first year of your business." sqref="D12">
      <formula1>listYears</formula1>
    </dataValidation>
    <dataValidation type="list" allowBlank="1" showInputMessage="1" showErrorMessage="1" sqref="D16">
      <formula1>listNumProds</formula1>
    </dataValidation>
  </dataValidations>
  <printOptions horizontalCentered="1"/>
  <pageMargins left="0.75" right="0.75" top="1" bottom="0.49" header="0.5" footer="0.5"/>
  <pageSetup scale="80" orientation="portrait" horizontalDpi="4294967292" verticalDpi="4294967292" r:id="rId1"/>
  <headerFooter alignWithMargins="0">
    <oddHeader>&amp;CSetup &amp; Assumptions</oddHeader>
    <oddFooter>Page &amp;P of &amp;N</oddFooter>
  </headerFooter>
  <drawing r:id="rId2"/>
  <legacyDrawing r:id="rId3"/>
  <controls>
    <control shapeId="2075" r:id="rId4" name="NumProducts"/>
    <control shapeId="2057" r:id="rId5" name="cbStartupYear"/>
    <control shapeId="2056" r:id="rId6" name="cbStartupMonth"/>
  </controls>
</worksheet>
</file>

<file path=xl/worksheets/sheet8.xml><?xml version="1.0" encoding="utf-8"?>
<worksheet xmlns="http://schemas.openxmlformats.org/spreadsheetml/2006/main" xmlns:r="http://schemas.openxmlformats.org/officeDocument/2006/relationships">
  <sheetPr codeName="SalesProj">
    <pageSetUpPr autoPageBreaks="0"/>
  </sheetPr>
  <dimension ref="A1:AS112"/>
  <sheetViews>
    <sheetView showGridLines="0" showOutlineSymbols="0" zoomScaleSheetLayoutView="50" workbookViewId="0">
      <pane xSplit="2" topLeftCell="C1" activePane="topRight" state="frozen"/>
      <selection pane="topRight" activeCell="B5" sqref="B5"/>
    </sheetView>
  </sheetViews>
  <sheetFormatPr defaultColWidth="10.5703125" defaultRowHeight="12" customHeight="1"/>
  <cols>
    <col min="1" max="1" width="1.7109375" style="116" customWidth="1"/>
    <col min="2" max="2" width="32.5703125" style="116" customWidth="1"/>
    <col min="3" max="4" width="6.42578125" style="119" customWidth="1"/>
    <col min="5" max="16" width="10.7109375" style="116" customWidth="1"/>
    <col min="17" max="17" width="12.7109375" style="116" customWidth="1"/>
    <col min="18" max="18" width="1.7109375" style="116" customWidth="1"/>
    <col min="19" max="30" width="10.7109375" style="116" customWidth="1"/>
    <col min="31" max="31" width="12.7109375" style="116" customWidth="1"/>
    <col min="32" max="32" width="1.7109375" style="116" customWidth="1"/>
    <col min="33" max="36" width="10.7109375" style="116" customWidth="1"/>
    <col min="37" max="37" width="12.7109375" style="116" customWidth="1"/>
    <col min="38" max="38" width="1.7109375" style="116" customWidth="1"/>
    <col min="39" max="42" width="10.7109375" style="116" customWidth="1"/>
    <col min="43" max="43" width="12.7109375" style="116" customWidth="1"/>
    <col min="44" max="44" width="1.7109375" style="116" customWidth="1"/>
    <col min="45" max="45" width="12.7109375" style="116" customWidth="1"/>
    <col min="46" max="16384" width="10.5703125" style="116"/>
  </cols>
  <sheetData>
    <row r="1" spans="1:45" ht="9.9499999999999993" customHeight="1"/>
    <row r="2" spans="1:45" s="341" customFormat="1" ht="24.95" customHeight="1" thickBot="1">
      <c r="A2" s="336"/>
      <c r="B2" s="337" t="s">
        <v>98</v>
      </c>
      <c r="C2" s="120"/>
      <c r="D2" s="120"/>
      <c r="E2" s="738">
        <f>Config!K2</f>
        <v>2008</v>
      </c>
      <c r="F2" s="338"/>
      <c r="G2" s="338"/>
      <c r="H2" s="338"/>
      <c r="I2" s="338"/>
      <c r="J2" s="338"/>
      <c r="K2" s="338"/>
      <c r="L2" s="338"/>
      <c r="M2" s="338"/>
      <c r="N2" s="338"/>
      <c r="O2" s="338"/>
      <c r="P2" s="338"/>
      <c r="Q2" s="339"/>
      <c r="R2" s="747"/>
      <c r="S2" s="107">
        <f>E2+1</f>
        <v>2009</v>
      </c>
      <c r="T2" s="338"/>
      <c r="U2" s="338"/>
      <c r="V2" s="338"/>
      <c r="W2" s="338"/>
      <c r="X2" s="338"/>
      <c r="Y2" s="338"/>
      <c r="Z2" s="338"/>
      <c r="AA2" s="338"/>
      <c r="AB2" s="338"/>
      <c r="AC2" s="338"/>
      <c r="AD2" s="338"/>
      <c r="AE2" s="339"/>
      <c r="AG2" s="342">
        <f>S2+1</f>
        <v>2010</v>
      </c>
      <c r="AH2" s="338"/>
      <c r="AI2" s="338"/>
      <c r="AJ2" s="338"/>
      <c r="AK2" s="339"/>
      <c r="AM2" s="342">
        <f>AG2+1</f>
        <v>2011</v>
      </c>
      <c r="AN2" s="338"/>
      <c r="AO2" s="338"/>
      <c r="AP2" s="343"/>
      <c r="AQ2" s="338"/>
      <c r="AS2" s="344">
        <f>AM2+1</f>
        <v>2012</v>
      </c>
    </row>
    <row r="3" spans="1:45" s="110" customFormat="1" ht="14.1" customHeight="1" thickBot="1">
      <c r="A3" s="108"/>
      <c r="B3" s="345"/>
      <c r="C3" s="888" t="s">
        <v>180</v>
      </c>
      <c r="D3" s="888"/>
      <c r="E3" s="345" t="str">
        <f>Config!B67</f>
        <v>January</v>
      </c>
      <c r="F3" s="345" t="str">
        <f>Config!C67</f>
        <v>February</v>
      </c>
      <c r="G3" s="345" t="str">
        <f>Config!D67</f>
        <v>March</v>
      </c>
      <c r="H3" s="345" t="str">
        <f>Config!E67</f>
        <v>April</v>
      </c>
      <c r="I3" s="345" t="str">
        <f>Config!F67</f>
        <v>May</v>
      </c>
      <c r="J3" s="345" t="str">
        <f>Config!G67</f>
        <v>June</v>
      </c>
      <c r="K3" s="345" t="str">
        <f>Config!H67</f>
        <v>July</v>
      </c>
      <c r="L3" s="345" t="str">
        <f>Config!I67</f>
        <v>August</v>
      </c>
      <c r="M3" s="345" t="str">
        <f>Config!J67</f>
        <v>September</v>
      </c>
      <c r="N3" s="345" t="str">
        <f>Config!K67</f>
        <v>October</v>
      </c>
      <c r="O3" s="345" t="str">
        <f>Config!L67</f>
        <v>November</v>
      </c>
      <c r="P3" s="345" t="str">
        <f>Config!M67</f>
        <v>December</v>
      </c>
      <c r="Q3" s="346" t="s">
        <v>18</v>
      </c>
      <c r="R3" s="748"/>
      <c r="S3" s="109" t="str">
        <f>E3</f>
        <v>January</v>
      </c>
      <c r="T3" s="345" t="str">
        <f>F3</f>
        <v>February</v>
      </c>
      <c r="U3" s="345" t="str">
        <f>G3</f>
        <v>March</v>
      </c>
      <c r="V3" s="345" t="str">
        <f>H3</f>
        <v>April</v>
      </c>
      <c r="W3" s="345" t="str">
        <f>I3</f>
        <v>May</v>
      </c>
      <c r="X3" s="345" t="str">
        <f t="shared" ref="X3:AD3" si="0">J3</f>
        <v>June</v>
      </c>
      <c r="Y3" s="345" t="str">
        <f t="shared" si="0"/>
        <v>July</v>
      </c>
      <c r="Z3" s="345" t="str">
        <f t="shared" si="0"/>
        <v>August</v>
      </c>
      <c r="AA3" s="345" t="str">
        <f t="shared" si="0"/>
        <v>September</v>
      </c>
      <c r="AB3" s="345" t="str">
        <f t="shared" si="0"/>
        <v>October</v>
      </c>
      <c r="AC3" s="345" t="str">
        <f t="shared" si="0"/>
        <v>November</v>
      </c>
      <c r="AD3" s="345" t="str">
        <f t="shared" si="0"/>
        <v>December</v>
      </c>
      <c r="AE3" s="346" t="s">
        <v>18</v>
      </c>
      <c r="AG3" s="752" t="s">
        <v>50</v>
      </c>
      <c r="AH3" s="753" t="s">
        <v>51</v>
      </c>
      <c r="AI3" s="753" t="s">
        <v>52</v>
      </c>
      <c r="AJ3" s="754" t="s">
        <v>53</v>
      </c>
      <c r="AK3" s="755" t="s">
        <v>18</v>
      </c>
      <c r="AM3" s="756" t="s">
        <v>50</v>
      </c>
      <c r="AN3" s="757" t="s">
        <v>51</v>
      </c>
      <c r="AO3" s="757" t="s">
        <v>52</v>
      </c>
      <c r="AP3" s="758" t="s">
        <v>53</v>
      </c>
      <c r="AQ3" s="759" t="s">
        <v>18</v>
      </c>
      <c r="AS3" s="351"/>
    </row>
    <row r="4" spans="1:45" s="110" customFormat="1" ht="14.1" customHeight="1">
      <c r="A4" s="108"/>
      <c r="B4" s="354"/>
      <c r="C4" s="126"/>
      <c r="D4" s="722"/>
      <c r="E4" s="378"/>
      <c r="F4" s="108"/>
      <c r="G4" s="108"/>
      <c r="H4" s="108"/>
      <c r="I4" s="108"/>
      <c r="J4" s="108"/>
      <c r="K4" s="108"/>
      <c r="L4" s="108"/>
      <c r="M4" s="108"/>
      <c r="N4" s="108"/>
      <c r="O4" s="108"/>
      <c r="Q4" s="355"/>
      <c r="R4" s="748"/>
      <c r="S4" s="108"/>
      <c r="T4" s="108"/>
      <c r="U4" s="108"/>
      <c r="V4" s="108"/>
      <c r="W4" s="108"/>
      <c r="X4" s="108"/>
      <c r="Y4" s="108"/>
      <c r="Z4" s="108"/>
      <c r="AA4" s="108"/>
      <c r="AB4" s="108"/>
      <c r="AC4" s="108"/>
      <c r="AE4" s="355"/>
      <c r="AG4" s="356"/>
      <c r="AH4" s="108"/>
      <c r="AI4" s="108"/>
      <c r="AK4" s="355"/>
      <c r="AM4" s="356"/>
      <c r="AN4" s="108"/>
      <c r="AO4" s="108"/>
      <c r="AP4" s="347"/>
      <c r="AQ4" s="347"/>
      <c r="AS4" s="760"/>
    </row>
    <row r="5" spans="1:45" ht="14.1" customHeight="1">
      <c r="A5" s="357"/>
      <c r="B5" s="127" t="s">
        <v>299</v>
      </c>
      <c r="C5" s="479"/>
      <c r="D5" s="723"/>
      <c r="E5" s="739"/>
      <c r="F5" s="359"/>
      <c r="G5" s="359"/>
      <c r="H5" s="359"/>
      <c r="I5" s="359"/>
      <c r="J5" s="360"/>
      <c r="K5" s="360"/>
      <c r="L5" s="360"/>
      <c r="M5" s="360"/>
      <c r="N5" s="360"/>
      <c r="O5" s="360"/>
      <c r="P5" s="361"/>
      <c r="Q5" s="362"/>
      <c r="R5" s="749"/>
      <c r="S5" s="359"/>
      <c r="T5" s="359"/>
      <c r="U5" s="359"/>
      <c r="V5" s="359"/>
      <c r="W5" s="359"/>
      <c r="X5" s="360"/>
      <c r="Y5" s="360"/>
      <c r="Z5" s="360"/>
      <c r="AA5" s="360"/>
      <c r="AB5" s="360"/>
      <c r="AC5" s="360"/>
      <c r="AD5" s="361"/>
      <c r="AE5" s="362"/>
      <c r="AG5" s="363"/>
      <c r="AH5" s="360"/>
      <c r="AI5" s="360"/>
      <c r="AJ5" s="361"/>
      <c r="AK5" s="362"/>
      <c r="AM5" s="363"/>
      <c r="AN5" s="360"/>
      <c r="AO5" s="360"/>
      <c r="AP5" s="365"/>
      <c r="AQ5" s="365"/>
      <c r="AS5" s="362"/>
    </row>
    <row r="6" spans="1:45" ht="14.1" customHeight="1">
      <c r="B6" s="480" t="s">
        <v>78</v>
      </c>
      <c r="C6" s="132"/>
      <c r="D6" s="724">
        <v>0.02</v>
      </c>
      <c r="E6" s="140">
        <v>0</v>
      </c>
      <c r="F6" s="91">
        <f t="shared" ref="F6:P6" si="1">E6*(1+P1GrowthRate)</f>
        <v>0</v>
      </c>
      <c r="G6" s="91">
        <f t="shared" si="1"/>
        <v>0</v>
      </c>
      <c r="H6" s="91">
        <f t="shared" si="1"/>
        <v>0</v>
      </c>
      <c r="I6" s="91">
        <f t="shared" si="1"/>
        <v>0</v>
      </c>
      <c r="J6" s="91">
        <f t="shared" si="1"/>
        <v>0</v>
      </c>
      <c r="K6" s="91">
        <f t="shared" si="1"/>
        <v>0</v>
      </c>
      <c r="L6" s="91">
        <f t="shared" si="1"/>
        <v>0</v>
      </c>
      <c r="M6" s="91">
        <f t="shared" si="1"/>
        <v>0</v>
      </c>
      <c r="N6" s="91">
        <f t="shared" si="1"/>
        <v>0</v>
      </c>
      <c r="O6" s="91">
        <f t="shared" si="1"/>
        <v>0</v>
      </c>
      <c r="P6" s="91">
        <f t="shared" si="1"/>
        <v>0</v>
      </c>
      <c r="Q6" s="481">
        <f t="shared" ref="Q6:Q11" si="2">SUM(E6:P6)</f>
        <v>0</v>
      </c>
      <c r="R6" s="749"/>
      <c r="S6" s="91">
        <f>P6*(1+P1GrowthRate)</f>
        <v>0</v>
      </c>
      <c r="T6" s="91">
        <f t="shared" ref="T6:AD6" si="3">S6*(1+P1GrowthRate)</f>
        <v>0</v>
      </c>
      <c r="U6" s="91">
        <f t="shared" si="3"/>
        <v>0</v>
      </c>
      <c r="V6" s="91">
        <f t="shared" si="3"/>
        <v>0</v>
      </c>
      <c r="W6" s="91">
        <f t="shared" si="3"/>
        <v>0</v>
      </c>
      <c r="X6" s="91">
        <f t="shared" si="3"/>
        <v>0</v>
      </c>
      <c r="Y6" s="91">
        <f t="shared" si="3"/>
        <v>0</v>
      </c>
      <c r="Z6" s="91">
        <f t="shared" si="3"/>
        <v>0</v>
      </c>
      <c r="AA6" s="91">
        <f t="shared" si="3"/>
        <v>0</v>
      </c>
      <c r="AB6" s="91">
        <f t="shared" si="3"/>
        <v>0</v>
      </c>
      <c r="AC6" s="91">
        <f t="shared" si="3"/>
        <v>0</v>
      </c>
      <c r="AD6" s="91">
        <f t="shared" si="3"/>
        <v>0</v>
      </c>
      <c r="AE6" s="481">
        <f>SUM(S6:AD6)</f>
        <v>0</v>
      </c>
      <c r="AG6" s="139">
        <f>-FV(P1GrowthRate,3,($AD$6*(1+P1GrowthRate)))</f>
        <v>0</v>
      </c>
      <c r="AH6" s="140">
        <f>-FV(P1GrowthRate,6,($AD$6*(1+P1GrowthRate)))-AG6</f>
        <v>0</v>
      </c>
      <c r="AI6" s="142">
        <f>-FV(P1GrowthRate,9,($AD$6*(1+P1GrowthRate)))-SUM(AG6:AH6)</f>
        <v>0</v>
      </c>
      <c r="AJ6" s="141">
        <f>-FV(P1GrowthRate,12,($AD$6*(1+P1GrowthRate)))-SUM(AG6:AI6)</f>
        <v>0</v>
      </c>
      <c r="AK6" s="481">
        <f t="shared" ref="AK6:AK11" si="4">SUM(AG6:AJ6)</f>
        <v>0</v>
      </c>
      <c r="AL6" s="331"/>
      <c r="AM6" s="139">
        <f>-FV(P1GrowthRate,15,($AD$6*(1+P1GrowthRate)))-AK6</f>
        <v>0</v>
      </c>
      <c r="AN6" s="140">
        <f>-FV(P1GrowthRate,18,($AD$6*(1+P1GrowthRate)))-SUM(AK6:AM6)</f>
        <v>0</v>
      </c>
      <c r="AO6" s="140">
        <f>-FV(P1GrowthRate,21,($AD$6*(1+P1GrowthRate)))-SUM(AK6:AN6)</f>
        <v>0</v>
      </c>
      <c r="AP6" s="141">
        <f>-FV(P1GrowthRate,24,($AD$6*(1+P1GrowthRate)))-SUM(AK6:AO6)</f>
        <v>0</v>
      </c>
      <c r="AQ6" s="482">
        <f t="shared" ref="AQ6:AQ11" si="5">SUM(AM6:AP6)</f>
        <v>0</v>
      </c>
      <c r="AS6" s="92">
        <f>-FV(P1GrowthRate,36,($AD$6*(1+P1GrowthRate)))-AK6-AQ6</f>
        <v>0</v>
      </c>
    </row>
    <row r="7" spans="1:45" ht="14.1" customHeight="1">
      <c r="A7" s="357"/>
      <c r="B7" s="483" t="s">
        <v>79</v>
      </c>
      <c r="C7" s="129"/>
      <c r="D7" s="725"/>
      <c r="E7" s="147">
        <v>0</v>
      </c>
      <c r="F7" s="147">
        <f>E7</f>
        <v>0</v>
      </c>
      <c r="G7" s="147">
        <f t="shared" ref="G7:O7" si="6">F7</f>
        <v>0</v>
      </c>
      <c r="H7" s="147">
        <f t="shared" si="6"/>
        <v>0</v>
      </c>
      <c r="I7" s="147">
        <f t="shared" si="6"/>
        <v>0</v>
      </c>
      <c r="J7" s="147">
        <f t="shared" si="6"/>
        <v>0</v>
      </c>
      <c r="K7" s="147">
        <f t="shared" si="6"/>
        <v>0</v>
      </c>
      <c r="L7" s="147">
        <f t="shared" si="6"/>
        <v>0</v>
      </c>
      <c r="M7" s="147">
        <f t="shared" si="6"/>
        <v>0</v>
      </c>
      <c r="N7" s="147">
        <f t="shared" si="6"/>
        <v>0</v>
      </c>
      <c r="O7" s="147">
        <f t="shared" si="6"/>
        <v>0</v>
      </c>
      <c r="P7" s="147">
        <f>O7</f>
        <v>0</v>
      </c>
      <c r="Q7" s="484"/>
      <c r="R7" s="750"/>
      <c r="S7" s="146">
        <f>P7</f>
        <v>0</v>
      </c>
      <c r="T7" s="147">
        <f>S7</f>
        <v>0</v>
      </c>
      <c r="U7" s="147">
        <f t="shared" ref="U7:AC7" si="7">T7</f>
        <v>0</v>
      </c>
      <c r="V7" s="147">
        <f t="shared" si="7"/>
        <v>0</v>
      </c>
      <c r="W7" s="147">
        <f t="shared" si="7"/>
        <v>0</v>
      </c>
      <c r="X7" s="147">
        <f t="shared" si="7"/>
        <v>0</v>
      </c>
      <c r="Y7" s="147">
        <f t="shared" si="7"/>
        <v>0</v>
      </c>
      <c r="Z7" s="147">
        <f t="shared" si="7"/>
        <v>0</v>
      </c>
      <c r="AA7" s="147">
        <f t="shared" si="7"/>
        <v>0</v>
      </c>
      <c r="AB7" s="147">
        <f t="shared" si="7"/>
        <v>0</v>
      </c>
      <c r="AC7" s="147">
        <f t="shared" si="7"/>
        <v>0</v>
      </c>
      <c r="AD7" s="147">
        <f>AC7</f>
        <v>0</v>
      </c>
      <c r="AE7" s="484"/>
      <c r="AF7" s="368"/>
      <c r="AG7" s="150">
        <f>AD7</f>
        <v>0</v>
      </c>
      <c r="AH7" s="147">
        <f>AG7</f>
        <v>0</v>
      </c>
      <c r="AI7" s="147">
        <f>AH7</f>
        <v>0</v>
      </c>
      <c r="AJ7" s="147">
        <f>AI7</f>
        <v>0</v>
      </c>
      <c r="AK7" s="484"/>
      <c r="AL7" s="368"/>
      <c r="AM7" s="151">
        <f>AJ7</f>
        <v>0</v>
      </c>
      <c r="AN7" s="152">
        <f>AM7</f>
        <v>0</v>
      </c>
      <c r="AO7" s="152">
        <f>AN7</f>
        <v>0</v>
      </c>
      <c r="AP7" s="153">
        <f>AO7</f>
        <v>0</v>
      </c>
      <c r="AQ7" s="485"/>
      <c r="AR7" s="368"/>
      <c r="AS7" s="154">
        <f>AP7</f>
        <v>0</v>
      </c>
    </row>
    <row r="8" spans="1:45" ht="14.1" customHeight="1">
      <c r="A8" s="357"/>
      <c r="B8" s="486" t="s">
        <v>93</v>
      </c>
      <c r="C8" s="130"/>
      <c r="D8" s="726"/>
      <c r="E8" s="488">
        <f t="shared" ref="E8:P8" si="8">PRODUCT(E6:E7)</f>
        <v>0</v>
      </c>
      <c r="F8" s="488">
        <f t="shared" si="8"/>
        <v>0</v>
      </c>
      <c r="G8" s="488">
        <f t="shared" si="8"/>
        <v>0</v>
      </c>
      <c r="H8" s="488">
        <f t="shared" si="8"/>
        <v>0</v>
      </c>
      <c r="I8" s="488">
        <f t="shared" si="8"/>
        <v>0</v>
      </c>
      <c r="J8" s="488">
        <f t="shared" si="8"/>
        <v>0</v>
      </c>
      <c r="K8" s="488">
        <f t="shared" si="8"/>
        <v>0</v>
      </c>
      <c r="L8" s="488">
        <f t="shared" si="8"/>
        <v>0</v>
      </c>
      <c r="M8" s="488">
        <f t="shared" si="8"/>
        <v>0</v>
      </c>
      <c r="N8" s="488">
        <f t="shared" si="8"/>
        <v>0</v>
      </c>
      <c r="O8" s="488">
        <f t="shared" si="8"/>
        <v>0</v>
      </c>
      <c r="P8" s="489">
        <f t="shared" si="8"/>
        <v>0</v>
      </c>
      <c r="Q8" s="371">
        <f t="shared" si="2"/>
        <v>0</v>
      </c>
      <c r="R8" s="750"/>
      <c r="S8" s="487">
        <f t="shared" ref="S8:AD8" si="9">PRODUCT(S6:S7)</f>
        <v>0</v>
      </c>
      <c r="T8" s="488">
        <f t="shared" si="9"/>
        <v>0</v>
      </c>
      <c r="U8" s="488">
        <f t="shared" si="9"/>
        <v>0</v>
      </c>
      <c r="V8" s="488">
        <f t="shared" si="9"/>
        <v>0</v>
      </c>
      <c r="W8" s="488">
        <f t="shared" si="9"/>
        <v>0</v>
      </c>
      <c r="X8" s="488">
        <f t="shared" si="9"/>
        <v>0</v>
      </c>
      <c r="Y8" s="488">
        <f t="shared" si="9"/>
        <v>0</v>
      </c>
      <c r="Z8" s="488">
        <f t="shared" si="9"/>
        <v>0</v>
      </c>
      <c r="AA8" s="488">
        <f t="shared" si="9"/>
        <v>0</v>
      </c>
      <c r="AB8" s="488">
        <f t="shared" si="9"/>
        <v>0</v>
      </c>
      <c r="AC8" s="488">
        <f t="shared" si="9"/>
        <v>0</v>
      </c>
      <c r="AD8" s="489">
        <f t="shared" si="9"/>
        <v>0</v>
      </c>
      <c r="AE8" s="371">
        <f t="shared" ref="AE8:AE13" si="10">SUM(S8:AD8)</f>
        <v>0</v>
      </c>
      <c r="AF8" s="368"/>
      <c r="AG8" s="490">
        <f>PRODUCT(AG6:AG7)</f>
        <v>0</v>
      </c>
      <c r="AH8" s="488">
        <f>PRODUCT(AH6:AH7)</f>
        <v>0</v>
      </c>
      <c r="AI8" s="488">
        <f>PRODUCT(AI6:AI7)</f>
        <v>0</v>
      </c>
      <c r="AJ8" s="489">
        <f>PRODUCT(AJ6:AJ7)</f>
        <v>0</v>
      </c>
      <c r="AK8" s="369">
        <f t="shared" si="4"/>
        <v>0</v>
      </c>
      <c r="AL8" s="368"/>
      <c r="AM8" s="490">
        <f>PRODUCT(AM6:AM7)</f>
        <v>0</v>
      </c>
      <c r="AN8" s="488">
        <f>PRODUCT(AN6:AN7)</f>
        <v>0</v>
      </c>
      <c r="AO8" s="488">
        <f>PRODUCT(AO6:AO7)</f>
        <v>0</v>
      </c>
      <c r="AP8" s="491">
        <f>PRODUCT(AP6:AP7)</f>
        <v>0</v>
      </c>
      <c r="AQ8" s="370">
        <f t="shared" si="5"/>
        <v>0</v>
      </c>
      <c r="AR8" s="368"/>
      <c r="AS8" s="371">
        <f>PRODUCT(AS6:AS7)</f>
        <v>0</v>
      </c>
    </row>
    <row r="9" spans="1:45" ht="14.1" customHeight="1">
      <c r="A9" s="357"/>
      <c r="B9" s="492" t="s">
        <v>80</v>
      </c>
      <c r="C9" s="532">
        <v>0.5</v>
      </c>
      <c r="D9" s="727">
        <v>0.15</v>
      </c>
      <c r="E9" s="525">
        <f t="shared" ref="E9:P9" si="11">E8*P1CommRate*P1CommSales</f>
        <v>0</v>
      </c>
      <c r="F9" s="493">
        <f t="shared" si="11"/>
        <v>0</v>
      </c>
      <c r="G9" s="493">
        <f t="shared" si="11"/>
        <v>0</v>
      </c>
      <c r="H9" s="493">
        <f t="shared" si="11"/>
        <v>0</v>
      </c>
      <c r="I9" s="493">
        <f t="shared" si="11"/>
        <v>0</v>
      </c>
      <c r="J9" s="493">
        <f t="shared" si="11"/>
        <v>0</v>
      </c>
      <c r="K9" s="493">
        <f t="shared" si="11"/>
        <v>0</v>
      </c>
      <c r="L9" s="493">
        <f t="shared" si="11"/>
        <v>0</v>
      </c>
      <c r="M9" s="493">
        <f t="shared" si="11"/>
        <v>0</v>
      </c>
      <c r="N9" s="493">
        <f t="shared" si="11"/>
        <v>0</v>
      </c>
      <c r="O9" s="493">
        <f t="shared" si="11"/>
        <v>0</v>
      </c>
      <c r="P9" s="493">
        <f t="shared" si="11"/>
        <v>0</v>
      </c>
      <c r="Q9" s="366">
        <f t="shared" si="2"/>
        <v>0</v>
      </c>
      <c r="R9" s="750"/>
      <c r="S9" s="493">
        <f t="shared" ref="S9:AD9" si="12">S8*P1CommRate*P1CommSales</f>
        <v>0</v>
      </c>
      <c r="T9" s="493">
        <f t="shared" si="12"/>
        <v>0</v>
      </c>
      <c r="U9" s="493">
        <f t="shared" si="12"/>
        <v>0</v>
      </c>
      <c r="V9" s="493">
        <f t="shared" si="12"/>
        <v>0</v>
      </c>
      <c r="W9" s="493">
        <f t="shared" si="12"/>
        <v>0</v>
      </c>
      <c r="X9" s="493">
        <f t="shared" si="12"/>
        <v>0</v>
      </c>
      <c r="Y9" s="493">
        <f t="shared" si="12"/>
        <v>0</v>
      </c>
      <c r="Z9" s="493">
        <f t="shared" si="12"/>
        <v>0</v>
      </c>
      <c r="AA9" s="493">
        <f t="shared" si="12"/>
        <v>0</v>
      </c>
      <c r="AB9" s="493">
        <f t="shared" si="12"/>
        <v>0</v>
      </c>
      <c r="AC9" s="493">
        <f t="shared" si="12"/>
        <v>0</v>
      </c>
      <c r="AD9" s="493">
        <f t="shared" si="12"/>
        <v>0</v>
      </c>
      <c r="AE9" s="366">
        <f t="shared" si="10"/>
        <v>0</v>
      </c>
      <c r="AF9" s="372"/>
      <c r="AG9" s="493">
        <f>AG8*P1CommRate*P1CommSales</f>
        <v>0</v>
      </c>
      <c r="AH9" s="493">
        <f>AH8*P1CommRate*P1CommSales</f>
        <v>0</v>
      </c>
      <c r="AI9" s="493">
        <f>AI8*P1CommRate*P1CommSales</f>
        <v>0</v>
      </c>
      <c r="AJ9" s="493">
        <f>AJ8*P1CommRate*P1CommSales</f>
        <v>0</v>
      </c>
      <c r="AK9" s="369">
        <f t="shared" si="4"/>
        <v>0</v>
      </c>
      <c r="AL9" s="372"/>
      <c r="AM9" s="493">
        <f>AM8*P1CommRate*P1CommSales</f>
        <v>0</v>
      </c>
      <c r="AN9" s="493">
        <f>AN8*P1CommRate*P1CommSales</f>
        <v>0</v>
      </c>
      <c r="AO9" s="493">
        <f>AO8*P1CommRate*P1CommSales</f>
        <v>0</v>
      </c>
      <c r="AP9" s="494">
        <f>AP8*P1CommRate*P1CommSales</f>
        <v>0</v>
      </c>
      <c r="AQ9" s="370">
        <f t="shared" si="5"/>
        <v>0</v>
      </c>
      <c r="AR9" s="372"/>
      <c r="AS9" s="366">
        <f>AS8*P1CommRate*P1CommSales</f>
        <v>0</v>
      </c>
    </row>
    <row r="10" spans="1:45" ht="14.1" customHeight="1">
      <c r="A10" s="357"/>
      <c r="B10" s="492" t="s">
        <v>81</v>
      </c>
      <c r="C10" s="124"/>
      <c r="D10" s="727">
        <v>0.03</v>
      </c>
      <c r="E10" s="525">
        <f t="shared" ref="E10:P10" si="13">E8*P1ReturnRate</f>
        <v>0</v>
      </c>
      <c r="F10" s="493">
        <f t="shared" si="13"/>
        <v>0</v>
      </c>
      <c r="G10" s="493">
        <f t="shared" si="13"/>
        <v>0</v>
      </c>
      <c r="H10" s="493">
        <f t="shared" si="13"/>
        <v>0</v>
      </c>
      <c r="I10" s="493">
        <f t="shared" si="13"/>
        <v>0</v>
      </c>
      <c r="J10" s="493">
        <f t="shared" si="13"/>
        <v>0</v>
      </c>
      <c r="K10" s="493">
        <f t="shared" si="13"/>
        <v>0</v>
      </c>
      <c r="L10" s="493">
        <f t="shared" si="13"/>
        <v>0</v>
      </c>
      <c r="M10" s="493">
        <f t="shared" si="13"/>
        <v>0</v>
      </c>
      <c r="N10" s="493">
        <f t="shared" si="13"/>
        <v>0</v>
      </c>
      <c r="O10" s="493">
        <f t="shared" si="13"/>
        <v>0</v>
      </c>
      <c r="P10" s="493">
        <f t="shared" si="13"/>
        <v>0</v>
      </c>
      <c r="Q10" s="366">
        <f t="shared" si="2"/>
        <v>0</v>
      </c>
      <c r="R10" s="750"/>
      <c r="S10" s="493">
        <f t="shared" ref="S10:AD10" si="14">S8*P1ReturnRate</f>
        <v>0</v>
      </c>
      <c r="T10" s="493">
        <f t="shared" si="14"/>
        <v>0</v>
      </c>
      <c r="U10" s="493">
        <f t="shared" si="14"/>
        <v>0</v>
      </c>
      <c r="V10" s="493">
        <f t="shared" si="14"/>
        <v>0</v>
      </c>
      <c r="W10" s="493">
        <f t="shared" si="14"/>
        <v>0</v>
      </c>
      <c r="X10" s="493">
        <f t="shared" si="14"/>
        <v>0</v>
      </c>
      <c r="Y10" s="493">
        <f t="shared" si="14"/>
        <v>0</v>
      </c>
      <c r="Z10" s="493">
        <f t="shared" si="14"/>
        <v>0</v>
      </c>
      <c r="AA10" s="493">
        <f t="shared" si="14"/>
        <v>0</v>
      </c>
      <c r="AB10" s="493">
        <f t="shared" si="14"/>
        <v>0</v>
      </c>
      <c r="AC10" s="493">
        <f t="shared" si="14"/>
        <v>0</v>
      </c>
      <c r="AD10" s="493">
        <f t="shared" si="14"/>
        <v>0</v>
      </c>
      <c r="AE10" s="366">
        <f t="shared" si="10"/>
        <v>0</v>
      </c>
      <c r="AF10" s="372"/>
      <c r="AG10" s="493">
        <f>AG8*P1ReturnRate</f>
        <v>0</v>
      </c>
      <c r="AH10" s="493">
        <f>AH8*P1ReturnRate</f>
        <v>0</v>
      </c>
      <c r="AI10" s="493">
        <f>AI8*P1ReturnRate</f>
        <v>0</v>
      </c>
      <c r="AJ10" s="493">
        <f>AJ8*P1ReturnRate</f>
        <v>0</v>
      </c>
      <c r="AK10" s="366">
        <f t="shared" si="4"/>
        <v>0</v>
      </c>
      <c r="AL10" s="372"/>
      <c r="AM10" s="493">
        <f>AM8*P1ReturnRate</f>
        <v>0</v>
      </c>
      <c r="AN10" s="493">
        <f>AN8*P1ReturnRate</f>
        <v>0</v>
      </c>
      <c r="AO10" s="493">
        <f>AO8*P1ReturnRate</f>
        <v>0</v>
      </c>
      <c r="AP10" s="494">
        <f>AP8*P1ReturnRate</f>
        <v>0</v>
      </c>
      <c r="AQ10" s="494">
        <f t="shared" si="5"/>
        <v>0</v>
      </c>
      <c r="AR10" s="372"/>
      <c r="AS10" s="366">
        <f>AS8*P1ReturnRate</f>
        <v>0</v>
      </c>
    </row>
    <row r="11" spans="1:45" ht="14.1" customHeight="1" thickBot="1">
      <c r="B11" s="495" t="s">
        <v>30</v>
      </c>
      <c r="C11" s="131"/>
      <c r="D11" s="728"/>
      <c r="E11" s="397">
        <f t="shared" ref="E11:P11" si="15">E8-E9-E10</f>
        <v>0</v>
      </c>
      <c r="F11" s="376">
        <f t="shared" si="15"/>
        <v>0</v>
      </c>
      <c r="G11" s="376">
        <f t="shared" si="15"/>
        <v>0</v>
      </c>
      <c r="H11" s="376">
        <f t="shared" si="15"/>
        <v>0</v>
      </c>
      <c r="I11" s="376">
        <f t="shared" si="15"/>
        <v>0</v>
      </c>
      <c r="J11" s="376">
        <f t="shared" si="15"/>
        <v>0</v>
      </c>
      <c r="K11" s="376">
        <f t="shared" si="15"/>
        <v>0</v>
      </c>
      <c r="L11" s="376">
        <f t="shared" si="15"/>
        <v>0</v>
      </c>
      <c r="M11" s="376">
        <f t="shared" si="15"/>
        <v>0</v>
      </c>
      <c r="N11" s="376">
        <f t="shared" si="15"/>
        <v>0</v>
      </c>
      <c r="O11" s="376">
        <f t="shared" si="15"/>
        <v>0</v>
      </c>
      <c r="P11" s="496">
        <f t="shared" si="15"/>
        <v>0</v>
      </c>
      <c r="Q11" s="377">
        <f t="shared" si="2"/>
        <v>0</v>
      </c>
      <c r="R11" s="750"/>
      <c r="S11" s="376">
        <f t="shared" ref="S11:AD11" si="16">S8-S9-S10</f>
        <v>0</v>
      </c>
      <c r="T11" s="376">
        <f t="shared" si="16"/>
        <v>0</v>
      </c>
      <c r="U11" s="376">
        <f t="shared" si="16"/>
        <v>0</v>
      </c>
      <c r="V11" s="376">
        <f t="shared" si="16"/>
        <v>0</v>
      </c>
      <c r="W11" s="376">
        <f t="shared" si="16"/>
        <v>0</v>
      </c>
      <c r="X11" s="376">
        <f t="shared" si="16"/>
        <v>0</v>
      </c>
      <c r="Y11" s="376">
        <f t="shared" si="16"/>
        <v>0</v>
      </c>
      <c r="Z11" s="376">
        <f t="shared" si="16"/>
        <v>0</v>
      </c>
      <c r="AA11" s="376">
        <f t="shared" si="16"/>
        <v>0</v>
      </c>
      <c r="AB11" s="376">
        <f t="shared" si="16"/>
        <v>0</v>
      </c>
      <c r="AC11" s="376">
        <f t="shared" si="16"/>
        <v>0</v>
      </c>
      <c r="AD11" s="496">
        <f t="shared" si="16"/>
        <v>0</v>
      </c>
      <c r="AE11" s="377">
        <f t="shared" si="10"/>
        <v>0</v>
      </c>
      <c r="AF11" s="368"/>
      <c r="AG11" s="676">
        <f>AG8-AG9-AG10</f>
        <v>0</v>
      </c>
      <c r="AH11" s="677">
        <f>AH8-AH9-AH10</f>
        <v>0</v>
      </c>
      <c r="AI11" s="677">
        <f>AI8-AI9-AI10</f>
        <v>0</v>
      </c>
      <c r="AJ11" s="678">
        <f>AJ8-AJ9-AJ10</f>
        <v>0</v>
      </c>
      <c r="AK11" s="679">
        <f t="shared" si="4"/>
        <v>0</v>
      </c>
      <c r="AL11" s="680"/>
      <c r="AM11" s="676">
        <f>AM8-AM9-AM10</f>
        <v>0</v>
      </c>
      <c r="AN11" s="677">
        <f>AN8-AN9-AN10</f>
        <v>0</v>
      </c>
      <c r="AO11" s="677">
        <f>AO8-AO9-AO10</f>
        <v>0</v>
      </c>
      <c r="AP11" s="682">
        <f>AP8-AP9-AP10</f>
        <v>0</v>
      </c>
      <c r="AQ11" s="682">
        <f t="shared" si="5"/>
        <v>0</v>
      </c>
      <c r="AR11" s="680"/>
      <c r="AS11" s="390">
        <f>AS8-AS9-AS10</f>
        <v>0</v>
      </c>
    </row>
    <row r="12" spans="1:45" ht="14.1" customHeight="1">
      <c r="B12" s="499" t="s">
        <v>181</v>
      </c>
      <c r="C12" s="133"/>
      <c r="D12" s="729">
        <v>0.5</v>
      </c>
      <c r="E12" s="740">
        <f t="shared" ref="E12:P12" si="17">E8*P1COG</f>
        <v>0</v>
      </c>
      <c r="F12" s="500">
        <f t="shared" si="17"/>
        <v>0</v>
      </c>
      <c r="G12" s="500">
        <f t="shared" si="17"/>
        <v>0</v>
      </c>
      <c r="H12" s="500">
        <f t="shared" si="17"/>
        <v>0</v>
      </c>
      <c r="I12" s="500">
        <f t="shared" si="17"/>
        <v>0</v>
      </c>
      <c r="J12" s="500">
        <f t="shared" si="17"/>
        <v>0</v>
      </c>
      <c r="K12" s="500">
        <f t="shared" si="17"/>
        <v>0</v>
      </c>
      <c r="L12" s="500">
        <f t="shared" si="17"/>
        <v>0</v>
      </c>
      <c r="M12" s="500">
        <f t="shared" si="17"/>
        <v>0</v>
      </c>
      <c r="N12" s="500">
        <f t="shared" si="17"/>
        <v>0</v>
      </c>
      <c r="O12" s="500">
        <f t="shared" si="17"/>
        <v>0</v>
      </c>
      <c r="P12" s="500">
        <f t="shared" si="17"/>
        <v>0</v>
      </c>
      <c r="Q12" s="501">
        <f>SUM(E12:P12)</f>
        <v>0</v>
      </c>
      <c r="R12" s="750"/>
      <c r="S12" s="500">
        <f t="shared" ref="S12:AD12" si="18">S8*P1COG</f>
        <v>0</v>
      </c>
      <c r="T12" s="500">
        <f t="shared" si="18"/>
        <v>0</v>
      </c>
      <c r="U12" s="500">
        <f t="shared" si="18"/>
        <v>0</v>
      </c>
      <c r="V12" s="500">
        <f t="shared" si="18"/>
        <v>0</v>
      </c>
      <c r="W12" s="500">
        <f t="shared" si="18"/>
        <v>0</v>
      </c>
      <c r="X12" s="500">
        <f t="shared" si="18"/>
        <v>0</v>
      </c>
      <c r="Y12" s="500">
        <f t="shared" si="18"/>
        <v>0</v>
      </c>
      <c r="Z12" s="500">
        <f t="shared" si="18"/>
        <v>0</v>
      </c>
      <c r="AA12" s="500">
        <f t="shared" si="18"/>
        <v>0</v>
      </c>
      <c r="AB12" s="500">
        <f t="shared" si="18"/>
        <v>0</v>
      </c>
      <c r="AC12" s="500">
        <f t="shared" si="18"/>
        <v>0</v>
      </c>
      <c r="AD12" s="500">
        <f t="shared" si="18"/>
        <v>0</v>
      </c>
      <c r="AE12" s="501">
        <f t="shared" si="10"/>
        <v>0</v>
      </c>
      <c r="AF12" s="372"/>
      <c r="AG12" s="500">
        <f>AG8*P1COG</f>
        <v>0</v>
      </c>
      <c r="AH12" s="500">
        <f>AH8*P1COG</f>
        <v>0</v>
      </c>
      <c r="AI12" s="500">
        <f>AI8*P1COG</f>
        <v>0</v>
      </c>
      <c r="AJ12" s="500">
        <f>AJ8*P1COG</f>
        <v>0</v>
      </c>
      <c r="AK12" s="501">
        <f>SUM(AG12:AJ12)</f>
        <v>0</v>
      </c>
      <c r="AL12" s="372"/>
      <c r="AM12" s="500">
        <f>AM8*P1COG</f>
        <v>0</v>
      </c>
      <c r="AN12" s="500">
        <f>AN8*P1COG</f>
        <v>0</v>
      </c>
      <c r="AO12" s="500">
        <f>AO8*P1COG</f>
        <v>0</v>
      </c>
      <c r="AP12" s="502">
        <f>AP8*P1COG</f>
        <v>0</v>
      </c>
      <c r="AQ12" s="367">
        <f>SUM(AM12:AP12)</f>
        <v>0</v>
      </c>
      <c r="AR12" s="372"/>
      <c r="AS12" s="501">
        <f>AS8*P1COG</f>
        <v>0</v>
      </c>
    </row>
    <row r="13" spans="1:45" ht="14.1" customHeight="1" thickBot="1">
      <c r="B13" s="379" t="s">
        <v>31</v>
      </c>
      <c r="C13" s="134"/>
      <c r="D13" s="730"/>
      <c r="E13" s="741">
        <f>E11-E12</f>
        <v>0</v>
      </c>
      <c r="F13" s="503">
        <f t="shared" ref="F13:P13" si="19">F11-F12</f>
        <v>0</v>
      </c>
      <c r="G13" s="503">
        <f t="shared" si="19"/>
        <v>0</v>
      </c>
      <c r="H13" s="503">
        <f t="shared" si="19"/>
        <v>0</v>
      </c>
      <c r="I13" s="503">
        <f t="shared" si="19"/>
        <v>0</v>
      </c>
      <c r="J13" s="503">
        <f t="shared" si="19"/>
        <v>0</v>
      </c>
      <c r="K13" s="503">
        <f t="shared" si="19"/>
        <v>0</v>
      </c>
      <c r="L13" s="503">
        <f t="shared" si="19"/>
        <v>0</v>
      </c>
      <c r="M13" s="503">
        <f t="shared" si="19"/>
        <v>0</v>
      </c>
      <c r="N13" s="503">
        <f t="shared" si="19"/>
        <v>0</v>
      </c>
      <c r="O13" s="503">
        <f t="shared" si="19"/>
        <v>0</v>
      </c>
      <c r="P13" s="503">
        <f t="shared" si="19"/>
        <v>0</v>
      </c>
      <c r="Q13" s="504">
        <f>SUM(E13:P13)</f>
        <v>0</v>
      </c>
      <c r="R13" s="750"/>
      <c r="S13" s="503">
        <f t="shared" ref="S13:AD13" si="20">S11-S12</f>
        <v>0</v>
      </c>
      <c r="T13" s="503">
        <f t="shared" si="20"/>
        <v>0</v>
      </c>
      <c r="U13" s="503">
        <f t="shared" si="20"/>
        <v>0</v>
      </c>
      <c r="V13" s="503">
        <f t="shared" si="20"/>
        <v>0</v>
      </c>
      <c r="W13" s="503">
        <f t="shared" si="20"/>
        <v>0</v>
      </c>
      <c r="X13" s="503">
        <f t="shared" si="20"/>
        <v>0</v>
      </c>
      <c r="Y13" s="503">
        <f t="shared" si="20"/>
        <v>0</v>
      </c>
      <c r="Z13" s="503">
        <f t="shared" si="20"/>
        <v>0</v>
      </c>
      <c r="AA13" s="503">
        <f t="shared" si="20"/>
        <v>0</v>
      </c>
      <c r="AB13" s="503">
        <f t="shared" si="20"/>
        <v>0</v>
      </c>
      <c r="AC13" s="503">
        <f t="shared" si="20"/>
        <v>0</v>
      </c>
      <c r="AD13" s="503">
        <f t="shared" si="20"/>
        <v>0</v>
      </c>
      <c r="AE13" s="504">
        <f t="shared" si="10"/>
        <v>0</v>
      </c>
      <c r="AF13" s="372"/>
      <c r="AG13" s="503">
        <f>AG11-AG12</f>
        <v>0</v>
      </c>
      <c r="AH13" s="503">
        <f>AH11-AH12</f>
        <v>0</v>
      </c>
      <c r="AI13" s="503">
        <f>AI11-AI12</f>
        <v>0</v>
      </c>
      <c r="AJ13" s="503">
        <f>AJ11-AJ12</f>
        <v>0</v>
      </c>
      <c r="AK13" s="377">
        <f>SUM(AG13:AJ13)</f>
        <v>0</v>
      </c>
      <c r="AL13" s="372"/>
      <c r="AM13" s="503">
        <f>AM11-AM12</f>
        <v>0</v>
      </c>
      <c r="AN13" s="503">
        <f>AN11-AN12</f>
        <v>0</v>
      </c>
      <c r="AO13" s="503">
        <f>AO11-AO12</f>
        <v>0</v>
      </c>
      <c r="AP13" s="505">
        <f>AP11-AP12</f>
        <v>0</v>
      </c>
      <c r="AQ13" s="505">
        <f>SUM(AM13:AP13)</f>
        <v>0</v>
      </c>
      <c r="AR13" s="372"/>
      <c r="AS13" s="504">
        <f>AS11-AS12</f>
        <v>0</v>
      </c>
    </row>
    <row r="14" spans="1:45" s="110" customFormat="1" ht="14.1" customHeight="1">
      <c r="A14" s="108"/>
      <c r="B14" s="354"/>
      <c r="C14" s="126"/>
      <c r="D14" s="722"/>
      <c r="E14" s="378"/>
      <c r="F14" s="108"/>
      <c r="G14" s="108"/>
      <c r="H14" s="108"/>
      <c r="I14" s="108"/>
      <c r="J14" s="108"/>
      <c r="K14" s="108"/>
      <c r="L14" s="108"/>
      <c r="M14" s="108"/>
      <c r="N14" s="108"/>
      <c r="O14" s="108"/>
      <c r="Q14" s="355"/>
      <c r="R14" s="748"/>
      <c r="S14" s="108"/>
      <c r="T14" s="108"/>
      <c r="U14" s="108"/>
      <c r="V14" s="108"/>
      <c r="W14" s="108"/>
      <c r="X14" s="108"/>
      <c r="Y14" s="108"/>
      <c r="Z14" s="108"/>
      <c r="AA14" s="108"/>
      <c r="AB14" s="108"/>
      <c r="AC14" s="108"/>
      <c r="AE14" s="355"/>
      <c r="AG14" s="356"/>
      <c r="AH14" s="108"/>
      <c r="AI14" s="108"/>
      <c r="AK14" s="355"/>
      <c r="AM14" s="356"/>
      <c r="AN14" s="108"/>
      <c r="AO14" s="108"/>
      <c r="AP14" s="347"/>
      <c r="AQ14" s="347"/>
      <c r="AS14" s="355"/>
    </row>
    <row r="15" spans="1:45" ht="14.1" customHeight="1">
      <c r="A15" s="357"/>
      <c r="B15" s="127" t="s">
        <v>300</v>
      </c>
      <c r="C15" s="479"/>
      <c r="D15" s="723"/>
      <c r="E15" s="739"/>
      <c r="F15" s="359"/>
      <c r="G15" s="359"/>
      <c r="H15" s="359"/>
      <c r="I15" s="359"/>
      <c r="J15" s="360"/>
      <c r="K15" s="360"/>
      <c r="L15" s="360"/>
      <c r="M15" s="360"/>
      <c r="N15" s="360"/>
      <c r="O15" s="360"/>
      <c r="P15" s="361"/>
      <c r="Q15" s="362"/>
      <c r="R15" s="749"/>
      <c r="S15" s="359"/>
      <c r="T15" s="359"/>
      <c r="U15" s="359"/>
      <c r="V15" s="359"/>
      <c r="W15" s="359"/>
      <c r="X15" s="360"/>
      <c r="Y15" s="360"/>
      <c r="Z15" s="360"/>
      <c r="AA15" s="360"/>
      <c r="AB15" s="360"/>
      <c r="AC15" s="360"/>
      <c r="AD15" s="361"/>
      <c r="AE15" s="362"/>
      <c r="AG15" s="363"/>
      <c r="AH15" s="360"/>
      <c r="AI15" s="360"/>
      <c r="AJ15" s="361"/>
      <c r="AK15" s="362"/>
      <c r="AM15" s="363"/>
      <c r="AN15" s="360"/>
      <c r="AO15" s="360"/>
      <c r="AP15" s="365"/>
      <c r="AQ15" s="365"/>
      <c r="AS15" s="362"/>
    </row>
    <row r="16" spans="1:45" ht="14.1" customHeight="1">
      <c r="B16" s="480" t="s">
        <v>78</v>
      </c>
      <c r="C16" s="132"/>
      <c r="D16" s="724">
        <v>0.02</v>
      </c>
      <c r="E16" s="140">
        <v>0</v>
      </c>
      <c r="F16" s="91">
        <f t="shared" ref="F16:P16" si="21">E16*(1+P2GrowthRate)</f>
        <v>0</v>
      </c>
      <c r="G16" s="91">
        <f t="shared" si="21"/>
        <v>0</v>
      </c>
      <c r="H16" s="91">
        <f t="shared" si="21"/>
        <v>0</v>
      </c>
      <c r="I16" s="91">
        <f t="shared" si="21"/>
        <v>0</v>
      </c>
      <c r="J16" s="91">
        <f t="shared" si="21"/>
        <v>0</v>
      </c>
      <c r="K16" s="91">
        <f t="shared" si="21"/>
        <v>0</v>
      </c>
      <c r="L16" s="91">
        <f t="shared" si="21"/>
        <v>0</v>
      </c>
      <c r="M16" s="91">
        <f t="shared" si="21"/>
        <v>0</v>
      </c>
      <c r="N16" s="91">
        <f t="shared" si="21"/>
        <v>0</v>
      </c>
      <c r="O16" s="91">
        <f t="shared" si="21"/>
        <v>0</v>
      </c>
      <c r="P16" s="91">
        <f t="shared" si="21"/>
        <v>0</v>
      </c>
      <c r="Q16" s="481">
        <f>SUM(E16:P16)</f>
        <v>0</v>
      </c>
      <c r="R16" s="749"/>
      <c r="S16" s="91">
        <f>P16*(1+P2GrowthRate)</f>
        <v>0</v>
      </c>
      <c r="T16" s="91">
        <f t="shared" ref="T16:AD16" si="22">S16*(1+P2GrowthRate)</f>
        <v>0</v>
      </c>
      <c r="U16" s="91">
        <f t="shared" si="22"/>
        <v>0</v>
      </c>
      <c r="V16" s="91">
        <f t="shared" si="22"/>
        <v>0</v>
      </c>
      <c r="W16" s="91">
        <f t="shared" si="22"/>
        <v>0</v>
      </c>
      <c r="X16" s="91">
        <f t="shared" si="22"/>
        <v>0</v>
      </c>
      <c r="Y16" s="91">
        <f t="shared" si="22"/>
        <v>0</v>
      </c>
      <c r="Z16" s="91">
        <f t="shared" si="22"/>
        <v>0</v>
      </c>
      <c r="AA16" s="91">
        <f t="shared" si="22"/>
        <v>0</v>
      </c>
      <c r="AB16" s="91">
        <f t="shared" si="22"/>
        <v>0</v>
      </c>
      <c r="AC16" s="91">
        <f t="shared" si="22"/>
        <v>0</v>
      </c>
      <c r="AD16" s="91">
        <f t="shared" si="22"/>
        <v>0</v>
      </c>
      <c r="AE16" s="481">
        <f>SUM(S16:AD16)</f>
        <v>0</v>
      </c>
      <c r="AG16" s="139">
        <f>-FV(P2GrowthRate,3,($AD$16*(1+P2GrowthRate)))</f>
        <v>0</v>
      </c>
      <c r="AH16" s="140">
        <f>-FV(P2GrowthRate,6,($AD$16*(1+P2GrowthRate)))-AG16</f>
        <v>0</v>
      </c>
      <c r="AI16" s="142">
        <f>-FV(P2GrowthRate,9,($AD$16*(1+P2GrowthRate)))-SUM(AG16:AH16)</f>
        <v>0</v>
      </c>
      <c r="AJ16" s="141">
        <f>-FV(P2GrowthRate,12,($AD$16*(1+P2GrowthRate)))-SUM(AG16:AI16)</f>
        <v>0</v>
      </c>
      <c r="AK16" s="481">
        <f>SUM(AG16:AJ16)</f>
        <v>0</v>
      </c>
      <c r="AL16" s="331"/>
      <c r="AM16" s="139">
        <f>-FV(P2GrowthRate,15,($AD$16*(1+P2GrowthRate)))-AK16</f>
        <v>0</v>
      </c>
      <c r="AN16" s="140">
        <f>-FV(P2GrowthRate,18,($AD$16*(1+P2GrowthRate)))-SUM(AK16:AM16)</f>
        <v>0</v>
      </c>
      <c r="AO16" s="140">
        <f>-FV(P2GrowthRate,21,($AD$16*(1+P2GrowthRate)))-SUM(AK16:AN16)</f>
        <v>0</v>
      </c>
      <c r="AP16" s="141">
        <f>-FV(P2GrowthRate,24,($AD$16*(1+P2GrowthRate)))-SUM(AK16:AO16)</f>
        <v>0</v>
      </c>
      <c r="AQ16" s="482">
        <f>SUM(AM16:AP16)</f>
        <v>0</v>
      </c>
      <c r="AS16" s="92">
        <f>-FV(P2GrowthRate,36,($AD$16*(1+P2GrowthRate)))-AK16-AQ16</f>
        <v>0</v>
      </c>
    </row>
    <row r="17" spans="1:45" ht="14.1" customHeight="1">
      <c r="A17" s="357"/>
      <c r="B17" s="483" t="s">
        <v>79</v>
      </c>
      <c r="C17" s="129"/>
      <c r="D17" s="725"/>
      <c r="E17" s="147">
        <v>0</v>
      </c>
      <c r="F17" s="147">
        <f>E17</f>
        <v>0</v>
      </c>
      <c r="G17" s="147">
        <f t="shared" ref="G17:O17" si="23">F17</f>
        <v>0</v>
      </c>
      <c r="H17" s="147">
        <f t="shared" si="23"/>
        <v>0</v>
      </c>
      <c r="I17" s="147">
        <f t="shared" si="23"/>
        <v>0</v>
      </c>
      <c r="J17" s="147">
        <f t="shared" si="23"/>
        <v>0</v>
      </c>
      <c r="K17" s="147">
        <f t="shared" si="23"/>
        <v>0</v>
      </c>
      <c r="L17" s="147">
        <f t="shared" si="23"/>
        <v>0</v>
      </c>
      <c r="M17" s="147">
        <f t="shared" si="23"/>
        <v>0</v>
      </c>
      <c r="N17" s="147">
        <f t="shared" si="23"/>
        <v>0</v>
      </c>
      <c r="O17" s="147">
        <f t="shared" si="23"/>
        <v>0</v>
      </c>
      <c r="P17" s="147">
        <f>O17</f>
        <v>0</v>
      </c>
      <c r="Q17" s="484"/>
      <c r="R17" s="750"/>
      <c r="S17" s="146">
        <f>P17</f>
        <v>0</v>
      </c>
      <c r="T17" s="147">
        <f>S17</f>
        <v>0</v>
      </c>
      <c r="U17" s="147">
        <f t="shared" ref="U17:AC17" si="24">T17</f>
        <v>0</v>
      </c>
      <c r="V17" s="147">
        <f t="shared" si="24"/>
        <v>0</v>
      </c>
      <c r="W17" s="147">
        <f t="shared" si="24"/>
        <v>0</v>
      </c>
      <c r="X17" s="147">
        <f t="shared" si="24"/>
        <v>0</v>
      </c>
      <c r="Y17" s="147">
        <f t="shared" si="24"/>
        <v>0</v>
      </c>
      <c r="Z17" s="147">
        <f t="shared" si="24"/>
        <v>0</v>
      </c>
      <c r="AA17" s="147">
        <f t="shared" si="24"/>
        <v>0</v>
      </c>
      <c r="AB17" s="147">
        <f t="shared" si="24"/>
        <v>0</v>
      </c>
      <c r="AC17" s="147">
        <f t="shared" si="24"/>
        <v>0</v>
      </c>
      <c r="AD17" s="147">
        <f>AC17</f>
        <v>0</v>
      </c>
      <c r="AE17" s="484"/>
      <c r="AF17" s="368"/>
      <c r="AG17" s="150">
        <f>AD17</f>
        <v>0</v>
      </c>
      <c r="AH17" s="147">
        <f>AG17</f>
        <v>0</v>
      </c>
      <c r="AI17" s="147">
        <f>AH17</f>
        <v>0</v>
      </c>
      <c r="AJ17" s="147">
        <f>AI17</f>
        <v>0</v>
      </c>
      <c r="AK17" s="484"/>
      <c r="AL17" s="368"/>
      <c r="AM17" s="151">
        <f>AJ17</f>
        <v>0</v>
      </c>
      <c r="AN17" s="152">
        <f>AM17</f>
        <v>0</v>
      </c>
      <c r="AO17" s="152">
        <f>AN17</f>
        <v>0</v>
      </c>
      <c r="AP17" s="153">
        <f>AO17</f>
        <v>0</v>
      </c>
      <c r="AQ17" s="485"/>
      <c r="AR17" s="368"/>
      <c r="AS17" s="154">
        <f>AP17</f>
        <v>0</v>
      </c>
    </row>
    <row r="18" spans="1:45" ht="14.1" customHeight="1">
      <c r="A18" s="357"/>
      <c r="B18" s="486" t="s">
        <v>93</v>
      </c>
      <c r="C18" s="130"/>
      <c r="D18" s="726"/>
      <c r="E18" s="488">
        <f t="shared" ref="E18:P18" si="25">PRODUCT(E16:E17)</f>
        <v>0</v>
      </c>
      <c r="F18" s="488">
        <f t="shared" si="25"/>
        <v>0</v>
      </c>
      <c r="G18" s="488">
        <f t="shared" si="25"/>
        <v>0</v>
      </c>
      <c r="H18" s="488">
        <f t="shared" si="25"/>
        <v>0</v>
      </c>
      <c r="I18" s="488">
        <f t="shared" si="25"/>
        <v>0</v>
      </c>
      <c r="J18" s="488">
        <f t="shared" si="25"/>
        <v>0</v>
      </c>
      <c r="K18" s="488">
        <f t="shared" si="25"/>
        <v>0</v>
      </c>
      <c r="L18" s="488">
        <f t="shared" si="25"/>
        <v>0</v>
      </c>
      <c r="M18" s="488">
        <f t="shared" si="25"/>
        <v>0</v>
      </c>
      <c r="N18" s="488">
        <f t="shared" si="25"/>
        <v>0</v>
      </c>
      <c r="O18" s="488">
        <f t="shared" si="25"/>
        <v>0</v>
      </c>
      <c r="P18" s="489">
        <f t="shared" si="25"/>
        <v>0</v>
      </c>
      <c r="Q18" s="371">
        <f t="shared" ref="Q18:Q23" si="26">SUM(E18:P18)</f>
        <v>0</v>
      </c>
      <c r="R18" s="750"/>
      <c r="S18" s="487">
        <f t="shared" ref="S18:AD18" si="27">PRODUCT(S16:S17)</f>
        <v>0</v>
      </c>
      <c r="T18" s="488">
        <f t="shared" si="27"/>
        <v>0</v>
      </c>
      <c r="U18" s="488">
        <f t="shared" si="27"/>
        <v>0</v>
      </c>
      <c r="V18" s="488">
        <f t="shared" si="27"/>
        <v>0</v>
      </c>
      <c r="W18" s="488">
        <f t="shared" si="27"/>
        <v>0</v>
      </c>
      <c r="X18" s="488">
        <f t="shared" si="27"/>
        <v>0</v>
      </c>
      <c r="Y18" s="488">
        <f t="shared" si="27"/>
        <v>0</v>
      </c>
      <c r="Z18" s="488">
        <f t="shared" si="27"/>
        <v>0</v>
      </c>
      <c r="AA18" s="488">
        <f t="shared" si="27"/>
        <v>0</v>
      </c>
      <c r="AB18" s="488">
        <f t="shared" si="27"/>
        <v>0</v>
      </c>
      <c r="AC18" s="488">
        <f t="shared" si="27"/>
        <v>0</v>
      </c>
      <c r="AD18" s="489">
        <f t="shared" si="27"/>
        <v>0</v>
      </c>
      <c r="AE18" s="371">
        <f t="shared" ref="AE18:AE23" si="28">SUM(S18:AD18)</f>
        <v>0</v>
      </c>
      <c r="AF18" s="368"/>
      <c r="AG18" s="490">
        <f>PRODUCT(AG16:AG17)</f>
        <v>0</v>
      </c>
      <c r="AH18" s="488">
        <f>PRODUCT(AH16:AH17)</f>
        <v>0</v>
      </c>
      <c r="AI18" s="488">
        <f>PRODUCT(AI16:AI17)</f>
        <v>0</v>
      </c>
      <c r="AJ18" s="489">
        <f>PRODUCT(AJ16:AJ17)</f>
        <v>0</v>
      </c>
      <c r="AK18" s="369">
        <f t="shared" ref="AK18:AK23" si="29">SUM(AG18:AJ18)</f>
        <v>0</v>
      </c>
      <c r="AL18" s="368"/>
      <c r="AM18" s="490">
        <f>PRODUCT(AM16:AM17)</f>
        <v>0</v>
      </c>
      <c r="AN18" s="488">
        <f>PRODUCT(AN16:AN17)</f>
        <v>0</v>
      </c>
      <c r="AO18" s="488">
        <f>PRODUCT(AO16:AO17)</f>
        <v>0</v>
      </c>
      <c r="AP18" s="491">
        <f>PRODUCT(AP16:AP17)</f>
        <v>0</v>
      </c>
      <c r="AQ18" s="370">
        <f t="shared" ref="AQ18:AQ23" si="30">SUM(AM18:AP18)</f>
        <v>0</v>
      </c>
      <c r="AR18" s="368"/>
      <c r="AS18" s="371">
        <f>PRODUCT(AS16:AS17)</f>
        <v>0</v>
      </c>
    </row>
    <row r="19" spans="1:45" ht="14.1" customHeight="1">
      <c r="A19" s="357"/>
      <c r="B19" s="492" t="s">
        <v>80</v>
      </c>
      <c r="C19" s="532">
        <v>0.5</v>
      </c>
      <c r="D19" s="727">
        <v>0.15</v>
      </c>
      <c r="E19" s="525">
        <f t="shared" ref="E19:P19" si="31">E18*P2CommRate*P2CommSales</f>
        <v>0</v>
      </c>
      <c r="F19" s="493">
        <f t="shared" si="31"/>
        <v>0</v>
      </c>
      <c r="G19" s="493">
        <f t="shared" si="31"/>
        <v>0</v>
      </c>
      <c r="H19" s="493">
        <f t="shared" si="31"/>
        <v>0</v>
      </c>
      <c r="I19" s="493">
        <f t="shared" si="31"/>
        <v>0</v>
      </c>
      <c r="J19" s="493">
        <f t="shared" si="31"/>
        <v>0</v>
      </c>
      <c r="K19" s="493">
        <f t="shared" si="31"/>
        <v>0</v>
      </c>
      <c r="L19" s="493">
        <f t="shared" si="31"/>
        <v>0</v>
      </c>
      <c r="M19" s="493">
        <f t="shared" si="31"/>
        <v>0</v>
      </c>
      <c r="N19" s="493">
        <f t="shared" si="31"/>
        <v>0</v>
      </c>
      <c r="O19" s="493">
        <f t="shared" si="31"/>
        <v>0</v>
      </c>
      <c r="P19" s="493">
        <f t="shared" si="31"/>
        <v>0</v>
      </c>
      <c r="Q19" s="366">
        <f t="shared" si="26"/>
        <v>0</v>
      </c>
      <c r="R19" s="750"/>
      <c r="S19" s="493">
        <f t="shared" ref="S19:AD19" si="32">S18*P2CommRate*P2CommSales</f>
        <v>0</v>
      </c>
      <c r="T19" s="493">
        <f t="shared" si="32"/>
        <v>0</v>
      </c>
      <c r="U19" s="493">
        <f t="shared" si="32"/>
        <v>0</v>
      </c>
      <c r="V19" s="493">
        <f t="shared" si="32"/>
        <v>0</v>
      </c>
      <c r="W19" s="493">
        <f t="shared" si="32"/>
        <v>0</v>
      </c>
      <c r="X19" s="493">
        <f t="shared" si="32"/>
        <v>0</v>
      </c>
      <c r="Y19" s="493">
        <f t="shared" si="32"/>
        <v>0</v>
      </c>
      <c r="Z19" s="493">
        <f t="shared" si="32"/>
        <v>0</v>
      </c>
      <c r="AA19" s="493">
        <f t="shared" si="32"/>
        <v>0</v>
      </c>
      <c r="AB19" s="493">
        <f t="shared" si="32"/>
        <v>0</v>
      </c>
      <c r="AC19" s="493">
        <f t="shared" si="32"/>
        <v>0</v>
      </c>
      <c r="AD19" s="493">
        <f t="shared" si="32"/>
        <v>0</v>
      </c>
      <c r="AE19" s="366">
        <f t="shared" si="28"/>
        <v>0</v>
      </c>
      <c r="AF19" s="372"/>
      <c r="AG19" s="493">
        <f>AG18*P2CommRate*P2CommSales</f>
        <v>0</v>
      </c>
      <c r="AH19" s="493">
        <f>AH18*P2CommRate*P2CommSales</f>
        <v>0</v>
      </c>
      <c r="AI19" s="493">
        <f>AI18*P2CommRate*P2CommSales</f>
        <v>0</v>
      </c>
      <c r="AJ19" s="493">
        <f>AJ18*P2CommRate*P2CommSales</f>
        <v>0</v>
      </c>
      <c r="AK19" s="369">
        <f t="shared" si="29"/>
        <v>0</v>
      </c>
      <c r="AL19" s="372"/>
      <c r="AM19" s="493">
        <f>AM18*P2CommRate*P2CommSales</f>
        <v>0</v>
      </c>
      <c r="AN19" s="493">
        <f>AN18*P2CommRate*P2CommSales</f>
        <v>0</v>
      </c>
      <c r="AO19" s="493">
        <f>AO18*P2CommRate*P2CommSales</f>
        <v>0</v>
      </c>
      <c r="AP19" s="494">
        <f>AP18*P2CommRate*P2CommSales</f>
        <v>0</v>
      </c>
      <c r="AQ19" s="370">
        <f t="shared" si="30"/>
        <v>0</v>
      </c>
      <c r="AR19" s="372"/>
      <c r="AS19" s="366">
        <f>AS18*P2CommRate*P2CommSales</f>
        <v>0</v>
      </c>
    </row>
    <row r="20" spans="1:45" ht="14.1" customHeight="1">
      <c r="A20" s="357"/>
      <c r="B20" s="492" t="s">
        <v>81</v>
      </c>
      <c r="C20" s="124"/>
      <c r="D20" s="727">
        <v>0.03</v>
      </c>
      <c r="E20" s="525">
        <f t="shared" ref="E20:P20" si="33">E18*P2ReturnRate</f>
        <v>0</v>
      </c>
      <c r="F20" s="493">
        <f t="shared" si="33"/>
        <v>0</v>
      </c>
      <c r="G20" s="493">
        <f t="shared" si="33"/>
        <v>0</v>
      </c>
      <c r="H20" s="493">
        <f t="shared" si="33"/>
        <v>0</v>
      </c>
      <c r="I20" s="493">
        <f t="shared" si="33"/>
        <v>0</v>
      </c>
      <c r="J20" s="493">
        <f t="shared" si="33"/>
        <v>0</v>
      </c>
      <c r="K20" s="493">
        <f t="shared" si="33"/>
        <v>0</v>
      </c>
      <c r="L20" s="493">
        <f t="shared" si="33"/>
        <v>0</v>
      </c>
      <c r="M20" s="493">
        <f t="shared" si="33"/>
        <v>0</v>
      </c>
      <c r="N20" s="493">
        <f t="shared" si="33"/>
        <v>0</v>
      </c>
      <c r="O20" s="493">
        <f t="shared" si="33"/>
        <v>0</v>
      </c>
      <c r="P20" s="493">
        <f t="shared" si="33"/>
        <v>0</v>
      </c>
      <c r="Q20" s="366">
        <f t="shared" si="26"/>
        <v>0</v>
      </c>
      <c r="R20" s="750"/>
      <c r="S20" s="493">
        <f t="shared" ref="S20:AD20" si="34">S18*P2ReturnRate</f>
        <v>0</v>
      </c>
      <c r="T20" s="493">
        <f t="shared" si="34"/>
        <v>0</v>
      </c>
      <c r="U20" s="493">
        <f t="shared" si="34"/>
        <v>0</v>
      </c>
      <c r="V20" s="493">
        <f t="shared" si="34"/>
        <v>0</v>
      </c>
      <c r="W20" s="493">
        <f t="shared" si="34"/>
        <v>0</v>
      </c>
      <c r="X20" s="493">
        <f t="shared" si="34"/>
        <v>0</v>
      </c>
      <c r="Y20" s="493">
        <f t="shared" si="34"/>
        <v>0</v>
      </c>
      <c r="Z20" s="493">
        <f t="shared" si="34"/>
        <v>0</v>
      </c>
      <c r="AA20" s="493">
        <f t="shared" si="34"/>
        <v>0</v>
      </c>
      <c r="AB20" s="493">
        <f t="shared" si="34"/>
        <v>0</v>
      </c>
      <c r="AC20" s="493">
        <f t="shared" si="34"/>
        <v>0</v>
      </c>
      <c r="AD20" s="493">
        <f t="shared" si="34"/>
        <v>0</v>
      </c>
      <c r="AE20" s="366">
        <f t="shared" si="28"/>
        <v>0</v>
      </c>
      <c r="AF20" s="372"/>
      <c r="AG20" s="493">
        <f>AG18*P2ReturnRate</f>
        <v>0</v>
      </c>
      <c r="AH20" s="493">
        <f>AH18*P2ReturnRate</f>
        <v>0</v>
      </c>
      <c r="AI20" s="493">
        <f>AI18*P2ReturnRate</f>
        <v>0</v>
      </c>
      <c r="AJ20" s="493">
        <f>AJ18*P2ReturnRate</f>
        <v>0</v>
      </c>
      <c r="AK20" s="366">
        <f t="shared" si="29"/>
        <v>0</v>
      </c>
      <c r="AL20" s="372"/>
      <c r="AM20" s="493">
        <f>AM18*P2ReturnRate</f>
        <v>0</v>
      </c>
      <c r="AN20" s="493">
        <f>AN18*P2ReturnRate</f>
        <v>0</v>
      </c>
      <c r="AO20" s="493">
        <f>AO18*P2ReturnRate</f>
        <v>0</v>
      </c>
      <c r="AP20" s="674">
        <f>AP18*P2ReturnRate</f>
        <v>0</v>
      </c>
      <c r="AQ20" s="366">
        <f t="shared" si="30"/>
        <v>0</v>
      </c>
      <c r="AR20" s="372"/>
      <c r="AS20" s="366">
        <f>AS18*P2ReturnRate</f>
        <v>0</v>
      </c>
    </row>
    <row r="21" spans="1:45" ht="14.1" customHeight="1" thickBot="1">
      <c r="B21" s="495" t="s">
        <v>30</v>
      </c>
      <c r="C21" s="131"/>
      <c r="D21" s="728"/>
      <c r="E21" s="397">
        <f t="shared" ref="E21:P21" si="35">E18-E19-E20</f>
        <v>0</v>
      </c>
      <c r="F21" s="376">
        <f t="shared" si="35"/>
        <v>0</v>
      </c>
      <c r="G21" s="376">
        <f t="shared" si="35"/>
        <v>0</v>
      </c>
      <c r="H21" s="376">
        <f t="shared" si="35"/>
        <v>0</v>
      </c>
      <c r="I21" s="376">
        <f t="shared" si="35"/>
        <v>0</v>
      </c>
      <c r="J21" s="376">
        <f t="shared" si="35"/>
        <v>0</v>
      </c>
      <c r="K21" s="376">
        <f t="shared" si="35"/>
        <v>0</v>
      </c>
      <c r="L21" s="376">
        <f t="shared" si="35"/>
        <v>0</v>
      </c>
      <c r="M21" s="376">
        <f t="shared" si="35"/>
        <v>0</v>
      </c>
      <c r="N21" s="376">
        <f t="shared" si="35"/>
        <v>0</v>
      </c>
      <c r="O21" s="376">
        <f t="shared" si="35"/>
        <v>0</v>
      </c>
      <c r="P21" s="496">
        <f t="shared" si="35"/>
        <v>0</v>
      </c>
      <c r="Q21" s="377">
        <f t="shared" si="26"/>
        <v>0</v>
      </c>
      <c r="R21" s="750"/>
      <c r="S21" s="376">
        <f t="shared" ref="S21:AD21" si="36">S18-S19-S20</f>
        <v>0</v>
      </c>
      <c r="T21" s="376">
        <f t="shared" si="36"/>
        <v>0</v>
      </c>
      <c r="U21" s="376">
        <f t="shared" si="36"/>
        <v>0</v>
      </c>
      <c r="V21" s="376">
        <f t="shared" si="36"/>
        <v>0</v>
      </c>
      <c r="W21" s="376">
        <f t="shared" si="36"/>
        <v>0</v>
      </c>
      <c r="X21" s="376">
        <f t="shared" si="36"/>
        <v>0</v>
      </c>
      <c r="Y21" s="376">
        <f t="shared" si="36"/>
        <v>0</v>
      </c>
      <c r="Z21" s="376">
        <f t="shared" si="36"/>
        <v>0</v>
      </c>
      <c r="AA21" s="376">
        <f t="shared" si="36"/>
        <v>0</v>
      </c>
      <c r="AB21" s="376">
        <f t="shared" si="36"/>
        <v>0</v>
      </c>
      <c r="AC21" s="376">
        <f t="shared" si="36"/>
        <v>0</v>
      </c>
      <c r="AD21" s="496">
        <f t="shared" si="36"/>
        <v>0</v>
      </c>
      <c r="AE21" s="377">
        <f t="shared" si="28"/>
        <v>0</v>
      </c>
      <c r="AF21" s="368"/>
      <c r="AG21" s="676">
        <f>AG18-AG19-AG20</f>
        <v>0</v>
      </c>
      <c r="AH21" s="677">
        <f>AH18-AH19-AH20</f>
        <v>0</v>
      </c>
      <c r="AI21" s="677">
        <f>AI18-AI19-AI20</f>
        <v>0</v>
      </c>
      <c r="AJ21" s="678">
        <f>AJ18-AJ19-AJ20</f>
        <v>0</v>
      </c>
      <c r="AK21" s="679">
        <f t="shared" si="29"/>
        <v>0</v>
      </c>
      <c r="AL21" s="680"/>
      <c r="AM21" s="676">
        <f>AM18-AM19-AM20</f>
        <v>0</v>
      </c>
      <c r="AN21" s="677">
        <f>AN18-AN19-AN20</f>
        <v>0</v>
      </c>
      <c r="AO21" s="677">
        <f>AO18-AO19-AO20</f>
        <v>0</v>
      </c>
      <c r="AP21" s="682">
        <f>AP18-AP19-AP20</f>
        <v>0</v>
      </c>
      <c r="AQ21" s="682">
        <f t="shared" si="30"/>
        <v>0</v>
      </c>
      <c r="AR21" s="680"/>
      <c r="AS21" s="390">
        <f>AS18-AS19-AS20</f>
        <v>0</v>
      </c>
    </row>
    <row r="22" spans="1:45" ht="14.1" customHeight="1">
      <c r="B22" s="499" t="s">
        <v>181</v>
      </c>
      <c r="C22" s="133"/>
      <c r="D22" s="729">
        <v>0.5</v>
      </c>
      <c r="E22" s="740">
        <f t="shared" ref="E22:P22" si="37">E18*P2COG</f>
        <v>0</v>
      </c>
      <c r="F22" s="500">
        <f t="shared" si="37"/>
        <v>0</v>
      </c>
      <c r="G22" s="500">
        <f t="shared" si="37"/>
        <v>0</v>
      </c>
      <c r="H22" s="500">
        <f t="shared" si="37"/>
        <v>0</v>
      </c>
      <c r="I22" s="500">
        <f t="shared" si="37"/>
        <v>0</v>
      </c>
      <c r="J22" s="500">
        <f t="shared" si="37"/>
        <v>0</v>
      </c>
      <c r="K22" s="500">
        <f t="shared" si="37"/>
        <v>0</v>
      </c>
      <c r="L22" s="500">
        <f t="shared" si="37"/>
        <v>0</v>
      </c>
      <c r="M22" s="500">
        <f t="shared" si="37"/>
        <v>0</v>
      </c>
      <c r="N22" s="500">
        <f t="shared" si="37"/>
        <v>0</v>
      </c>
      <c r="O22" s="500">
        <f t="shared" si="37"/>
        <v>0</v>
      </c>
      <c r="P22" s="500">
        <f t="shared" si="37"/>
        <v>0</v>
      </c>
      <c r="Q22" s="501">
        <f t="shared" si="26"/>
        <v>0</v>
      </c>
      <c r="R22" s="750"/>
      <c r="S22" s="500">
        <f t="shared" ref="S22:AD22" si="38">S18*P2COG</f>
        <v>0</v>
      </c>
      <c r="T22" s="500">
        <f t="shared" si="38"/>
        <v>0</v>
      </c>
      <c r="U22" s="500">
        <f t="shared" si="38"/>
        <v>0</v>
      </c>
      <c r="V22" s="500">
        <f t="shared" si="38"/>
        <v>0</v>
      </c>
      <c r="W22" s="500">
        <f t="shared" si="38"/>
        <v>0</v>
      </c>
      <c r="X22" s="500">
        <f t="shared" si="38"/>
        <v>0</v>
      </c>
      <c r="Y22" s="500">
        <f t="shared" si="38"/>
        <v>0</v>
      </c>
      <c r="Z22" s="500">
        <f t="shared" si="38"/>
        <v>0</v>
      </c>
      <c r="AA22" s="500">
        <f t="shared" si="38"/>
        <v>0</v>
      </c>
      <c r="AB22" s="500">
        <f t="shared" si="38"/>
        <v>0</v>
      </c>
      <c r="AC22" s="500">
        <f t="shared" si="38"/>
        <v>0</v>
      </c>
      <c r="AD22" s="500">
        <f t="shared" si="38"/>
        <v>0</v>
      </c>
      <c r="AE22" s="501">
        <f t="shared" si="28"/>
        <v>0</v>
      </c>
      <c r="AF22" s="372"/>
      <c r="AG22" s="500">
        <f>AG18*P2COG</f>
        <v>0</v>
      </c>
      <c r="AH22" s="500">
        <f>AH18*P2COG</f>
        <v>0</v>
      </c>
      <c r="AI22" s="500">
        <f>AI18*P2COG</f>
        <v>0</v>
      </c>
      <c r="AJ22" s="500">
        <f>AJ18*P2COG</f>
        <v>0</v>
      </c>
      <c r="AK22" s="501">
        <f t="shared" si="29"/>
        <v>0</v>
      </c>
      <c r="AL22" s="372"/>
      <c r="AM22" s="500">
        <f>AM18*P2COG</f>
        <v>0</v>
      </c>
      <c r="AN22" s="500">
        <f>AN18*P2COG</f>
        <v>0</v>
      </c>
      <c r="AO22" s="500">
        <f>AO18*P2COG</f>
        <v>0</v>
      </c>
      <c r="AP22" s="506">
        <f>AP18*P2COG</f>
        <v>0</v>
      </c>
      <c r="AQ22" s="501">
        <f t="shared" si="30"/>
        <v>0</v>
      </c>
      <c r="AR22" s="372"/>
      <c r="AS22" s="501">
        <f>AS18*P2COG</f>
        <v>0</v>
      </c>
    </row>
    <row r="23" spans="1:45" ht="14.1" customHeight="1" thickBot="1">
      <c r="B23" s="379" t="s">
        <v>31</v>
      </c>
      <c r="C23" s="134"/>
      <c r="D23" s="730"/>
      <c r="E23" s="741">
        <f t="shared" ref="E23:P23" si="39">E21-E22</f>
        <v>0</v>
      </c>
      <c r="F23" s="503">
        <f t="shared" si="39"/>
        <v>0</v>
      </c>
      <c r="G23" s="503">
        <f t="shared" si="39"/>
        <v>0</v>
      </c>
      <c r="H23" s="503">
        <f t="shared" si="39"/>
        <v>0</v>
      </c>
      <c r="I23" s="503">
        <f t="shared" si="39"/>
        <v>0</v>
      </c>
      <c r="J23" s="503">
        <f t="shared" si="39"/>
        <v>0</v>
      </c>
      <c r="K23" s="503">
        <f t="shared" si="39"/>
        <v>0</v>
      </c>
      <c r="L23" s="503">
        <f t="shared" si="39"/>
        <v>0</v>
      </c>
      <c r="M23" s="503">
        <f t="shared" si="39"/>
        <v>0</v>
      </c>
      <c r="N23" s="503">
        <f t="shared" si="39"/>
        <v>0</v>
      </c>
      <c r="O23" s="503">
        <f t="shared" si="39"/>
        <v>0</v>
      </c>
      <c r="P23" s="503">
        <f t="shared" si="39"/>
        <v>0</v>
      </c>
      <c r="Q23" s="504">
        <f t="shared" si="26"/>
        <v>0</v>
      </c>
      <c r="R23" s="750"/>
      <c r="S23" s="503">
        <f t="shared" ref="S23:AD23" si="40">S21-S22</f>
        <v>0</v>
      </c>
      <c r="T23" s="503">
        <f t="shared" si="40"/>
        <v>0</v>
      </c>
      <c r="U23" s="503">
        <f t="shared" si="40"/>
        <v>0</v>
      </c>
      <c r="V23" s="503">
        <f t="shared" si="40"/>
        <v>0</v>
      </c>
      <c r="W23" s="503">
        <f t="shared" si="40"/>
        <v>0</v>
      </c>
      <c r="X23" s="503">
        <f t="shared" si="40"/>
        <v>0</v>
      </c>
      <c r="Y23" s="503">
        <f t="shared" si="40"/>
        <v>0</v>
      </c>
      <c r="Z23" s="503">
        <f t="shared" si="40"/>
        <v>0</v>
      </c>
      <c r="AA23" s="503">
        <f t="shared" si="40"/>
        <v>0</v>
      </c>
      <c r="AB23" s="503">
        <f t="shared" si="40"/>
        <v>0</v>
      </c>
      <c r="AC23" s="503">
        <f t="shared" si="40"/>
        <v>0</v>
      </c>
      <c r="AD23" s="503">
        <f t="shared" si="40"/>
        <v>0</v>
      </c>
      <c r="AE23" s="504">
        <f t="shared" si="28"/>
        <v>0</v>
      </c>
      <c r="AF23" s="372"/>
      <c r="AG23" s="503">
        <f>AG21-AG22</f>
        <v>0</v>
      </c>
      <c r="AH23" s="503">
        <f>AH21-AH22</f>
        <v>0</v>
      </c>
      <c r="AI23" s="503">
        <f>AI21-AI22</f>
        <v>0</v>
      </c>
      <c r="AJ23" s="503">
        <f>AJ21-AJ22</f>
        <v>0</v>
      </c>
      <c r="AK23" s="377">
        <f t="shared" si="29"/>
        <v>0</v>
      </c>
      <c r="AL23" s="372"/>
      <c r="AM23" s="503">
        <f>AM21-AM22</f>
        <v>0</v>
      </c>
      <c r="AN23" s="503">
        <f>AN21-AN22</f>
        <v>0</v>
      </c>
      <c r="AO23" s="503">
        <f>AO21-AO22</f>
        <v>0</v>
      </c>
      <c r="AP23" s="505">
        <f>AP21-AP22</f>
        <v>0</v>
      </c>
      <c r="AQ23" s="505">
        <f t="shared" si="30"/>
        <v>0</v>
      </c>
      <c r="AR23" s="372"/>
      <c r="AS23" s="504">
        <f>AS21-AS22</f>
        <v>0</v>
      </c>
    </row>
    <row r="24" spans="1:45" s="110" customFormat="1" ht="14.1" customHeight="1">
      <c r="A24" s="108"/>
      <c r="B24" s="354"/>
      <c r="C24" s="126"/>
      <c r="D24" s="722"/>
      <c r="E24" s="378"/>
      <c r="F24" s="108"/>
      <c r="G24" s="108"/>
      <c r="H24" s="108"/>
      <c r="I24" s="108"/>
      <c r="J24" s="108"/>
      <c r="K24" s="108"/>
      <c r="L24" s="108"/>
      <c r="M24" s="108"/>
      <c r="N24" s="108"/>
      <c r="O24" s="108"/>
      <c r="Q24" s="355"/>
      <c r="R24" s="748"/>
      <c r="S24" s="108"/>
      <c r="T24" s="108"/>
      <c r="U24" s="108"/>
      <c r="V24" s="108"/>
      <c r="W24" s="108"/>
      <c r="X24" s="108"/>
      <c r="Y24" s="108"/>
      <c r="Z24" s="108"/>
      <c r="AA24" s="108"/>
      <c r="AB24" s="108"/>
      <c r="AC24" s="108"/>
      <c r="AE24" s="355"/>
      <c r="AG24" s="356"/>
      <c r="AH24" s="108"/>
      <c r="AI24" s="108"/>
      <c r="AK24" s="355"/>
      <c r="AM24" s="356"/>
      <c r="AN24" s="108"/>
      <c r="AO24" s="108"/>
      <c r="AP24" s="347"/>
      <c r="AQ24" s="347"/>
      <c r="AS24" s="355"/>
    </row>
    <row r="25" spans="1:45" ht="14.1" customHeight="1">
      <c r="A25" s="357"/>
      <c r="B25" s="127" t="s">
        <v>301</v>
      </c>
      <c r="C25" s="479"/>
      <c r="D25" s="723"/>
      <c r="E25" s="739"/>
      <c r="F25" s="359"/>
      <c r="G25" s="359"/>
      <c r="H25" s="359"/>
      <c r="I25" s="359"/>
      <c r="J25" s="360"/>
      <c r="K25" s="360"/>
      <c r="L25" s="360"/>
      <c r="M25" s="360"/>
      <c r="N25" s="360"/>
      <c r="O25" s="360"/>
      <c r="P25" s="361"/>
      <c r="Q25" s="362"/>
      <c r="R25" s="749"/>
      <c r="S25" s="359"/>
      <c r="T25" s="359"/>
      <c r="U25" s="359"/>
      <c r="V25" s="359"/>
      <c r="W25" s="359"/>
      <c r="X25" s="360"/>
      <c r="Y25" s="360"/>
      <c r="Z25" s="360"/>
      <c r="AA25" s="360"/>
      <c r="AB25" s="360"/>
      <c r="AC25" s="360"/>
      <c r="AD25" s="361"/>
      <c r="AE25" s="362"/>
      <c r="AG25" s="363"/>
      <c r="AH25" s="360"/>
      <c r="AI25" s="360"/>
      <c r="AJ25" s="361"/>
      <c r="AK25" s="362"/>
      <c r="AM25" s="363"/>
      <c r="AN25" s="360"/>
      <c r="AO25" s="360"/>
      <c r="AP25" s="365"/>
      <c r="AQ25" s="365"/>
      <c r="AS25" s="362"/>
    </row>
    <row r="26" spans="1:45" ht="14.1" customHeight="1">
      <c r="B26" s="480" t="s">
        <v>78</v>
      </c>
      <c r="C26" s="132"/>
      <c r="D26" s="724">
        <v>0.02</v>
      </c>
      <c r="E26" s="140">
        <v>0</v>
      </c>
      <c r="F26" s="91">
        <f t="shared" ref="F26:P26" si="41">E26*(1+P3GrowthRate)</f>
        <v>0</v>
      </c>
      <c r="G26" s="91">
        <f t="shared" si="41"/>
        <v>0</v>
      </c>
      <c r="H26" s="91">
        <f t="shared" si="41"/>
        <v>0</v>
      </c>
      <c r="I26" s="91">
        <f t="shared" si="41"/>
        <v>0</v>
      </c>
      <c r="J26" s="91">
        <f t="shared" si="41"/>
        <v>0</v>
      </c>
      <c r="K26" s="91">
        <f t="shared" si="41"/>
        <v>0</v>
      </c>
      <c r="L26" s="91">
        <f t="shared" si="41"/>
        <v>0</v>
      </c>
      <c r="M26" s="91">
        <f t="shared" si="41"/>
        <v>0</v>
      </c>
      <c r="N26" s="91">
        <f t="shared" si="41"/>
        <v>0</v>
      </c>
      <c r="O26" s="91">
        <f t="shared" si="41"/>
        <v>0</v>
      </c>
      <c r="P26" s="91">
        <f t="shared" si="41"/>
        <v>0</v>
      </c>
      <c r="Q26" s="481">
        <f>SUM(E26:P26)</f>
        <v>0</v>
      </c>
      <c r="R26" s="749"/>
      <c r="S26" s="91">
        <f>P26*(1+P3GrowthRate)</f>
        <v>0</v>
      </c>
      <c r="T26" s="91">
        <f t="shared" ref="T26:AD26" si="42">S26*(1+P3GrowthRate)</f>
        <v>0</v>
      </c>
      <c r="U26" s="91">
        <f t="shared" si="42"/>
        <v>0</v>
      </c>
      <c r="V26" s="91">
        <f t="shared" si="42"/>
        <v>0</v>
      </c>
      <c r="W26" s="91">
        <f t="shared" si="42"/>
        <v>0</v>
      </c>
      <c r="X26" s="91">
        <f t="shared" si="42"/>
        <v>0</v>
      </c>
      <c r="Y26" s="91">
        <f t="shared" si="42"/>
        <v>0</v>
      </c>
      <c r="Z26" s="91">
        <f t="shared" si="42"/>
        <v>0</v>
      </c>
      <c r="AA26" s="91">
        <f t="shared" si="42"/>
        <v>0</v>
      </c>
      <c r="AB26" s="91">
        <f t="shared" si="42"/>
        <v>0</v>
      </c>
      <c r="AC26" s="91">
        <f t="shared" si="42"/>
        <v>0</v>
      </c>
      <c r="AD26" s="91">
        <f t="shared" si="42"/>
        <v>0</v>
      </c>
      <c r="AE26" s="481">
        <f>SUM(S26:AD26)</f>
        <v>0</v>
      </c>
      <c r="AG26" s="139">
        <f>-FV(P3GrowthRate,3,($AD$26*(1+P3GrowthRate)))</f>
        <v>0</v>
      </c>
      <c r="AH26" s="140">
        <f>-FV(P3GrowthRate,6,($AD$26*(1+P3GrowthRate)))-AG26</f>
        <v>0</v>
      </c>
      <c r="AI26" s="142">
        <f>-FV(P3GrowthRate,9,($AD$26*(1+P3GrowthRate)))-SUM(AG26:AH26)</f>
        <v>0</v>
      </c>
      <c r="AJ26" s="141">
        <f>-FV(P3GrowthRate,12,($AD$26*(1+P3GrowthRate)))-SUM(AG26:AI26)</f>
        <v>0</v>
      </c>
      <c r="AK26" s="481">
        <f>SUM(AG26:AJ26)</f>
        <v>0</v>
      </c>
      <c r="AL26" s="331"/>
      <c r="AM26" s="139">
        <f>-FV(P3GrowthRate,15,($AD$26*(1+P3GrowthRate)))-AK26</f>
        <v>0</v>
      </c>
      <c r="AN26" s="140">
        <f>-FV(P3GrowthRate,18,($AD$26*(1+P3GrowthRate)))-SUM(AK26:AM26)</f>
        <v>0</v>
      </c>
      <c r="AO26" s="140">
        <f>-FV(P3GrowthRate,21,($AD$26*(1+P3GrowthRate)))-SUM(AK26:AN26)</f>
        <v>0</v>
      </c>
      <c r="AP26" s="141">
        <f>-FV(P3GrowthRate,24,($AD$26*(1+P3GrowthRate)))-SUM(AK26:AO26)</f>
        <v>0</v>
      </c>
      <c r="AQ26" s="482">
        <f>SUM(AM26:AP26)</f>
        <v>0</v>
      </c>
      <c r="AS26" s="92">
        <f>-FV(P3GrowthRate,36,($AD$26*(1+P3GrowthRate)))-AK26-AQ26</f>
        <v>0</v>
      </c>
    </row>
    <row r="27" spans="1:45" ht="14.1" customHeight="1">
      <c r="A27" s="357"/>
      <c r="B27" s="483" t="s">
        <v>79</v>
      </c>
      <c r="C27" s="129"/>
      <c r="D27" s="731"/>
      <c r="E27" s="147">
        <v>0</v>
      </c>
      <c r="F27" s="147">
        <f>E27</f>
        <v>0</v>
      </c>
      <c r="G27" s="147">
        <f t="shared" ref="G27:O27" si="43">F27</f>
        <v>0</v>
      </c>
      <c r="H27" s="147">
        <f t="shared" si="43"/>
        <v>0</v>
      </c>
      <c r="I27" s="147">
        <f t="shared" si="43"/>
        <v>0</v>
      </c>
      <c r="J27" s="147">
        <f t="shared" si="43"/>
        <v>0</v>
      </c>
      <c r="K27" s="147">
        <f t="shared" si="43"/>
        <v>0</v>
      </c>
      <c r="L27" s="147">
        <f t="shared" si="43"/>
        <v>0</v>
      </c>
      <c r="M27" s="147">
        <f t="shared" si="43"/>
        <v>0</v>
      </c>
      <c r="N27" s="147">
        <f t="shared" si="43"/>
        <v>0</v>
      </c>
      <c r="O27" s="147">
        <f t="shared" si="43"/>
        <v>0</v>
      </c>
      <c r="P27" s="147">
        <f>O27</f>
        <v>0</v>
      </c>
      <c r="Q27" s="484"/>
      <c r="R27" s="750"/>
      <c r="S27" s="146">
        <f>P27</f>
        <v>0</v>
      </c>
      <c r="T27" s="147">
        <f>S27</f>
        <v>0</v>
      </c>
      <c r="U27" s="147">
        <f t="shared" ref="U27:AC27" si="44">T27</f>
        <v>0</v>
      </c>
      <c r="V27" s="147">
        <f t="shared" si="44"/>
        <v>0</v>
      </c>
      <c r="W27" s="147">
        <f t="shared" si="44"/>
        <v>0</v>
      </c>
      <c r="X27" s="147">
        <f t="shared" si="44"/>
        <v>0</v>
      </c>
      <c r="Y27" s="147">
        <f t="shared" si="44"/>
        <v>0</v>
      </c>
      <c r="Z27" s="147">
        <f t="shared" si="44"/>
        <v>0</v>
      </c>
      <c r="AA27" s="147">
        <f t="shared" si="44"/>
        <v>0</v>
      </c>
      <c r="AB27" s="147">
        <f t="shared" si="44"/>
        <v>0</v>
      </c>
      <c r="AC27" s="147">
        <f t="shared" si="44"/>
        <v>0</v>
      </c>
      <c r="AD27" s="147">
        <f>AC27</f>
        <v>0</v>
      </c>
      <c r="AE27" s="484"/>
      <c r="AF27" s="368"/>
      <c r="AG27" s="150">
        <f>AD27</f>
        <v>0</v>
      </c>
      <c r="AH27" s="147">
        <f>AG27</f>
        <v>0</v>
      </c>
      <c r="AI27" s="147">
        <f>AH27</f>
        <v>0</v>
      </c>
      <c r="AJ27" s="147">
        <f>AI27</f>
        <v>0</v>
      </c>
      <c r="AK27" s="484"/>
      <c r="AL27" s="368"/>
      <c r="AM27" s="151">
        <f>AJ27</f>
        <v>0</v>
      </c>
      <c r="AN27" s="152">
        <f>AM27</f>
        <v>0</v>
      </c>
      <c r="AO27" s="152">
        <f>AN27</f>
        <v>0</v>
      </c>
      <c r="AP27" s="153">
        <f>AO27</f>
        <v>0</v>
      </c>
      <c r="AQ27" s="485"/>
      <c r="AR27" s="368"/>
      <c r="AS27" s="154">
        <f>AP27</f>
        <v>0</v>
      </c>
    </row>
    <row r="28" spans="1:45" ht="14.1" customHeight="1">
      <c r="A28" s="357"/>
      <c r="B28" s="486" t="s">
        <v>93</v>
      </c>
      <c r="C28" s="130"/>
      <c r="D28" s="726"/>
      <c r="E28" s="488">
        <f t="shared" ref="E28:P28" si="45">PRODUCT(E26:E27)</f>
        <v>0</v>
      </c>
      <c r="F28" s="488">
        <f t="shared" si="45"/>
        <v>0</v>
      </c>
      <c r="G28" s="488">
        <f t="shared" si="45"/>
        <v>0</v>
      </c>
      <c r="H28" s="488">
        <f t="shared" si="45"/>
        <v>0</v>
      </c>
      <c r="I28" s="488">
        <f t="shared" si="45"/>
        <v>0</v>
      </c>
      <c r="J28" s="488">
        <f t="shared" si="45"/>
        <v>0</v>
      </c>
      <c r="K28" s="488">
        <f t="shared" si="45"/>
        <v>0</v>
      </c>
      <c r="L28" s="488">
        <f t="shared" si="45"/>
        <v>0</v>
      </c>
      <c r="M28" s="488">
        <f t="shared" si="45"/>
        <v>0</v>
      </c>
      <c r="N28" s="488">
        <f t="shared" si="45"/>
        <v>0</v>
      </c>
      <c r="O28" s="488">
        <f t="shared" si="45"/>
        <v>0</v>
      </c>
      <c r="P28" s="489">
        <f t="shared" si="45"/>
        <v>0</v>
      </c>
      <c r="Q28" s="371">
        <f t="shared" ref="Q28:Q33" si="46">SUM(E28:P28)</f>
        <v>0</v>
      </c>
      <c r="R28" s="750"/>
      <c r="S28" s="487">
        <f t="shared" ref="S28:AD28" si="47">PRODUCT(S26:S27)</f>
        <v>0</v>
      </c>
      <c r="T28" s="488">
        <f t="shared" si="47"/>
        <v>0</v>
      </c>
      <c r="U28" s="488">
        <f t="shared" si="47"/>
        <v>0</v>
      </c>
      <c r="V28" s="488">
        <f t="shared" si="47"/>
        <v>0</v>
      </c>
      <c r="W28" s="488">
        <f t="shared" si="47"/>
        <v>0</v>
      </c>
      <c r="X28" s="488">
        <f t="shared" si="47"/>
        <v>0</v>
      </c>
      <c r="Y28" s="488">
        <f t="shared" si="47"/>
        <v>0</v>
      </c>
      <c r="Z28" s="488">
        <f t="shared" si="47"/>
        <v>0</v>
      </c>
      <c r="AA28" s="488">
        <f t="shared" si="47"/>
        <v>0</v>
      </c>
      <c r="AB28" s="488">
        <f t="shared" si="47"/>
        <v>0</v>
      </c>
      <c r="AC28" s="488">
        <f t="shared" si="47"/>
        <v>0</v>
      </c>
      <c r="AD28" s="489">
        <f t="shared" si="47"/>
        <v>0</v>
      </c>
      <c r="AE28" s="371">
        <f t="shared" ref="AE28:AE33" si="48">SUM(S28:AD28)</f>
        <v>0</v>
      </c>
      <c r="AF28" s="368"/>
      <c r="AG28" s="490">
        <f>PRODUCT(AG26:AG27)</f>
        <v>0</v>
      </c>
      <c r="AH28" s="488">
        <f>PRODUCT(AH26:AH27)</f>
        <v>0</v>
      </c>
      <c r="AI28" s="488">
        <f>PRODUCT(AI26:AI27)</f>
        <v>0</v>
      </c>
      <c r="AJ28" s="489">
        <f>PRODUCT(AJ26:AJ27)</f>
        <v>0</v>
      </c>
      <c r="AK28" s="369">
        <f t="shared" ref="AK28:AK33" si="49">SUM(AG28:AJ28)</f>
        <v>0</v>
      </c>
      <c r="AL28" s="368"/>
      <c r="AM28" s="490">
        <f>PRODUCT(AM26:AM27)</f>
        <v>0</v>
      </c>
      <c r="AN28" s="488">
        <f>PRODUCT(AN26:AN27)</f>
        <v>0</v>
      </c>
      <c r="AO28" s="488">
        <f>PRODUCT(AO26:AO27)</f>
        <v>0</v>
      </c>
      <c r="AP28" s="491">
        <f>PRODUCT(AP26:AP27)</f>
        <v>0</v>
      </c>
      <c r="AQ28" s="370">
        <f t="shared" ref="AQ28:AQ33" si="50">SUM(AM28:AP28)</f>
        <v>0</v>
      </c>
      <c r="AR28" s="368"/>
      <c r="AS28" s="371">
        <f>PRODUCT(AS26:AS27)</f>
        <v>0</v>
      </c>
    </row>
    <row r="29" spans="1:45" ht="14.1" customHeight="1">
      <c r="A29" s="357"/>
      <c r="B29" s="492" t="s">
        <v>80</v>
      </c>
      <c r="C29" s="532">
        <v>0.5</v>
      </c>
      <c r="D29" s="727">
        <v>0.15</v>
      </c>
      <c r="E29" s="525">
        <f t="shared" ref="E29:P29" si="51">E28*P3CommRate*P3CommSales</f>
        <v>0</v>
      </c>
      <c r="F29" s="493">
        <f t="shared" si="51"/>
        <v>0</v>
      </c>
      <c r="G29" s="493">
        <f t="shared" si="51"/>
        <v>0</v>
      </c>
      <c r="H29" s="493">
        <f t="shared" si="51"/>
        <v>0</v>
      </c>
      <c r="I29" s="493">
        <f t="shared" si="51"/>
        <v>0</v>
      </c>
      <c r="J29" s="493">
        <f t="shared" si="51"/>
        <v>0</v>
      </c>
      <c r="K29" s="493">
        <f t="shared" si="51"/>
        <v>0</v>
      </c>
      <c r="L29" s="493">
        <f t="shared" si="51"/>
        <v>0</v>
      </c>
      <c r="M29" s="493">
        <f t="shared" si="51"/>
        <v>0</v>
      </c>
      <c r="N29" s="493">
        <f t="shared" si="51"/>
        <v>0</v>
      </c>
      <c r="O29" s="493">
        <f t="shared" si="51"/>
        <v>0</v>
      </c>
      <c r="P29" s="493">
        <f t="shared" si="51"/>
        <v>0</v>
      </c>
      <c r="Q29" s="366">
        <f t="shared" si="46"/>
        <v>0</v>
      </c>
      <c r="R29" s="750"/>
      <c r="S29" s="493">
        <f t="shared" ref="S29:AD29" si="52">S28*P3CommRate*P3CommSales</f>
        <v>0</v>
      </c>
      <c r="T29" s="493">
        <f t="shared" si="52"/>
        <v>0</v>
      </c>
      <c r="U29" s="493">
        <f t="shared" si="52"/>
        <v>0</v>
      </c>
      <c r="V29" s="493">
        <f t="shared" si="52"/>
        <v>0</v>
      </c>
      <c r="W29" s="493">
        <f t="shared" si="52"/>
        <v>0</v>
      </c>
      <c r="X29" s="493">
        <f t="shared" si="52"/>
        <v>0</v>
      </c>
      <c r="Y29" s="493">
        <f t="shared" si="52"/>
        <v>0</v>
      </c>
      <c r="Z29" s="493">
        <f t="shared" si="52"/>
        <v>0</v>
      </c>
      <c r="AA29" s="493">
        <f t="shared" si="52"/>
        <v>0</v>
      </c>
      <c r="AB29" s="493">
        <f t="shared" si="52"/>
        <v>0</v>
      </c>
      <c r="AC29" s="493">
        <f t="shared" si="52"/>
        <v>0</v>
      </c>
      <c r="AD29" s="493">
        <f t="shared" si="52"/>
        <v>0</v>
      </c>
      <c r="AE29" s="366">
        <f t="shared" si="48"/>
        <v>0</v>
      </c>
      <c r="AF29" s="372"/>
      <c r="AG29" s="493">
        <f>AG28*P3CommRate*P3CommSales</f>
        <v>0</v>
      </c>
      <c r="AH29" s="493">
        <f>AH28*P3CommRate*P3CommSales</f>
        <v>0</v>
      </c>
      <c r="AI29" s="493">
        <f>AI28*P3CommRate*P3CommSales</f>
        <v>0</v>
      </c>
      <c r="AJ29" s="493">
        <f>AJ28*P3CommRate*P3CommSales</f>
        <v>0</v>
      </c>
      <c r="AK29" s="369">
        <f t="shared" si="49"/>
        <v>0</v>
      </c>
      <c r="AL29" s="372"/>
      <c r="AM29" s="493">
        <f>AM28*P3CommRate*P3CommSales</f>
        <v>0</v>
      </c>
      <c r="AN29" s="493">
        <f>AN28*P3CommRate*P3CommSales</f>
        <v>0</v>
      </c>
      <c r="AO29" s="493">
        <f>AO28*P3CommRate*P3CommSales</f>
        <v>0</v>
      </c>
      <c r="AP29" s="507">
        <f>AP28*P3CommRate*P3CommSales</f>
        <v>0</v>
      </c>
      <c r="AQ29" s="370">
        <f t="shared" si="50"/>
        <v>0</v>
      </c>
      <c r="AR29" s="372"/>
      <c r="AS29" s="366">
        <f>AS28*P3CommRate*P3CommSales</f>
        <v>0</v>
      </c>
    </row>
    <row r="30" spans="1:45" ht="14.1" customHeight="1">
      <c r="A30" s="357"/>
      <c r="B30" s="492" t="s">
        <v>81</v>
      </c>
      <c r="C30" s="124"/>
      <c r="D30" s="727">
        <v>0.03</v>
      </c>
      <c r="E30" s="525">
        <f t="shared" ref="E30:P30" si="53">E28*P3ReturnRate</f>
        <v>0</v>
      </c>
      <c r="F30" s="493">
        <f t="shared" si="53"/>
        <v>0</v>
      </c>
      <c r="G30" s="493">
        <f t="shared" si="53"/>
        <v>0</v>
      </c>
      <c r="H30" s="493">
        <f t="shared" si="53"/>
        <v>0</v>
      </c>
      <c r="I30" s="493">
        <f t="shared" si="53"/>
        <v>0</v>
      </c>
      <c r="J30" s="493">
        <f t="shared" si="53"/>
        <v>0</v>
      </c>
      <c r="K30" s="493">
        <f t="shared" si="53"/>
        <v>0</v>
      </c>
      <c r="L30" s="493">
        <f t="shared" si="53"/>
        <v>0</v>
      </c>
      <c r="M30" s="493">
        <f t="shared" si="53"/>
        <v>0</v>
      </c>
      <c r="N30" s="493">
        <f t="shared" si="53"/>
        <v>0</v>
      </c>
      <c r="O30" s="493">
        <f t="shared" si="53"/>
        <v>0</v>
      </c>
      <c r="P30" s="493">
        <f t="shared" si="53"/>
        <v>0</v>
      </c>
      <c r="Q30" s="366">
        <f t="shared" si="46"/>
        <v>0</v>
      </c>
      <c r="R30" s="750"/>
      <c r="S30" s="493">
        <f t="shared" ref="S30:AD30" si="54">S28*P3ReturnRate</f>
        <v>0</v>
      </c>
      <c r="T30" s="493">
        <f t="shared" si="54"/>
        <v>0</v>
      </c>
      <c r="U30" s="493">
        <f t="shared" si="54"/>
        <v>0</v>
      </c>
      <c r="V30" s="493">
        <f t="shared" si="54"/>
        <v>0</v>
      </c>
      <c r="W30" s="493">
        <f t="shared" si="54"/>
        <v>0</v>
      </c>
      <c r="X30" s="493">
        <f t="shared" si="54"/>
        <v>0</v>
      </c>
      <c r="Y30" s="493">
        <f t="shared" si="54"/>
        <v>0</v>
      </c>
      <c r="Z30" s="493">
        <f t="shared" si="54"/>
        <v>0</v>
      </c>
      <c r="AA30" s="493">
        <f t="shared" si="54"/>
        <v>0</v>
      </c>
      <c r="AB30" s="493">
        <f t="shared" si="54"/>
        <v>0</v>
      </c>
      <c r="AC30" s="493">
        <f t="shared" si="54"/>
        <v>0</v>
      </c>
      <c r="AD30" s="493">
        <f t="shared" si="54"/>
        <v>0</v>
      </c>
      <c r="AE30" s="366">
        <f t="shared" si="48"/>
        <v>0</v>
      </c>
      <c r="AF30" s="372"/>
      <c r="AG30" s="493">
        <f>AG28*P3ReturnRate</f>
        <v>0</v>
      </c>
      <c r="AH30" s="493">
        <f>AH28*P3ReturnRate</f>
        <v>0</v>
      </c>
      <c r="AI30" s="493">
        <f>AI28*P3ReturnRate</f>
        <v>0</v>
      </c>
      <c r="AJ30" s="493">
        <f>AJ28*P3ReturnRate</f>
        <v>0</v>
      </c>
      <c r="AK30" s="366">
        <f t="shared" si="49"/>
        <v>0</v>
      </c>
      <c r="AL30" s="372"/>
      <c r="AM30" s="493">
        <f>AM28*P3ReturnRate</f>
        <v>0</v>
      </c>
      <c r="AN30" s="493">
        <f>AN28*P3ReturnRate</f>
        <v>0</v>
      </c>
      <c r="AO30" s="493">
        <f>AO28*P3ReturnRate</f>
        <v>0</v>
      </c>
      <c r="AP30" s="507">
        <f>AP28*P3ReturnRate</f>
        <v>0</v>
      </c>
      <c r="AQ30" s="494">
        <f t="shared" si="50"/>
        <v>0</v>
      </c>
      <c r="AR30" s="372"/>
      <c r="AS30" s="366">
        <f>AS28*P3ReturnRate</f>
        <v>0</v>
      </c>
    </row>
    <row r="31" spans="1:45" ht="14.1" customHeight="1" thickBot="1">
      <c r="B31" s="495" t="s">
        <v>30</v>
      </c>
      <c r="C31" s="131"/>
      <c r="D31" s="728"/>
      <c r="E31" s="397">
        <f t="shared" ref="E31:P31" si="55">E28-E29-E30</f>
        <v>0</v>
      </c>
      <c r="F31" s="376">
        <f t="shared" si="55"/>
        <v>0</v>
      </c>
      <c r="G31" s="376">
        <f t="shared" si="55"/>
        <v>0</v>
      </c>
      <c r="H31" s="376">
        <f t="shared" si="55"/>
        <v>0</v>
      </c>
      <c r="I31" s="376">
        <f t="shared" si="55"/>
        <v>0</v>
      </c>
      <c r="J31" s="376">
        <f t="shared" si="55"/>
        <v>0</v>
      </c>
      <c r="K31" s="376">
        <f t="shared" si="55"/>
        <v>0</v>
      </c>
      <c r="L31" s="376">
        <f t="shared" si="55"/>
        <v>0</v>
      </c>
      <c r="M31" s="376">
        <f t="shared" si="55"/>
        <v>0</v>
      </c>
      <c r="N31" s="376">
        <f t="shared" si="55"/>
        <v>0</v>
      </c>
      <c r="O31" s="376">
        <f t="shared" si="55"/>
        <v>0</v>
      </c>
      <c r="P31" s="496">
        <f t="shared" si="55"/>
        <v>0</v>
      </c>
      <c r="Q31" s="377">
        <f t="shared" si="46"/>
        <v>0</v>
      </c>
      <c r="R31" s="750"/>
      <c r="S31" s="376">
        <f t="shared" ref="S31:AD31" si="56">S28-S29-S30</f>
        <v>0</v>
      </c>
      <c r="T31" s="376">
        <f t="shared" si="56"/>
        <v>0</v>
      </c>
      <c r="U31" s="376">
        <f t="shared" si="56"/>
        <v>0</v>
      </c>
      <c r="V31" s="376">
        <f t="shared" si="56"/>
        <v>0</v>
      </c>
      <c r="W31" s="376">
        <f t="shared" si="56"/>
        <v>0</v>
      </c>
      <c r="X31" s="376">
        <f t="shared" si="56"/>
        <v>0</v>
      </c>
      <c r="Y31" s="376">
        <f t="shared" si="56"/>
        <v>0</v>
      </c>
      <c r="Z31" s="376">
        <f t="shared" si="56"/>
        <v>0</v>
      </c>
      <c r="AA31" s="376">
        <f t="shared" si="56"/>
        <v>0</v>
      </c>
      <c r="AB31" s="376">
        <f t="shared" si="56"/>
        <v>0</v>
      </c>
      <c r="AC31" s="376">
        <f t="shared" si="56"/>
        <v>0</v>
      </c>
      <c r="AD31" s="496">
        <f t="shared" si="56"/>
        <v>0</v>
      </c>
      <c r="AE31" s="377">
        <f t="shared" si="48"/>
        <v>0</v>
      </c>
      <c r="AF31" s="368"/>
      <c r="AG31" s="676">
        <f>AG28-AG29-AG30</f>
        <v>0</v>
      </c>
      <c r="AH31" s="677">
        <f>AH28-AH29-AH30</f>
        <v>0</v>
      </c>
      <c r="AI31" s="677">
        <f>AI28-AI29-AI30</f>
        <v>0</v>
      </c>
      <c r="AJ31" s="678">
        <f>AJ28-AJ29-AJ30</f>
        <v>0</v>
      </c>
      <c r="AK31" s="679">
        <f t="shared" si="49"/>
        <v>0</v>
      </c>
      <c r="AL31" s="680"/>
      <c r="AM31" s="676">
        <f>AM28-AM29-AM30</f>
        <v>0</v>
      </c>
      <c r="AN31" s="677">
        <f>AN28-AN29-AN30</f>
        <v>0</v>
      </c>
      <c r="AO31" s="677">
        <f>AO28-AO29-AO30</f>
        <v>0</v>
      </c>
      <c r="AP31" s="681">
        <f>AP28-AP29-AP30</f>
        <v>0</v>
      </c>
      <c r="AQ31" s="682">
        <f t="shared" si="50"/>
        <v>0</v>
      </c>
      <c r="AR31" s="680"/>
      <c r="AS31" s="390">
        <f>AS28-AS29-AS30</f>
        <v>0</v>
      </c>
    </row>
    <row r="32" spans="1:45" ht="14.1" customHeight="1">
      <c r="B32" s="499" t="s">
        <v>181</v>
      </c>
      <c r="C32" s="133"/>
      <c r="D32" s="729">
        <v>0.5</v>
      </c>
      <c r="E32" s="740">
        <f t="shared" ref="E32:P32" si="57">E28*P3COG</f>
        <v>0</v>
      </c>
      <c r="F32" s="500">
        <f t="shared" si="57"/>
        <v>0</v>
      </c>
      <c r="G32" s="500">
        <f t="shared" si="57"/>
        <v>0</v>
      </c>
      <c r="H32" s="500">
        <f t="shared" si="57"/>
        <v>0</v>
      </c>
      <c r="I32" s="500">
        <f t="shared" si="57"/>
        <v>0</v>
      </c>
      <c r="J32" s="500">
        <f t="shared" si="57"/>
        <v>0</v>
      </c>
      <c r="K32" s="500">
        <f t="shared" si="57"/>
        <v>0</v>
      </c>
      <c r="L32" s="500">
        <f t="shared" si="57"/>
        <v>0</v>
      </c>
      <c r="M32" s="500">
        <f t="shared" si="57"/>
        <v>0</v>
      </c>
      <c r="N32" s="500">
        <f t="shared" si="57"/>
        <v>0</v>
      </c>
      <c r="O32" s="500">
        <f t="shared" si="57"/>
        <v>0</v>
      </c>
      <c r="P32" s="500">
        <f t="shared" si="57"/>
        <v>0</v>
      </c>
      <c r="Q32" s="501">
        <f t="shared" si="46"/>
        <v>0</v>
      </c>
      <c r="R32" s="750"/>
      <c r="S32" s="500">
        <f t="shared" ref="S32:AD32" si="58">S28*P3COG</f>
        <v>0</v>
      </c>
      <c r="T32" s="500">
        <f t="shared" si="58"/>
        <v>0</v>
      </c>
      <c r="U32" s="500">
        <f t="shared" si="58"/>
        <v>0</v>
      </c>
      <c r="V32" s="500">
        <f t="shared" si="58"/>
        <v>0</v>
      </c>
      <c r="W32" s="500">
        <f t="shared" si="58"/>
        <v>0</v>
      </c>
      <c r="X32" s="500">
        <f t="shared" si="58"/>
        <v>0</v>
      </c>
      <c r="Y32" s="500">
        <f t="shared" si="58"/>
        <v>0</v>
      </c>
      <c r="Z32" s="500">
        <f t="shared" si="58"/>
        <v>0</v>
      </c>
      <c r="AA32" s="500">
        <f t="shared" si="58"/>
        <v>0</v>
      </c>
      <c r="AB32" s="500">
        <f t="shared" si="58"/>
        <v>0</v>
      </c>
      <c r="AC32" s="500">
        <f t="shared" si="58"/>
        <v>0</v>
      </c>
      <c r="AD32" s="500">
        <f t="shared" si="58"/>
        <v>0</v>
      </c>
      <c r="AE32" s="501">
        <f t="shared" si="48"/>
        <v>0</v>
      </c>
      <c r="AF32" s="372"/>
      <c r="AG32" s="500">
        <f>AG28*P3COG</f>
        <v>0</v>
      </c>
      <c r="AH32" s="500">
        <f>AH28*P3COG</f>
        <v>0</v>
      </c>
      <c r="AI32" s="500">
        <f>AI28*P3COG</f>
        <v>0</v>
      </c>
      <c r="AJ32" s="500">
        <f>AJ28*P3COG</f>
        <v>0</v>
      </c>
      <c r="AK32" s="501">
        <f t="shared" si="49"/>
        <v>0</v>
      </c>
      <c r="AL32" s="372"/>
      <c r="AM32" s="500">
        <f>AM28*P3COG</f>
        <v>0</v>
      </c>
      <c r="AN32" s="500">
        <f>AN28*P3COG</f>
        <v>0</v>
      </c>
      <c r="AO32" s="500">
        <f>AO28*P3COG</f>
        <v>0</v>
      </c>
      <c r="AP32" s="509">
        <f>AP28*P3COG</f>
        <v>0</v>
      </c>
      <c r="AQ32" s="367">
        <f t="shared" si="50"/>
        <v>0</v>
      </c>
      <c r="AR32" s="372"/>
      <c r="AS32" s="501">
        <f>AS28*P3COG</f>
        <v>0</v>
      </c>
    </row>
    <row r="33" spans="1:45" ht="14.1" customHeight="1" thickBot="1">
      <c r="B33" s="379" t="s">
        <v>31</v>
      </c>
      <c r="C33" s="134"/>
      <c r="D33" s="730"/>
      <c r="E33" s="741">
        <f t="shared" ref="E33:P33" si="59">E31-E32</f>
        <v>0</v>
      </c>
      <c r="F33" s="503">
        <f t="shared" si="59"/>
        <v>0</v>
      </c>
      <c r="G33" s="503">
        <f t="shared" si="59"/>
        <v>0</v>
      </c>
      <c r="H33" s="503">
        <f t="shared" si="59"/>
        <v>0</v>
      </c>
      <c r="I33" s="503">
        <f t="shared" si="59"/>
        <v>0</v>
      </c>
      <c r="J33" s="503">
        <f t="shared" si="59"/>
        <v>0</v>
      </c>
      <c r="K33" s="503">
        <f t="shared" si="59"/>
        <v>0</v>
      </c>
      <c r="L33" s="503">
        <f t="shared" si="59"/>
        <v>0</v>
      </c>
      <c r="M33" s="503">
        <f t="shared" si="59"/>
        <v>0</v>
      </c>
      <c r="N33" s="503">
        <f t="shared" si="59"/>
        <v>0</v>
      </c>
      <c r="O33" s="503">
        <f t="shared" si="59"/>
        <v>0</v>
      </c>
      <c r="P33" s="503">
        <f t="shared" si="59"/>
        <v>0</v>
      </c>
      <c r="Q33" s="504">
        <f t="shared" si="46"/>
        <v>0</v>
      </c>
      <c r="R33" s="750"/>
      <c r="S33" s="503">
        <f t="shared" ref="S33:AD33" si="60">S31-S32</f>
        <v>0</v>
      </c>
      <c r="T33" s="503">
        <f t="shared" si="60"/>
        <v>0</v>
      </c>
      <c r="U33" s="503">
        <f t="shared" si="60"/>
        <v>0</v>
      </c>
      <c r="V33" s="503">
        <f t="shared" si="60"/>
        <v>0</v>
      </c>
      <c r="W33" s="503">
        <f t="shared" si="60"/>
        <v>0</v>
      </c>
      <c r="X33" s="503">
        <f t="shared" si="60"/>
        <v>0</v>
      </c>
      <c r="Y33" s="503">
        <f t="shared" si="60"/>
        <v>0</v>
      </c>
      <c r="Z33" s="503">
        <f t="shared" si="60"/>
        <v>0</v>
      </c>
      <c r="AA33" s="503">
        <f t="shared" si="60"/>
        <v>0</v>
      </c>
      <c r="AB33" s="503">
        <f t="shared" si="60"/>
        <v>0</v>
      </c>
      <c r="AC33" s="503">
        <f t="shared" si="60"/>
        <v>0</v>
      </c>
      <c r="AD33" s="503">
        <f t="shared" si="60"/>
        <v>0</v>
      </c>
      <c r="AE33" s="504">
        <f t="shared" si="48"/>
        <v>0</v>
      </c>
      <c r="AF33" s="372"/>
      <c r="AG33" s="503">
        <f>AG31-AG32</f>
        <v>0</v>
      </c>
      <c r="AH33" s="503">
        <f>AH31-AH32</f>
        <v>0</v>
      </c>
      <c r="AI33" s="503">
        <f>AI31-AI32</f>
        <v>0</v>
      </c>
      <c r="AJ33" s="503">
        <f>AJ31-AJ32</f>
        <v>0</v>
      </c>
      <c r="AK33" s="377">
        <f t="shared" si="49"/>
        <v>0</v>
      </c>
      <c r="AL33" s="372"/>
      <c r="AM33" s="503">
        <f>AM31-AM32</f>
        <v>0</v>
      </c>
      <c r="AN33" s="503">
        <f>AN31-AN32</f>
        <v>0</v>
      </c>
      <c r="AO33" s="503">
        <f>AO31-AO32</f>
        <v>0</v>
      </c>
      <c r="AP33" s="505">
        <f>AP31-AP32</f>
        <v>0</v>
      </c>
      <c r="AQ33" s="505">
        <f t="shared" si="50"/>
        <v>0</v>
      </c>
      <c r="AR33" s="372"/>
      <c r="AS33" s="504">
        <f>AS31-AS32</f>
        <v>0</v>
      </c>
    </row>
    <row r="34" spans="1:45" s="110" customFormat="1" ht="14.1" customHeight="1">
      <c r="A34" s="108"/>
      <c r="B34" s="354"/>
      <c r="C34" s="126"/>
      <c r="D34" s="722"/>
      <c r="E34" s="378"/>
      <c r="F34" s="108"/>
      <c r="G34" s="108"/>
      <c r="H34" s="108"/>
      <c r="I34" s="108"/>
      <c r="J34" s="108"/>
      <c r="K34" s="108"/>
      <c r="L34" s="108"/>
      <c r="M34" s="108"/>
      <c r="N34" s="108"/>
      <c r="O34" s="108"/>
      <c r="Q34" s="355"/>
      <c r="R34" s="748"/>
      <c r="S34" s="108"/>
      <c r="T34" s="108"/>
      <c r="U34" s="108"/>
      <c r="V34" s="108"/>
      <c r="W34" s="108"/>
      <c r="X34" s="108"/>
      <c r="Y34" s="108"/>
      <c r="Z34" s="108"/>
      <c r="AA34" s="108"/>
      <c r="AB34" s="108"/>
      <c r="AC34" s="108"/>
      <c r="AE34" s="355"/>
      <c r="AG34" s="356"/>
      <c r="AH34" s="108"/>
      <c r="AI34" s="108"/>
      <c r="AK34" s="355"/>
      <c r="AM34" s="356"/>
      <c r="AN34" s="108"/>
      <c r="AO34" s="108"/>
      <c r="AP34" s="347"/>
      <c r="AQ34" s="347"/>
      <c r="AS34" s="355"/>
    </row>
    <row r="35" spans="1:45" ht="14.1" customHeight="1">
      <c r="A35" s="357"/>
      <c r="B35" s="127" t="s">
        <v>302</v>
      </c>
      <c r="C35" s="479"/>
      <c r="D35" s="723"/>
      <c r="E35" s="739"/>
      <c r="F35" s="359"/>
      <c r="G35" s="359"/>
      <c r="H35" s="359"/>
      <c r="I35" s="359"/>
      <c r="J35" s="360"/>
      <c r="K35" s="360"/>
      <c r="L35" s="360"/>
      <c r="M35" s="360"/>
      <c r="N35" s="360"/>
      <c r="O35" s="360"/>
      <c r="P35" s="361"/>
      <c r="Q35" s="362"/>
      <c r="R35" s="749"/>
      <c r="S35" s="359"/>
      <c r="T35" s="359"/>
      <c r="U35" s="359"/>
      <c r="V35" s="359"/>
      <c r="W35" s="359"/>
      <c r="X35" s="360"/>
      <c r="Y35" s="360"/>
      <c r="Z35" s="360"/>
      <c r="AA35" s="360"/>
      <c r="AB35" s="360"/>
      <c r="AC35" s="360"/>
      <c r="AD35" s="361"/>
      <c r="AE35" s="362"/>
      <c r="AG35" s="363"/>
      <c r="AH35" s="360"/>
      <c r="AI35" s="360"/>
      <c r="AJ35" s="361"/>
      <c r="AK35" s="362"/>
      <c r="AM35" s="363"/>
      <c r="AN35" s="360"/>
      <c r="AO35" s="360"/>
      <c r="AP35" s="365"/>
      <c r="AQ35" s="365"/>
      <c r="AS35" s="362"/>
    </row>
    <row r="36" spans="1:45" ht="14.1" customHeight="1">
      <c r="B36" s="480" t="s">
        <v>78</v>
      </c>
      <c r="C36" s="132"/>
      <c r="D36" s="724">
        <v>0.02</v>
      </c>
      <c r="E36" s="140">
        <v>0</v>
      </c>
      <c r="F36" s="91">
        <f t="shared" ref="F36:P36" si="61">E36*(1+P4GrowthRate)</f>
        <v>0</v>
      </c>
      <c r="G36" s="91">
        <f t="shared" si="61"/>
        <v>0</v>
      </c>
      <c r="H36" s="91">
        <f t="shared" si="61"/>
        <v>0</v>
      </c>
      <c r="I36" s="91">
        <f t="shared" si="61"/>
        <v>0</v>
      </c>
      <c r="J36" s="91">
        <f t="shared" si="61"/>
        <v>0</v>
      </c>
      <c r="K36" s="91">
        <f t="shared" si="61"/>
        <v>0</v>
      </c>
      <c r="L36" s="91">
        <f t="shared" si="61"/>
        <v>0</v>
      </c>
      <c r="M36" s="91">
        <f t="shared" si="61"/>
        <v>0</v>
      </c>
      <c r="N36" s="91">
        <f t="shared" si="61"/>
        <v>0</v>
      </c>
      <c r="O36" s="91">
        <f t="shared" si="61"/>
        <v>0</v>
      </c>
      <c r="P36" s="91">
        <f t="shared" si="61"/>
        <v>0</v>
      </c>
      <c r="Q36" s="481">
        <f>SUM(E36:P36)</f>
        <v>0</v>
      </c>
      <c r="R36" s="749"/>
      <c r="S36" s="91">
        <f>P36*(1+P4GrowthRate)</f>
        <v>0</v>
      </c>
      <c r="T36" s="91">
        <f t="shared" ref="T36:AD36" si="62">S36*(1+P1GrowthRate)</f>
        <v>0</v>
      </c>
      <c r="U36" s="91">
        <f t="shared" si="62"/>
        <v>0</v>
      </c>
      <c r="V36" s="91">
        <f t="shared" si="62"/>
        <v>0</v>
      </c>
      <c r="W36" s="91">
        <f t="shared" si="62"/>
        <v>0</v>
      </c>
      <c r="X36" s="91">
        <f t="shared" si="62"/>
        <v>0</v>
      </c>
      <c r="Y36" s="91">
        <f t="shared" si="62"/>
        <v>0</v>
      </c>
      <c r="Z36" s="91">
        <f t="shared" si="62"/>
        <v>0</v>
      </c>
      <c r="AA36" s="91">
        <f t="shared" si="62"/>
        <v>0</v>
      </c>
      <c r="AB36" s="91">
        <f t="shared" si="62"/>
        <v>0</v>
      </c>
      <c r="AC36" s="91">
        <f t="shared" si="62"/>
        <v>0</v>
      </c>
      <c r="AD36" s="91">
        <f t="shared" si="62"/>
        <v>0</v>
      </c>
      <c r="AE36" s="481">
        <f>SUM(S36:AD36)</f>
        <v>0</v>
      </c>
      <c r="AG36" s="139">
        <f>-FV(P4GrowthRate,3,($AD$36*(1+P4GrowthRate)))</f>
        <v>0</v>
      </c>
      <c r="AH36" s="140">
        <f>-FV(P4GrowthRate,6,($AD$36*(1+P4GrowthRate)))-AG36</f>
        <v>0</v>
      </c>
      <c r="AI36" s="142">
        <f>-FV(P4GrowthRate,9,($AD$36*(1+P4GrowthRate)))-SUM(AG36:AH36)</f>
        <v>0</v>
      </c>
      <c r="AJ36" s="141">
        <f>-FV(P4GrowthRate,12,($AD$36*(1+P4GrowthRate)))-SUM(AG36:AI36)</f>
        <v>0</v>
      </c>
      <c r="AK36" s="481">
        <f>SUM(AG36:AJ36)</f>
        <v>0</v>
      </c>
      <c r="AL36" s="331"/>
      <c r="AM36" s="139">
        <f>-FV(P4GrowthRate,15,($AD$36*(1+P4GrowthRate)))-AK36</f>
        <v>0</v>
      </c>
      <c r="AN36" s="140">
        <f>-FV(P4GrowthRate,18,($AD$36*(1+P4GrowthRate)))-SUM(AK36:AM36)</f>
        <v>0</v>
      </c>
      <c r="AO36" s="140">
        <f>-FV(P4GrowthRate,21,($AD$36*(1+P4GrowthRate)))-SUM(AK36:AN36)</f>
        <v>0</v>
      </c>
      <c r="AP36" s="141">
        <f>-FV(P4GrowthRate,24,($AD$36*(1+P4GrowthRate)))-SUM(AK36:AO36)</f>
        <v>0</v>
      </c>
      <c r="AQ36" s="482">
        <f>SUM(AM36:AP36)</f>
        <v>0</v>
      </c>
      <c r="AS36" s="92">
        <f>-FV(P4GrowthRate,36,($AD$36*(1+P4GrowthRate)))-AK36-AQ36</f>
        <v>0</v>
      </c>
    </row>
    <row r="37" spans="1:45" ht="14.1" customHeight="1">
      <c r="A37" s="357"/>
      <c r="B37" s="483" t="s">
        <v>79</v>
      </c>
      <c r="C37" s="129"/>
      <c r="D37" s="725"/>
      <c r="E37" s="147">
        <v>0</v>
      </c>
      <c r="F37" s="147">
        <f>E37</f>
        <v>0</v>
      </c>
      <c r="G37" s="147">
        <f t="shared" ref="G37:O37" si="63">F37</f>
        <v>0</v>
      </c>
      <c r="H37" s="147">
        <f t="shared" si="63"/>
        <v>0</v>
      </c>
      <c r="I37" s="147">
        <f t="shared" si="63"/>
        <v>0</v>
      </c>
      <c r="J37" s="147">
        <f t="shared" si="63"/>
        <v>0</v>
      </c>
      <c r="K37" s="147">
        <f t="shared" si="63"/>
        <v>0</v>
      </c>
      <c r="L37" s="147">
        <f t="shared" si="63"/>
        <v>0</v>
      </c>
      <c r="M37" s="147">
        <f t="shared" si="63"/>
        <v>0</v>
      </c>
      <c r="N37" s="147">
        <f t="shared" si="63"/>
        <v>0</v>
      </c>
      <c r="O37" s="147">
        <f t="shared" si="63"/>
        <v>0</v>
      </c>
      <c r="P37" s="147">
        <f>O37</f>
        <v>0</v>
      </c>
      <c r="Q37" s="484"/>
      <c r="R37" s="750"/>
      <c r="S37" s="146">
        <f>P37</f>
        <v>0</v>
      </c>
      <c r="T37" s="147">
        <f>S37</f>
        <v>0</v>
      </c>
      <c r="U37" s="147">
        <f t="shared" ref="U37:AC37" si="64">T37</f>
        <v>0</v>
      </c>
      <c r="V37" s="147">
        <f t="shared" si="64"/>
        <v>0</v>
      </c>
      <c r="W37" s="147">
        <f t="shared" si="64"/>
        <v>0</v>
      </c>
      <c r="X37" s="147">
        <f t="shared" si="64"/>
        <v>0</v>
      </c>
      <c r="Y37" s="147">
        <f t="shared" si="64"/>
        <v>0</v>
      </c>
      <c r="Z37" s="147">
        <f t="shared" si="64"/>
        <v>0</v>
      </c>
      <c r="AA37" s="147">
        <f t="shared" si="64"/>
        <v>0</v>
      </c>
      <c r="AB37" s="147">
        <f t="shared" si="64"/>
        <v>0</v>
      </c>
      <c r="AC37" s="147">
        <f t="shared" si="64"/>
        <v>0</v>
      </c>
      <c r="AD37" s="147">
        <f>AC37</f>
        <v>0</v>
      </c>
      <c r="AE37" s="484"/>
      <c r="AF37" s="368"/>
      <c r="AG37" s="150">
        <f>AD37</f>
        <v>0</v>
      </c>
      <c r="AH37" s="147">
        <f>AG37</f>
        <v>0</v>
      </c>
      <c r="AI37" s="147">
        <f>AH37</f>
        <v>0</v>
      </c>
      <c r="AJ37" s="147">
        <f>AI37</f>
        <v>0</v>
      </c>
      <c r="AK37" s="484"/>
      <c r="AL37" s="368"/>
      <c r="AM37" s="151">
        <f>AJ37</f>
        <v>0</v>
      </c>
      <c r="AN37" s="152">
        <f>AM37</f>
        <v>0</v>
      </c>
      <c r="AO37" s="152">
        <f>AN37</f>
        <v>0</v>
      </c>
      <c r="AP37" s="153">
        <f>AO37</f>
        <v>0</v>
      </c>
      <c r="AQ37" s="485"/>
      <c r="AR37" s="368"/>
      <c r="AS37" s="154">
        <f>AP37</f>
        <v>0</v>
      </c>
    </row>
    <row r="38" spans="1:45" ht="14.1" customHeight="1">
      <c r="A38" s="357"/>
      <c r="B38" s="486" t="s">
        <v>93</v>
      </c>
      <c r="C38" s="130"/>
      <c r="D38" s="726"/>
      <c r="E38" s="488">
        <f t="shared" ref="E38:P38" si="65">PRODUCT(E36:E37)</f>
        <v>0</v>
      </c>
      <c r="F38" s="488">
        <f t="shared" si="65"/>
        <v>0</v>
      </c>
      <c r="G38" s="488">
        <f t="shared" si="65"/>
        <v>0</v>
      </c>
      <c r="H38" s="488">
        <f t="shared" si="65"/>
        <v>0</v>
      </c>
      <c r="I38" s="488">
        <f t="shared" si="65"/>
        <v>0</v>
      </c>
      <c r="J38" s="488">
        <f t="shared" si="65"/>
        <v>0</v>
      </c>
      <c r="K38" s="488">
        <f t="shared" si="65"/>
        <v>0</v>
      </c>
      <c r="L38" s="488">
        <f t="shared" si="65"/>
        <v>0</v>
      </c>
      <c r="M38" s="488">
        <f t="shared" si="65"/>
        <v>0</v>
      </c>
      <c r="N38" s="488">
        <f t="shared" si="65"/>
        <v>0</v>
      </c>
      <c r="O38" s="488">
        <f t="shared" si="65"/>
        <v>0</v>
      </c>
      <c r="P38" s="489">
        <f t="shared" si="65"/>
        <v>0</v>
      </c>
      <c r="Q38" s="371">
        <f t="shared" ref="Q38:Q43" si="66">SUM(E38:P38)</f>
        <v>0</v>
      </c>
      <c r="R38" s="750"/>
      <c r="S38" s="487">
        <f t="shared" ref="S38:AD38" si="67">PRODUCT(S36:S37)</f>
        <v>0</v>
      </c>
      <c r="T38" s="488">
        <f t="shared" si="67"/>
        <v>0</v>
      </c>
      <c r="U38" s="488">
        <f t="shared" si="67"/>
        <v>0</v>
      </c>
      <c r="V38" s="488">
        <f t="shared" si="67"/>
        <v>0</v>
      </c>
      <c r="W38" s="488">
        <f t="shared" si="67"/>
        <v>0</v>
      </c>
      <c r="X38" s="488">
        <f t="shared" si="67"/>
        <v>0</v>
      </c>
      <c r="Y38" s="488">
        <f t="shared" si="67"/>
        <v>0</v>
      </c>
      <c r="Z38" s="488">
        <f t="shared" si="67"/>
        <v>0</v>
      </c>
      <c r="AA38" s="488">
        <f t="shared" si="67"/>
        <v>0</v>
      </c>
      <c r="AB38" s="488">
        <f t="shared" si="67"/>
        <v>0</v>
      </c>
      <c r="AC38" s="488">
        <f t="shared" si="67"/>
        <v>0</v>
      </c>
      <c r="AD38" s="489">
        <f t="shared" si="67"/>
        <v>0</v>
      </c>
      <c r="AE38" s="371">
        <f t="shared" ref="AE38:AE43" si="68">SUM(S38:AD38)</f>
        <v>0</v>
      </c>
      <c r="AF38" s="368"/>
      <c r="AG38" s="490">
        <f>PRODUCT(AG36:AG37)</f>
        <v>0</v>
      </c>
      <c r="AH38" s="488">
        <f>PRODUCT(AH36:AH37)</f>
        <v>0</v>
      </c>
      <c r="AI38" s="488">
        <f>PRODUCT(AI36:AI37)</f>
        <v>0</v>
      </c>
      <c r="AJ38" s="489">
        <f>PRODUCT(AJ36:AJ37)</f>
        <v>0</v>
      </c>
      <c r="AK38" s="369">
        <f t="shared" ref="AK38:AK43" si="69">SUM(AG38:AJ38)</f>
        <v>0</v>
      </c>
      <c r="AL38" s="368"/>
      <c r="AM38" s="490">
        <f>PRODUCT(AM36:AM37)</f>
        <v>0</v>
      </c>
      <c r="AN38" s="488">
        <f>PRODUCT(AN36:AN37)</f>
        <v>0</v>
      </c>
      <c r="AO38" s="488">
        <f>PRODUCT(AO36:AO37)</f>
        <v>0</v>
      </c>
      <c r="AP38" s="491">
        <f>PRODUCT(AP36:AP37)</f>
        <v>0</v>
      </c>
      <c r="AQ38" s="370">
        <f t="shared" ref="AQ38:AQ43" si="70">SUM(AM38:AP38)</f>
        <v>0</v>
      </c>
      <c r="AR38" s="368"/>
      <c r="AS38" s="371">
        <f>PRODUCT(AS36:AS37)</f>
        <v>0</v>
      </c>
    </row>
    <row r="39" spans="1:45" ht="14.1" customHeight="1">
      <c r="A39" s="357"/>
      <c r="B39" s="492" t="s">
        <v>80</v>
      </c>
      <c r="C39" s="532">
        <v>0.5</v>
      </c>
      <c r="D39" s="727">
        <v>0.15</v>
      </c>
      <c r="E39" s="525">
        <f t="shared" ref="E39:P39" si="71">E38*P4CommRate*P4CommSales</f>
        <v>0</v>
      </c>
      <c r="F39" s="493">
        <f t="shared" si="71"/>
        <v>0</v>
      </c>
      <c r="G39" s="493">
        <f t="shared" si="71"/>
        <v>0</v>
      </c>
      <c r="H39" s="493">
        <f t="shared" si="71"/>
        <v>0</v>
      </c>
      <c r="I39" s="493">
        <f t="shared" si="71"/>
        <v>0</v>
      </c>
      <c r="J39" s="493">
        <f t="shared" si="71"/>
        <v>0</v>
      </c>
      <c r="K39" s="493">
        <f t="shared" si="71"/>
        <v>0</v>
      </c>
      <c r="L39" s="493">
        <f t="shared" si="71"/>
        <v>0</v>
      </c>
      <c r="M39" s="493">
        <f t="shared" si="71"/>
        <v>0</v>
      </c>
      <c r="N39" s="493">
        <f t="shared" si="71"/>
        <v>0</v>
      </c>
      <c r="O39" s="493">
        <f t="shared" si="71"/>
        <v>0</v>
      </c>
      <c r="P39" s="493">
        <f t="shared" si="71"/>
        <v>0</v>
      </c>
      <c r="Q39" s="366">
        <f t="shared" si="66"/>
        <v>0</v>
      </c>
      <c r="R39" s="750"/>
      <c r="S39" s="493">
        <f t="shared" ref="S39:AD39" si="72">S38*P4CommRate*P4CommSales</f>
        <v>0</v>
      </c>
      <c r="T39" s="493">
        <f t="shared" si="72"/>
        <v>0</v>
      </c>
      <c r="U39" s="493">
        <f t="shared" si="72"/>
        <v>0</v>
      </c>
      <c r="V39" s="493">
        <f t="shared" si="72"/>
        <v>0</v>
      </c>
      <c r="W39" s="493">
        <f t="shared" si="72"/>
        <v>0</v>
      </c>
      <c r="X39" s="493">
        <f t="shared" si="72"/>
        <v>0</v>
      </c>
      <c r="Y39" s="493">
        <f t="shared" si="72"/>
        <v>0</v>
      </c>
      <c r="Z39" s="493">
        <f t="shared" si="72"/>
        <v>0</v>
      </c>
      <c r="AA39" s="493">
        <f t="shared" si="72"/>
        <v>0</v>
      </c>
      <c r="AB39" s="493">
        <f t="shared" si="72"/>
        <v>0</v>
      </c>
      <c r="AC39" s="493">
        <f t="shared" si="72"/>
        <v>0</v>
      </c>
      <c r="AD39" s="493">
        <f t="shared" si="72"/>
        <v>0</v>
      </c>
      <c r="AE39" s="366">
        <f t="shared" si="68"/>
        <v>0</v>
      </c>
      <c r="AF39" s="372"/>
      <c r="AG39" s="493">
        <f>AG38*P4CommRate*P4CommSales</f>
        <v>0</v>
      </c>
      <c r="AH39" s="493">
        <f>AH38*P4CommRate*P4CommSales</f>
        <v>0</v>
      </c>
      <c r="AI39" s="493">
        <f>AI38*P4CommRate*P4CommSales</f>
        <v>0</v>
      </c>
      <c r="AJ39" s="493">
        <f>AJ38*P4CommRate*P4CommSales</f>
        <v>0</v>
      </c>
      <c r="AK39" s="369">
        <f t="shared" si="69"/>
        <v>0</v>
      </c>
      <c r="AL39" s="372"/>
      <c r="AM39" s="493">
        <f>AM38*P4CommRate*P4CommSales</f>
        <v>0</v>
      </c>
      <c r="AN39" s="493">
        <f>AN38*P4CommRate*P4CommSales</f>
        <v>0</v>
      </c>
      <c r="AO39" s="493">
        <f>AO38*P4CommRate*P4CommSales</f>
        <v>0</v>
      </c>
      <c r="AP39" s="507">
        <f>AP38*P4CommRate*P4CommSales</f>
        <v>0</v>
      </c>
      <c r="AQ39" s="370">
        <f t="shared" si="70"/>
        <v>0</v>
      </c>
      <c r="AR39" s="372"/>
      <c r="AS39" s="366">
        <f>AS38*P4CommRate*P4CommSales</f>
        <v>0</v>
      </c>
    </row>
    <row r="40" spans="1:45" ht="14.1" customHeight="1">
      <c r="A40" s="357"/>
      <c r="B40" s="492" t="s">
        <v>81</v>
      </c>
      <c r="C40" s="124"/>
      <c r="D40" s="727">
        <v>0.03</v>
      </c>
      <c r="E40" s="742">
        <f t="shared" ref="E40:P40" si="73">E38*P4ReturnRate</f>
        <v>0</v>
      </c>
      <c r="F40" s="493">
        <f t="shared" si="73"/>
        <v>0</v>
      </c>
      <c r="G40" s="493">
        <f t="shared" si="73"/>
        <v>0</v>
      </c>
      <c r="H40" s="493">
        <f t="shared" si="73"/>
        <v>0</v>
      </c>
      <c r="I40" s="493">
        <f t="shared" si="73"/>
        <v>0</v>
      </c>
      <c r="J40" s="493">
        <f t="shared" si="73"/>
        <v>0</v>
      </c>
      <c r="K40" s="493">
        <f t="shared" si="73"/>
        <v>0</v>
      </c>
      <c r="L40" s="493">
        <f t="shared" si="73"/>
        <v>0</v>
      </c>
      <c r="M40" s="493">
        <f t="shared" si="73"/>
        <v>0</v>
      </c>
      <c r="N40" s="493">
        <f t="shared" si="73"/>
        <v>0</v>
      </c>
      <c r="O40" s="493">
        <f t="shared" si="73"/>
        <v>0</v>
      </c>
      <c r="P40" s="493">
        <f t="shared" si="73"/>
        <v>0</v>
      </c>
      <c r="Q40" s="366">
        <f t="shared" si="66"/>
        <v>0</v>
      </c>
      <c r="R40" s="750"/>
      <c r="S40" s="493">
        <f t="shared" ref="S40:AD40" si="74">S38*P4ReturnRate</f>
        <v>0</v>
      </c>
      <c r="T40" s="493">
        <f t="shared" si="74"/>
        <v>0</v>
      </c>
      <c r="U40" s="493">
        <f t="shared" si="74"/>
        <v>0</v>
      </c>
      <c r="V40" s="493">
        <f t="shared" si="74"/>
        <v>0</v>
      </c>
      <c r="W40" s="493">
        <f t="shared" si="74"/>
        <v>0</v>
      </c>
      <c r="X40" s="493">
        <f t="shared" si="74"/>
        <v>0</v>
      </c>
      <c r="Y40" s="493">
        <f t="shared" si="74"/>
        <v>0</v>
      </c>
      <c r="Z40" s="493">
        <f t="shared" si="74"/>
        <v>0</v>
      </c>
      <c r="AA40" s="493">
        <f t="shared" si="74"/>
        <v>0</v>
      </c>
      <c r="AB40" s="493">
        <f t="shared" si="74"/>
        <v>0</v>
      </c>
      <c r="AC40" s="493">
        <f t="shared" si="74"/>
        <v>0</v>
      </c>
      <c r="AD40" s="493">
        <f t="shared" si="74"/>
        <v>0</v>
      </c>
      <c r="AE40" s="366">
        <f t="shared" si="68"/>
        <v>0</v>
      </c>
      <c r="AF40" s="372"/>
      <c r="AG40" s="493">
        <f>AG38*P4ReturnRate</f>
        <v>0</v>
      </c>
      <c r="AH40" s="493">
        <f>AH38*P4ReturnRate</f>
        <v>0</v>
      </c>
      <c r="AI40" s="493">
        <f>AI38*P4ReturnRate</f>
        <v>0</v>
      </c>
      <c r="AJ40" s="493">
        <f>AJ38*P4ReturnRate</f>
        <v>0</v>
      </c>
      <c r="AK40" s="366">
        <f t="shared" si="69"/>
        <v>0</v>
      </c>
      <c r="AL40" s="372"/>
      <c r="AM40" s="493">
        <f>AM38*P4ReturnRate</f>
        <v>0</v>
      </c>
      <c r="AN40" s="493">
        <f>AN38*P4ReturnRate</f>
        <v>0</v>
      </c>
      <c r="AO40" s="493">
        <f>AO38*P4ReturnRate</f>
        <v>0</v>
      </c>
      <c r="AP40" s="507">
        <f>AP38*P4ReturnRate</f>
        <v>0</v>
      </c>
      <c r="AQ40" s="494">
        <f t="shared" si="70"/>
        <v>0</v>
      </c>
      <c r="AR40" s="372"/>
      <c r="AS40" s="366">
        <f>AS38*P4ReturnRate</f>
        <v>0</v>
      </c>
    </row>
    <row r="41" spans="1:45" ht="14.1" customHeight="1" thickBot="1">
      <c r="B41" s="495" t="s">
        <v>30</v>
      </c>
      <c r="C41" s="131"/>
      <c r="D41" s="728"/>
      <c r="E41" s="397">
        <f t="shared" ref="E41:P41" si="75">E38-E39-E40</f>
        <v>0</v>
      </c>
      <c r="F41" s="376">
        <f t="shared" si="75"/>
        <v>0</v>
      </c>
      <c r="G41" s="376">
        <f t="shared" si="75"/>
        <v>0</v>
      </c>
      <c r="H41" s="376">
        <f t="shared" si="75"/>
        <v>0</v>
      </c>
      <c r="I41" s="376">
        <f t="shared" si="75"/>
        <v>0</v>
      </c>
      <c r="J41" s="376">
        <f t="shared" si="75"/>
        <v>0</v>
      </c>
      <c r="K41" s="376">
        <f t="shared" si="75"/>
        <v>0</v>
      </c>
      <c r="L41" s="376">
        <f t="shared" si="75"/>
        <v>0</v>
      </c>
      <c r="M41" s="376">
        <f t="shared" si="75"/>
        <v>0</v>
      </c>
      <c r="N41" s="376">
        <f t="shared" si="75"/>
        <v>0</v>
      </c>
      <c r="O41" s="376">
        <f t="shared" si="75"/>
        <v>0</v>
      </c>
      <c r="P41" s="496">
        <f t="shared" si="75"/>
        <v>0</v>
      </c>
      <c r="Q41" s="377">
        <f t="shared" si="66"/>
        <v>0</v>
      </c>
      <c r="R41" s="750"/>
      <c r="S41" s="376">
        <f t="shared" ref="S41:AD41" si="76">S38-S39-S40</f>
        <v>0</v>
      </c>
      <c r="T41" s="376">
        <f t="shared" si="76"/>
        <v>0</v>
      </c>
      <c r="U41" s="376">
        <f t="shared" si="76"/>
        <v>0</v>
      </c>
      <c r="V41" s="376">
        <f t="shared" si="76"/>
        <v>0</v>
      </c>
      <c r="W41" s="376">
        <f t="shared" si="76"/>
        <v>0</v>
      </c>
      <c r="X41" s="376">
        <f t="shared" si="76"/>
        <v>0</v>
      </c>
      <c r="Y41" s="376">
        <f t="shared" si="76"/>
        <v>0</v>
      </c>
      <c r="Z41" s="376">
        <f t="shared" si="76"/>
        <v>0</v>
      </c>
      <c r="AA41" s="376">
        <f t="shared" si="76"/>
        <v>0</v>
      </c>
      <c r="AB41" s="376">
        <f t="shared" si="76"/>
        <v>0</v>
      </c>
      <c r="AC41" s="376">
        <f t="shared" si="76"/>
        <v>0</v>
      </c>
      <c r="AD41" s="496">
        <f t="shared" si="76"/>
        <v>0</v>
      </c>
      <c r="AE41" s="377">
        <f t="shared" si="68"/>
        <v>0</v>
      </c>
      <c r="AF41" s="368"/>
      <c r="AG41" s="676">
        <f>AG38-AG39-AG40</f>
        <v>0</v>
      </c>
      <c r="AH41" s="677">
        <f>AH38-AH39-AH40</f>
        <v>0</v>
      </c>
      <c r="AI41" s="677">
        <f>AI38-AI39-AI40</f>
        <v>0</v>
      </c>
      <c r="AJ41" s="678">
        <f>AJ38-AJ39-AJ40</f>
        <v>0</v>
      </c>
      <c r="AK41" s="679">
        <f t="shared" si="69"/>
        <v>0</v>
      </c>
      <c r="AL41" s="680"/>
      <c r="AM41" s="676">
        <f>AM38-AM39-AM40</f>
        <v>0</v>
      </c>
      <c r="AN41" s="677">
        <f>AN38-AN39-AN40</f>
        <v>0</v>
      </c>
      <c r="AO41" s="677">
        <f>AO38-AO39-AO40</f>
        <v>0</v>
      </c>
      <c r="AP41" s="681">
        <f>AP38-AP39-AP40</f>
        <v>0</v>
      </c>
      <c r="AQ41" s="682">
        <f t="shared" si="70"/>
        <v>0</v>
      </c>
      <c r="AR41" s="680"/>
      <c r="AS41" s="390">
        <f>AS38-AS39-AS40</f>
        <v>0</v>
      </c>
    </row>
    <row r="42" spans="1:45" ht="14.1" customHeight="1">
      <c r="B42" s="499" t="s">
        <v>181</v>
      </c>
      <c r="C42" s="133"/>
      <c r="D42" s="729">
        <v>0.5</v>
      </c>
      <c r="E42" s="740">
        <f t="shared" ref="E42:P42" si="77">E38*P4COG</f>
        <v>0</v>
      </c>
      <c r="F42" s="500">
        <f t="shared" si="77"/>
        <v>0</v>
      </c>
      <c r="G42" s="500">
        <f t="shared" si="77"/>
        <v>0</v>
      </c>
      <c r="H42" s="500">
        <f t="shared" si="77"/>
        <v>0</v>
      </c>
      <c r="I42" s="500">
        <f t="shared" si="77"/>
        <v>0</v>
      </c>
      <c r="J42" s="500">
        <f t="shared" si="77"/>
        <v>0</v>
      </c>
      <c r="K42" s="500">
        <f t="shared" si="77"/>
        <v>0</v>
      </c>
      <c r="L42" s="500">
        <f t="shared" si="77"/>
        <v>0</v>
      </c>
      <c r="M42" s="500">
        <f t="shared" si="77"/>
        <v>0</v>
      </c>
      <c r="N42" s="500">
        <f t="shared" si="77"/>
        <v>0</v>
      </c>
      <c r="O42" s="500">
        <f t="shared" si="77"/>
        <v>0</v>
      </c>
      <c r="P42" s="500">
        <f t="shared" si="77"/>
        <v>0</v>
      </c>
      <c r="Q42" s="501">
        <f t="shared" si="66"/>
        <v>0</v>
      </c>
      <c r="R42" s="750"/>
      <c r="S42" s="500">
        <f t="shared" ref="S42:AD42" si="78">S38*P4COG</f>
        <v>0</v>
      </c>
      <c r="T42" s="500">
        <f t="shared" si="78"/>
        <v>0</v>
      </c>
      <c r="U42" s="500">
        <f t="shared" si="78"/>
        <v>0</v>
      </c>
      <c r="V42" s="500">
        <f t="shared" si="78"/>
        <v>0</v>
      </c>
      <c r="W42" s="500">
        <f t="shared" si="78"/>
        <v>0</v>
      </c>
      <c r="X42" s="500">
        <f t="shared" si="78"/>
        <v>0</v>
      </c>
      <c r="Y42" s="500">
        <f t="shared" si="78"/>
        <v>0</v>
      </c>
      <c r="Z42" s="500">
        <f t="shared" si="78"/>
        <v>0</v>
      </c>
      <c r="AA42" s="500">
        <f t="shared" si="78"/>
        <v>0</v>
      </c>
      <c r="AB42" s="500">
        <f t="shared" si="78"/>
        <v>0</v>
      </c>
      <c r="AC42" s="500">
        <f t="shared" si="78"/>
        <v>0</v>
      </c>
      <c r="AD42" s="500">
        <f t="shared" si="78"/>
        <v>0</v>
      </c>
      <c r="AE42" s="501">
        <f t="shared" si="68"/>
        <v>0</v>
      </c>
      <c r="AF42" s="372"/>
      <c r="AG42" s="500">
        <f>AG38*P4COG</f>
        <v>0</v>
      </c>
      <c r="AH42" s="500">
        <f>AH38*P4COG</f>
        <v>0</v>
      </c>
      <c r="AI42" s="500">
        <f>AI38*P4COG</f>
        <v>0</v>
      </c>
      <c r="AJ42" s="500">
        <f>AJ38*P4COG</f>
        <v>0</v>
      </c>
      <c r="AK42" s="501">
        <f t="shared" si="69"/>
        <v>0</v>
      </c>
      <c r="AL42" s="372"/>
      <c r="AM42" s="500">
        <f>AM38*P4COG</f>
        <v>0</v>
      </c>
      <c r="AN42" s="500">
        <f>AN38*P4COG</f>
        <v>0</v>
      </c>
      <c r="AO42" s="500">
        <f>AO38*P4COG</f>
        <v>0</v>
      </c>
      <c r="AP42" s="509">
        <f>AP38*P4COG</f>
        <v>0</v>
      </c>
      <c r="AQ42" s="367">
        <f t="shared" si="70"/>
        <v>0</v>
      </c>
      <c r="AR42" s="372"/>
      <c r="AS42" s="501">
        <f>AS38*P4COG</f>
        <v>0</v>
      </c>
    </row>
    <row r="43" spans="1:45" ht="14.1" customHeight="1" thickBot="1">
      <c r="B43" s="379" t="s">
        <v>31</v>
      </c>
      <c r="C43" s="134"/>
      <c r="D43" s="730"/>
      <c r="E43" s="741">
        <f t="shared" ref="E43:P43" si="79">E41-E42</f>
        <v>0</v>
      </c>
      <c r="F43" s="503">
        <f t="shared" si="79"/>
        <v>0</v>
      </c>
      <c r="G43" s="503">
        <f t="shared" si="79"/>
        <v>0</v>
      </c>
      <c r="H43" s="503">
        <f t="shared" si="79"/>
        <v>0</v>
      </c>
      <c r="I43" s="503">
        <f t="shared" si="79"/>
        <v>0</v>
      </c>
      <c r="J43" s="503">
        <f t="shared" si="79"/>
        <v>0</v>
      </c>
      <c r="K43" s="503">
        <f t="shared" si="79"/>
        <v>0</v>
      </c>
      <c r="L43" s="503">
        <f t="shared" si="79"/>
        <v>0</v>
      </c>
      <c r="M43" s="503">
        <f t="shared" si="79"/>
        <v>0</v>
      </c>
      <c r="N43" s="503">
        <f t="shared" si="79"/>
        <v>0</v>
      </c>
      <c r="O43" s="503">
        <f t="shared" si="79"/>
        <v>0</v>
      </c>
      <c r="P43" s="503">
        <f t="shared" si="79"/>
        <v>0</v>
      </c>
      <c r="Q43" s="504">
        <f t="shared" si="66"/>
        <v>0</v>
      </c>
      <c r="R43" s="750"/>
      <c r="S43" s="503">
        <f t="shared" ref="S43:AD43" si="80">S41-S42</f>
        <v>0</v>
      </c>
      <c r="T43" s="503">
        <f t="shared" si="80"/>
        <v>0</v>
      </c>
      <c r="U43" s="503">
        <f t="shared" si="80"/>
        <v>0</v>
      </c>
      <c r="V43" s="503">
        <f t="shared" si="80"/>
        <v>0</v>
      </c>
      <c r="W43" s="503">
        <f t="shared" si="80"/>
        <v>0</v>
      </c>
      <c r="X43" s="503">
        <f t="shared" si="80"/>
        <v>0</v>
      </c>
      <c r="Y43" s="503">
        <f t="shared" si="80"/>
        <v>0</v>
      </c>
      <c r="Z43" s="503">
        <f t="shared" si="80"/>
        <v>0</v>
      </c>
      <c r="AA43" s="503">
        <f t="shared" si="80"/>
        <v>0</v>
      </c>
      <c r="AB43" s="503">
        <f t="shared" si="80"/>
        <v>0</v>
      </c>
      <c r="AC43" s="503">
        <f t="shared" si="80"/>
        <v>0</v>
      </c>
      <c r="AD43" s="503">
        <f t="shared" si="80"/>
        <v>0</v>
      </c>
      <c r="AE43" s="504">
        <f t="shared" si="68"/>
        <v>0</v>
      </c>
      <c r="AF43" s="372"/>
      <c r="AG43" s="503">
        <f>AG41-AG42</f>
        <v>0</v>
      </c>
      <c r="AH43" s="503">
        <f>AH41-AH42</f>
        <v>0</v>
      </c>
      <c r="AI43" s="503">
        <f>AI41-AI42</f>
        <v>0</v>
      </c>
      <c r="AJ43" s="503">
        <f>AJ41-AJ42</f>
        <v>0</v>
      </c>
      <c r="AK43" s="377">
        <f t="shared" si="69"/>
        <v>0</v>
      </c>
      <c r="AL43" s="372"/>
      <c r="AM43" s="503">
        <f>AM41-AM42</f>
        <v>0</v>
      </c>
      <c r="AN43" s="503">
        <f>AN41-AN42</f>
        <v>0</v>
      </c>
      <c r="AO43" s="503">
        <f>AO41-AO42</f>
        <v>0</v>
      </c>
      <c r="AP43" s="505">
        <f>AP41-AP42</f>
        <v>0</v>
      </c>
      <c r="AQ43" s="505">
        <f t="shared" si="70"/>
        <v>0</v>
      </c>
      <c r="AR43" s="372"/>
      <c r="AS43" s="504">
        <f>AS41-AS42</f>
        <v>0</v>
      </c>
    </row>
    <row r="44" spans="1:45" s="110" customFormat="1" ht="13.5" customHeight="1">
      <c r="A44" s="108"/>
      <c r="B44" s="354"/>
      <c r="C44" s="126"/>
      <c r="D44" s="722"/>
      <c r="E44" s="378"/>
      <c r="F44" s="108"/>
      <c r="G44" s="108"/>
      <c r="H44" s="108"/>
      <c r="I44" s="108"/>
      <c r="J44" s="108"/>
      <c r="K44" s="108"/>
      <c r="L44" s="108"/>
      <c r="M44" s="108"/>
      <c r="N44" s="108"/>
      <c r="O44" s="108"/>
      <c r="Q44" s="355"/>
      <c r="R44" s="748"/>
      <c r="S44" s="108"/>
      <c r="T44" s="108"/>
      <c r="U44" s="108"/>
      <c r="V44" s="108"/>
      <c r="W44" s="108"/>
      <c r="X44" s="108"/>
      <c r="Y44" s="108"/>
      <c r="Z44" s="108"/>
      <c r="AA44" s="108"/>
      <c r="AB44" s="108"/>
      <c r="AC44" s="108"/>
      <c r="AE44" s="355"/>
      <c r="AG44" s="356"/>
      <c r="AH44" s="108"/>
      <c r="AI44" s="108"/>
      <c r="AK44" s="355"/>
      <c r="AM44" s="356"/>
      <c r="AN44" s="108"/>
      <c r="AO44" s="108"/>
      <c r="AP44" s="347"/>
      <c r="AQ44" s="347"/>
      <c r="AS44" s="355"/>
    </row>
    <row r="45" spans="1:45" ht="14.1" customHeight="1">
      <c r="A45" s="357"/>
      <c r="B45" s="127" t="s">
        <v>303</v>
      </c>
      <c r="C45" s="479"/>
      <c r="D45" s="723"/>
      <c r="E45" s="739"/>
      <c r="F45" s="359"/>
      <c r="G45" s="359"/>
      <c r="H45" s="359"/>
      <c r="I45" s="359"/>
      <c r="J45" s="360"/>
      <c r="K45" s="360"/>
      <c r="L45" s="360"/>
      <c r="M45" s="360"/>
      <c r="N45" s="360"/>
      <c r="O45" s="360"/>
      <c r="P45" s="361"/>
      <c r="Q45" s="362"/>
      <c r="R45" s="749"/>
      <c r="S45" s="359"/>
      <c r="T45" s="359"/>
      <c r="U45" s="359"/>
      <c r="V45" s="359"/>
      <c r="W45" s="359"/>
      <c r="X45" s="360"/>
      <c r="Y45" s="360"/>
      <c r="Z45" s="360"/>
      <c r="AA45" s="360"/>
      <c r="AB45" s="360"/>
      <c r="AC45" s="360"/>
      <c r="AD45" s="361"/>
      <c r="AE45" s="362"/>
      <c r="AG45" s="363"/>
      <c r="AH45" s="360"/>
      <c r="AI45" s="360"/>
      <c r="AJ45" s="361"/>
      <c r="AK45" s="362"/>
      <c r="AM45" s="363"/>
      <c r="AN45" s="360"/>
      <c r="AO45" s="360"/>
      <c r="AP45" s="365"/>
      <c r="AQ45" s="365"/>
      <c r="AS45" s="362"/>
    </row>
    <row r="46" spans="1:45" ht="14.1" customHeight="1">
      <c r="B46" s="480" t="s">
        <v>78</v>
      </c>
      <c r="C46" s="132"/>
      <c r="D46" s="724">
        <v>0.02</v>
      </c>
      <c r="E46" s="140">
        <v>0</v>
      </c>
      <c r="F46" s="91">
        <f t="shared" ref="F46:P46" si="81">E46*(1+P5GrowthRate)</f>
        <v>0</v>
      </c>
      <c r="G46" s="91">
        <f t="shared" si="81"/>
        <v>0</v>
      </c>
      <c r="H46" s="91">
        <f t="shared" si="81"/>
        <v>0</v>
      </c>
      <c r="I46" s="91">
        <f t="shared" si="81"/>
        <v>0</v>
      </c>
      <c r="J46" s="91">
        <f t="shared" si="81"/>
        <v>0</v>
      </c>
      <c r="K46" s="91">
        <f t="shared" si="81"/>
        <v>0</v>
      </c>
      <c r="L46" s="91">
        <f t="shared" si="81"/>
        <v>0</v>
      </c>
      <c r="M46" s="91">
        <f t="shared" si="81"/>
        <v>0</v>
      </c>
      <c r="N46" s="91">
        <f t="shared" si="81"/>
        <v>0</v>
      </c>
      <c r="O46" s="91">
        <f t="shared" si="81"/>
        <v>0</v>
      </c>
      <c r="P46" s="91">
        <f t="shared" si="81"/>
        <v>0</v>
      </c>
      <c r="Q46" s="481">
        <f>SUM(E46:P46)</f>
        <v>0</v>
      </c>
      <c r="R46" s="749"/>
      <c r="S46" s="91">
        <f>P46*(1+P5GrowthRate)</f>
        <v>0</v>
      </c>
      <c r="T46" s="91">
        <f t="shared" ref="T46:AD46" si="82">S46*(1+P5GrowthRate)</f>
        <v>0</v>
      </c>
      <c r="U46" s="91">
        <f t="shared" si="82"/>
        <v>0</v>
      </c>
      <c r="V46" s="91">
        <f t="shared" si="82"/>
        <v>0</v>
      </c>
      <c r="W46" s="91">
        <f t="shared" si="82"/>
        <v>0</v>
      </c>
      <c r="X46" s="91">
        <f t="shared" si="82"/>
        <v>0</v>
      </c>
      <c r="Y46" s="91">
        <f t="shared" si="82"/>
        <v>0</v>
      </c>
      <c r="Z46" s="91">
        <f t="shared" si="82"/>
        <v>0</v>
      </c>
      <c r="AA46" s="91">
        <f t="shared" si="82"/>
        <v>0</v>
      </c>
      <c r="AB46" s="91">
        <f t="shared" si="82"/>
        <v>0</v>
      </c>
      <c r="AC46" s="91">
        <f t="shared" si="82"/>
        <v>0</v>
      </c>
      <c r="AD46" s="91">
        <f t="shared" si="82"/>
        <v>0</v>
      </c>
      <c r="AE46" s="481">
        <f>SUM(S46:AD46)</f>
        <v>0</v>
      </c>
      <c r="AG46" s="139">
        <f>-FV(P5GrowthRate,3,($AD$46*(1+P5GrowthRate)))</f>
        <v>0</v>
      </c>
      <c r="AH46" s="140">
        <f>-FV(P5GrowthRate,6,($AD$46*(1+P5GrowthRate)))-AG46</f>
        <v>0</v>
      </c>
      <c r="AI46" s="142">
        <f>-FV(P5GrowthRate,9,($AD$46*(1+P5GrowthRate)))-SUM(AG46:AH46)</f>
        <v>0</v>
      </c>
      <c r="AJ46" s="141">
        <f>-FV(P5GrowthRate,12,($AD$46*(1+P5GrowthRate)))-SUM(AG46:AI46)</f>
        <v>0</v>
      </c>
      <c r="AK46" s="481">
        <f>SUM(AG46:AJ46)</f>
        <v>0</v>
      </c>
      <c r="AL46" s="331"/>
      <c r="AM46" s="139">
        <f>-FV(P5GrowthRate,15,($AD$46*(1+P5GrowthRate)))-AK46</f>
        <v>0</v>
      </c>
      <c r="AN46" s="140">
        <f>-FV(P5GrowthRate,18,($AD$46*(1+P5GrowthRate)))-SUM(AK46:AM46)</f>
        <v>0</v>
      </c>
      <c r="AO46" s="140">
        <f>-FV(P5GrowthRate,21,($AD$46*(1+P5GrowthRate)))-SUM(AK46:AN46)</f>
        <v>0</v>
      </c>
      <c r="AP46" s="141">
        <f>-FV(P5GrowthRate,24,($AD$46*(1+P5GrowthRate)))-SUM(AK46:AO46)</f>
        <v>0</v>
      </c>
      <c r="AQ46" s="482">
        <f>SUM(AM46:AP46)</f>
        <v>0</v>
      </c>
      <c r="AS46" s="92">
        <f>-FV(P5GrowthRate,36,($AD$46*(1+P5GrowthRate)))-AK46-AQ46</f>
        <v>0</v>
      </c>
    </row>
    <row r="47" spans="1:45" ht="14.1" customHeight="1">
      <c r="A47" s="357"/>
      <c r="B47" s="483" t="s">
        <v>79</v>
      </c>
      <c r="C47" s="129"/>
      <c r="D47" s="725"/>
      <c r="E47" s="147">
        <v>0</v>
      </c>
      <c r="F47" s="147">
        <f>E47</f>
        <v>0</v>
      </c>
      <c r="G47" s="147">
        <f t="shared" ref="G47:O47" si="83">F47</f>
        <v>0</v>
      </c>
      <c r="H47" s="147">
        <f t="shared" si="83"/>
        <v>0</v>
      </c>
      <c r="I47" s="147">
        <f t="shared" si="83"/>
        <v>0</v>
      </c>
      <c r="J47" s="147">
        <f t="shared" si="83"/>
        <v>0</v>
      </c>
      <c r="K47" s="147">
        <f t="shared" si="83"/>
        <v>0</v>
      </c>
      <c r="L47" s="147">
        <f t="shared" si="83"/>
        <v>0</v>
      </c>
      <c r="M47" s="147">
        <f t="shared" si="83"/>
        <v>0</v>
      </c>
      <c r="N47" s="147">
        <f t="shared" si="83"/>
        <v>0</v>
      </c>
      <c r="O47" s="147">
        <f t="shared" si="83"/>
        <v>0</v>
      </c>
      <c r="P47" s="147">
        <f>O47</f>
        <v>0</v>
      </c>
      <c r="Q47" s="484"/>
      <c r="R47" s="750"/>
      <c r="S47" s="146">
        <f>P47</f>
        <v>0</v>
      </c>
      <c r="T47" s="147">
        <f>S47</f>
        <v>0</v>
      </c>
      <c r="U47" s="147">
        <f t="shared" ref="U47:AC47" si="84">T47</f>
        <v>0</v>
      </c>
      <c r="V47" s="147">
        <f t="shared" si="84"/>
        <v>0</v>
      </c>
      <c r="W47" s="147">
        <f t="shared" si="84"/>
        <v>0</v>
      </c>
      <c r="X47" s="147">
        <f t="shared" si="84"/>
        <v>0</v>
      </c>
      <c r="Y47" s="147">
        <f t="shared" si="84"/>
        <v>0</v>
      </c>
      <c r="Z47" s="147">
        <f t="shared" si="84"/>
        <v>0</v>
      </c>
      <c r="AA47" s="147">
        <f t="shared" si="84"/>
        <v>0</v>
      </c>
      <c r="AB47" s="147">
        <f t="shared" si="84"/>
        <v>0</v>
      </c>
      <c r="AC47" s="147">
        <f t="shared" si="84"/>
        <v>0</v>
      </c>
      <c r="AD47" s="147">
        <f>AC47</f>
        <v>0</v>
      </c>
      <c r="AE47" s="484"/>
      <c r="AF47" s="368"/>
      <c r="AG47" s="150">
        <f>AD47</f>
        <v>0</v>
      </c>
      <c r="AH47" s="147">
        <f>AG47</f>
        <v>0</v>
      </c>
      <c r="AI47" s="147">
        <f>AH47</f>
        <v>0</v>
      </c>
      <c r="AJ47" s="147">
        <f>AI47</f>
        <v>0</v>
      </c>
      <c r="AK47" s="484"/>
      <c r="AL47" s="368"/>
      <c r="AM47" s="151">
        <f>AJ47</f>
        <v>0</v>
      </c>
      <c r="AN47" s="152">
        <f>AM47</f>
        <v>0</v>
      </c>
      <c r="AO47" s="152">
        <f>AN47</f>
        <v>0</v>
      </c>
      <c r="AP47" s="153">
        <f>AO47</f>
        <v>0</v>
      </c>
      <c r="AQ47" s="485"/>
      <c r="AR47" s="368"/>
      <c r="AS47" s="154">
        <f>AP47</f>
        <v>0</v>
      </c>
    </row>
    <row r="48" spans="1:45" ht="14.1" customHeight="1">
      <c r="A48" s="357"/>
      <c r="B48" s="486" t="s">
        <v>93</v>
      </c>
      <c r="C48" s="130"/>
      <c r="D48" s="726"/>
      <c r="E48" s="488">
        <f t="shared" ref="E48:P48" si="85">PRODUCT(E46:E47)</f>
        <v>0</v>
      </c>
      <c r="F48" s="488">
        <f t="shared" si="85"/>
        <v>0</v>
      </c>
      <c r="G48" s="488">
        <f t="shared" si="85"/>
        <v>0</v>
      </c>
      <c r="H48" s="488">
        <f t="shared" si="85"/>
        <v>0</v>
      </c>
      <c r="I48" s="488">
        <f t="shared" si="85"/>
        <v>0</v>
      </c>
      <c r="J48" s="488">
        <f t="shared" si="85"/>
        <v>0</v>
      </c>
      <c r="K48" s="488">
        <f t="shared" si="85"/>
        <v>0</v>
      </c>
      <c r="L48" s="488">
        <f t="shared" si="85"/>
        <v>0</v>
      </c>
      <c r="M48" s="488">
        <f t="shared" si="85"/>
        <v>0</v>
      </c>
      <c r="N48" s="488">
        <f t="shared" si="85"/>
        <v>0</v>
      </c>
      <c r="O48" s="488">
        <f t="shared" si="85"/>
        <v>0</v>
      </c>
      <c r="P48" s="489">
        <f t="shared" si="85"/>
        <v>0</v>
      </c>
      <c r="Q48" s="371">
        <f t="shared" ref="Q48:Q53" si="86">SUM(E48:P48)</f>
        <v>0</v>
      </c>
      <c r="R48" s="750"/>
      <c r="S48" s="487">
        <f t="shared" ref="S48:AD48" si="87">PRODUCT(S46:S47)</f>
        <v>0</v>
      </c>
      <c r="T48" s="488">
        <f t="shared" si="87"/>
        <v>0</v>
      </c>
      <c r="U48" s="488">
        <f t="shared" si="87"/>
        <v>0</v>
      </c>
      <c r="V48" s="488">
        <f t="shared" si="87"/>
        <v>0</v>
      </c>
      <c r="W48" s="488">
        <f t="shared" si="87"/>
        <v>0</v>
      </c>
      <c r="X48" s="488">
        <f t="shared" si="87"/>
        <v>0</v>
      </c>
      <c r="Y48" s="488">
        <f t="shared" si="87"/>
        <v>0</v>
      </c>
      <c r="Z48" s="488">
        <f t="shared" si="87"/>
        <v>0</v>
      </c>
      <c r="AA48" s="488">
        <f t="shared" si="87"/>
        <v>0</v>
      </c>
      <c r="AB48" s="488">
        <f t="shared" si="87"/>
        <v>0</v>
      </c>
      <c r="AC48" s="488">
        <f t="shared" si="87"/>
        <v>0</v>
      </c>
      <c r="AD48" s="489">
        <f t="shared" si="87"/>
        <v>0</v>
      </c>
      <c r="AE48" s="371">
        <f t="shared" ref="AE48:AE53" si="88">SUM(S48:AD48)</f>
        <v>0</v>
      </c>
      <c r="AF48" s="368"/>
      <c r="AG48" s="490">
        <f>PRODUCT(AG46:AG47)</f>
        <v>0</v>
      </c>
      <c r="AH48" s="488">
        <f>PRODUCT(AH46:AH47)</f>
        <v>0</v>
      </c>
      <c r="AI48" s="488">
        <f>PRODUCT(AI46:AI47)</f>
        <v>0</v>
      </c>
      <c r="AJ48" s="489">
        <f>PRODUCT(AJ46:AJ47)</f>
        <v>0</v>
      </c>
      <c r="AK48" s="369">
        <f t="shared" ref="AK48:AK53" si="89">SUM(AG48:AJ48)</f>
        <v>0</v>
      </c>
      <c r="AL48" s="368"/>
      <c r="AM48" s="490">
        <f>PRODUCT(AM46:AM47)</f>
        <v>0</v>
      </c>
      <c r="AN48" s="488">
        <f>PRODUCT(AN46:AN47)</f>
        <v>0</v>
      </c>
      <c r="AO48" s="488">
        <f>PRODUCT(AO46:AO47)</f>
        <v>0</v>
      </c>
      <c r="AP48" s="491">
        <f>PRODUCT(AP46:AP47)</f>
        <v>0</v>
      </c>
      <c r="AQ48" s="370">
        <f t="shared" ref="AQ48:AQ53" si="90">SUM(AM48:AP48)</f>
        <v>0</v>
      </c>
      <c r="AR48" s="368"/>
      <c r="AS48" s="371">
        <f>PRODUCT(AS46:AS47)</f>
        <v>0</v>
      </c>
    </row>
    <row r="49" spans="1:45" ht="14.1" customHeight="1">
      <c r="A49" s="357"/>
      <c r="B49" s="492" t="s">
        <v>80</v>
      </c>
      <c r="C49" s="532">
        <v>0.5</v>
      </c>
      <c r="D49" s="727">
        <v>0.15</v>
      </c>
      <c r="E49" s="525">
        <f t="shared" ref="E49:P49" si="91">E48*P5CommRate*P5CommSales</f>
        <v>0</v>
      </c>
      <c r="F49" s="493">
        <f t="shared" si="91"/>
        <v>0</v>
      </c>
      <c r="G49" s="493">
        <f t="shared" si="91"/>
        <v>0</v>
      </c>
      <c r="H49" s="493">
        <f t="shared" si="91"/>
        <v>0</v>
      </c>
      <c r="I49" s="493">
        <f t="shared" si="91"/>
        <v>0</v>
      </c>
      <c r="J49" s="493">
        <f t="shared" si="91"/>
        <v>0</v>
      </c>
      <c r="K49" s="493">
        <f t="shared" si="91"/>
        <v>0</v>
      </c>
      <c r="L49" s="493">
        <f t="shared" si="91"/>
        <v>0</v>
      </c>
      <c r="M49" s="493">
        <f t="shared" si="91"/>
        <v>0</v>
      </c>
      <c r="N49" s="493">
        <f t="shared" si="91"/>
        <v>0</v>
      </c>
      <c r="O49" s="493">
        <f t="shared" si="91"/>
        <v>0</v>
      </c>
      <c r="P49" s="493">
        <f t="shared" si="91"/>
        <v>0</v>
      </c>
      <c r="Q49" s="366">
        <f t="shared" si="86"/>
        <v>0</v>
      </c>
      <c r="R49" s="750"/>
      <c r="S49" s="493">
        <f t="shared" ref="S49:AD49" si="92">S48*P5CommRate*P5CommSales</f>
        <v>0</v>
      </c>
      <c r="T49" s="493">
        <f t="shared" si="92"/>
        <v>0</v>
      </c>
      <c r="U49" s="493">
        <f t="shared" si="92"/>
        <v>0</v>
      </c>
      <c r="V49" s="493">
        <f t="shared" si="92"/>
        <v>0</v>
      </c>
      <c r="W49" s="493">
        <f t="shared" si="92"/>
        <v>0</v>
      </c>
      <c r="X49" s="493">
        <f t="shared" si="92"/>
        <v>0</v>
      </c>
      <c r="Y49" s="493">
        <f t="shared" si="92"/>
        <v>0</v>
      </c>
      <c r="Z49" s="493">
        <f t="shared" si="92"/>
        <v>0</v>
      </c>
      <c r="AA49" s="493">
        <f t="shared" si="92"/>
        <v>0</v>
      </c>
      <c r="AB49" s="493">
        <f t="shared" si="92"/>
        <v>0</v>
      </c>
      <c r="AC49" s="493">
        <f t="shared" si="92"/>
        <v>0</v>
      </c>
      <c r="AD49" s="493">
        <f t="shared" si="92"/>
        <v>0</v>
      </c>
      <c r="AE49" s="366">
        <f t="shared" si="88"/>
        <v>0</v>
      </c>
      <c r="AF49" s="372"/>
      <c r="AG49" s="493">
        <f>AG48*P5CommRate*P5CommSales</f>
        <v>0</v>
      </c>
      <c r="AH49" s="493">
        <f>AH48*P5CommRate*P5CommSales</f>
        <v>0</v>
      </c>
      <c r="AI49" s="493">
        <f>AI48*P5CommRate*P5CommSales</f>
        <v>0</v>
      </c>
      <c r="AJ49" s="493">
        <f>AJ48*P5CommRate*P5CommSales</f>
        <v>0</v>
      </c>
      <c r="AK49" s="369">
        <f t="shared" si="89"/>
        <v>0</v>
      </c>
      <c r="AL49" s="372"/>
      <c r="AM49" s="493">
        <f>AM48*P5CommRate*P5CommSales</f>
        <v>0</v>
      </c>
      <c r="AN49" s="493">
        <f>AN48*P5CommRate*P5CommSales</f>
        <v>0</v>
      </c>
      <c r="AO49" s="493">
        <f>AO48*P5CommRate*P5CommSales</f>
        <v>0</v>
      </c>
      <c r="AP49" s="507">
        <f>AP48*P5CommRate*P5CommSales</f>
        <v>0</v>
      </c>
      <c r="AQ49" s="370">
        <f t="shared" si="90"/>
        <v>0</v>
      </c>
      <c r="AR49" s="372"/>
      <c r="AS49" s="366">
        <f>AS48*P5CommRate*P5CommSales</f>
        <v>0</v>
      </c>
    </row>
    <row r="50" spans="1:45" ht="14.1" customHeight="1">
      <c r="A50" s="357"/>
      <c r="B50" s="492" t="s">
        <v>81</v>
      </c>
      <c r="C50" s="124"/>
      <c r="D50" s="727">
        <v>0.03</v>
      </c>
      <c r="E50" s="525">
        <f t="shared" ref="E50:P50" si="93">E48*P1ReturnRate</f>
        <v>0</v>
      </c>
      <c r="F50" s="493">
        <f t="shared" si="93"/>
        <v>0</v>
      </c>
      <c r="G50" s="493">
        <f t="shared" si="93"/>
        <v>0</v>
      </c>
      <c r="H50" s="493">
        <f t="shared" si="93"/>
        <v>0</v>
      </c>
      <c r="I50" s="493">
        <f t="shared" si="93"/>
        <v>0</v>
      </c>
      <c r="J50" s="493">
        <f t="shared" si="93"/>
        <v>0</v>
      </c>
      <c r="K50" s="493">
        <f t="shared" si="93"/>
        <v>0</v>
      </c>
      <c r="L50" s="493">
        <f t="shared" si="93"/>
        <v>0</v>
      </c>
      <c r="M50" s="493">
        <f t="shared" si="93"/>
        <v>0</v>
      </c>
      <c r="N50" s="493">
        <f t="shared" si="93"/>
        <v>0</v>
      </c>
      <c r="O50" s="493">
        <f t="shared" si="93"/>
        <v>0</v>
      </c>
      <c r="P50" s="493">
        <f t="shared" si="93"/>
        <v>0</v>
      </c>
      <c r="Q50" s="366">
        <f t="shared" si="86"/>
        <v>0</v>
      </c>
      <c r="R50" s="750"/>
      <c r="S50" s="493">
        <f t="shared" ref="S50:AD50" si="94">S48*P1ReturnRate</f>
        <v>0</v>
      </c>
      <c r="T50" s="493">
        <f t="shared" si="94"/>
        <v>0</v>
      </c>
      <c r="U50" s="493">
        <f t="shared" si="94"/>
        <v>0</v>
      </c>
      <c r="V50" s="493">
        <f t="shared" si="94"/>
        <v>0</v>
      </c>
      <c r="W50" s="493">
        <f t="shared" si="94"/>
        <v>0</v>
      </c>
      <c r="X50" s="493">
        <f t="shared" si="94"/>
        <v>0</v>
      </c>
      <c r="Y50" s="493">
        <f t="shared" si="94"/>
        <v>0</v>
      </c>
      <c r="Z50" s="493">
        <f t="shared" si="94"/>
        <v>0</v>
      </c>
      <c r="AA50" s="493">
        <f t="shared" si="94"/>
        <v>0</v>
      </c>
      <c r="AB50" s="493">
        <f t="shared" si="94"/>
        <v>0</v>
      </c>
      <c r="AC50" s="493">
        <f t="shared" si="94"/>
        <v>0</v>
      </c>
      <c r="AD50" s="493">
        <f t="shared" si="94"/>
        <v>0</v>
      </c>
      <c r="AE50" s="366">
        <f t="shared" si="88"/>
        <v>0</v>
      </c>
      <c r="AF50" s="372"/>
      <c r="AG50" s="493">
        <f>AG48*P1ReturnRate</f>
        <v>0</v>
      </c>
      <c r="AH50" s="493">
        <f>AH48*P1ReturnRate</f>
        <v>0</v>
      </c>
      <c r="AI50" s="493">
        <f>AI48*P1ReturnRate</f>
        <v>0</v>
      </c>
      <c r="AJ50" s="493">
        <f>AJ48*P1ReturnRate</f>
        <v>0</v>
      </c>
      <c r="AK50" s="366">
        <f t="shared" si="89"/>
        <v>0</v>
      </c>
      <c r="AL50" s="372"/>
      <c r="AM50" s="493">
        <f>AM48*P1ReturnRate</f>
        <v>0</v>
      </c>
      <c r="AN50" s="493">
        <f>AN48*P1ReturnRate</f>
        <v>0</v>
      </c>
      <c r="AO50" s="493">
        <f>AO48*P1ReturnRate</f>
        <v>0</v>
      </c>
      <c r="AP50" s="507">
        <f>AP48*P1ReturnRate</f>
        <v>0</v>
      </c>
      <c r="AQ50" s="494">
        <f t="shared" si="90"/>
        <v>0</v>
      </c>
      <c r="AR50" s="372"/>
      <c r="AS50" s="366">
        <f>AS48*P5ReturnRate</f>
        <v>0</v>
      </c>
    </row>
    <row r="51" spans="1:45" ht="14.1" customHeight="1" thickBot="1">
      <c r="B51" s="495" t="s">
        <v>30</v>
      </c>
      <c r="C51" s="131"/>
      <c r="D51" s="728"/>
      <c r="E51" s="397">
        <f t="shared" ref="E51:P51" si="95">E48-E49-E50</f>
        <v>0</v>
      </c>
      <c r="F51" s="376">
        <f t="shared" si="95"/>
        <v>0</v>
      </c>
      <c r="G51" s="376">
        <f t="shared" si="95"/>
        <v>0</v>
      </c>
      <c r="H51" s="376">
        <f t="shared" si="95"/>
        <v>0</v>
      </c>
      <c r="I51" s="376">
        <f t="shared" si="95"/>
        <v>0</v>
      </c>
      <c r="J51" s="376">
        <f t="shared" si="95"/>
        <v>0</v>
      </c>
      <c r="K51" s="376">
        <f t="shared" si="95"/>
        <v>0</v>
      </c>
      <c r="L51" s="376">
        <f t="shared" si="95"/>
        <v>0</v>
      </c>
      <c r="M51" s="376">
        <f t="shared" si="95"/>
        <v>0</v>
      </c>
      <c r="N51" s="376">
        <f t="shared" si="95"/>
        <v>0</v>
      </c>
      <c r="O51" s="376">
        <f t="shared" si="95"/>
        <v>0</v>
      </c>
      <c r="P51" s="496">
        <f t="shared" si="95"/>
        <v>0</v>
      </c>
      <c r="Q51" s="377">
        <f t="shared" si="86"/>
        <v>0</v>
      </c>
      <c r="R51" s="750"/>
      <c r="S51" s="376">
        <f t="shared" ref="S51:AD51" si="96">S48-S49-S50</f>
        <v>0</v>
      </c>
      <c r="T51" s="376">
        <f t="shared" si="96"/>
        <v>0</v>
      </c>
      <c r="U51" s="376">
        <f t="shared" si="96"/>
        <v>0</v>
      </c>
      <c r="V51" s="376">
        <f t="shared" si="96"/>
        <v>0</v>
      </c>
      <c r="W51" s="376">
        <f t="shared" si="96"/>
        <v>0</v>
      </c>
      <c r="X51" s="376">
        <f t="shared" si="96"/>
        <v>0</v>
      </c>
      <c r="Y51" s="376">
        <f t="shared" si="96"/>
        <v>0</v>
      </c>
      <c r="Z51" s="376">
        <f t="shared" si="96"/>
        <v>0</v>
      </c>
      <c r="AA51" s="376">
        <f t="shared" si="96"/>
        <v>0</v>
      </c>
      <c r="AB51" s="376">
        <f t="shared" si="96"/>
        <v>0</v>
      </c>
      <c r="AC51" s="376">
        <f t="shared" si="96"/>
        <v>0</v>
      </c>
      <c r="AD51" s="496">
        <f t="shared" si="96"/>
        <v>0</v>
      </c>
      <c r="AE51" s="377">
        <f t="shared" si="88"/>
        <v>0</v>
      </c>
      <c r="AF51" s="368"/>
      <c r="AG51" s="676">
        <f>AG48-AG49-AG50</f>
        <v>0</v>
      </c>
      <c r="AH51" s="677">
        <f>AH48-AH49-AH50</f>
        <v>0</v>
      </c>
      <c r="AI51" s="677">
        <f>AI48-AI49-AI50</f>
        <v>0</v>
      </c>
      <c r="AJ51" s="678">
        <f>AJ48-AJ49-AJ50</f>
        <v>0</v>
      </c>
      <c r="AK51" s="679">
        <f t="shared" si="89"/>
        <v>0</v>
      </c>
      <c r="AL51" s="680"/>
      <c r="AM51" s="676">
        <f>AM48-AM49-AM50</f>
        <v>0</v>
      </c>
      <c r="AN51" s="677">
        <f>AN48-AN49-AN50</f>
        <v>0</v>
      </c>
      <c r="AO51" s="677">
        <f>AO48-AO49-AO50</f>
        <v>0</v>
      </c>
      <c r="AP51" s="681">
        <f>AP48-AP49-AP50</f>
        <v>0</v>
      </c>
      <c r="AQ51" s="682">
        <f t="shared" si="90"/>
        <v>0</v>
      </c>
      <c r="AR51" s="680"/>
      <c r="AS51" s="390">
        <f>AS48-AS49-AS50</f>
        <v>0</v>
      </c>
    </row>
    <row r="52" spans="1:45" ht="14.1" customHeight="1">
      <c r="B52" s="499" t="s">
        <v>181</v>
      </c>
      <c r="C52" s="133"/>
      <c r="D52" s="729">
        <v>0.5</v>
      </c>
      <c r="E52" s="740">
        <f t="shared" ref="E52:P52" si="97">E48*P5COG</f>
        <v>0</v>
      </c>
      <c r="F52" s="500">
        <f t="shared" si="97"/>
        <v>0</v>
      </c>
      <c r="G52" s="500">
        <f t="shared" si="97"/>
        <v>0</v>
      </c>
      <c r="H52" s="500">
        <f t="shared" si="97"/>
        <v>0</v>
      </c>
      <c r="I52" s="500">
        <f t="shared" si="97"/>
        <v>0</v>
      </c>
      <c r="J52" s="500">
        <f t="shared" si="97"/>
        <v>0</v>
      </c>
      <c r="K52" s="500">
        <f t="shared" si="97"/>
        <v>0</v>
      </c>
      <c r="L52" s="500">
        <f t="shared" si="97"/>
        <v>0</v>
      </c>
      <c r="M52" s="500">
        <f t="shared" si="97"/>
        <v>0</v>
      </c>
      <c r="N52" s="500">
        <f t="shared" si="97"/>
        <v>0</v>
      </c>
      <c r="O52" s="500">
        <f t="shared" si="97"/>
        <v>0</v>
      </c>
      <c r="P52" s="500">
        <f t="shared" si="97"/>
        <v>0</v>
      </c>
      <c r="Q52" s="501">
        <f t="shared" si="86"/>
        <v>0</v>
      </c>
      <c r="R52" s="750"/>
      <c r="S52" s="500">
        <f t="shared" ref="S52:AD52" si="98">S48*P5COG</f>
        <v>0</v>
      </c>
      <c r="T52" s="500">
        <f t="shared" si="98"/>
        <v>0</v>
      </c>
      <c r="U52" s="500">
        <f t="shared" si="98"/>
        <v>0</v>
      </c>
      <c r="V52" s="500">
        <f t="shared" si="98"/>
        <v>0</v>
      </c>
      <c r="W52" s="500">
        <f t="shared" si="98"/>
        <v>0</v>
      </c>
      <c r="X52" s="500">
        <f t="shared" si="98"/>
        <v>0</v>
      </c>
      <c r="Y52" s="500">
        <f t="shared" si="98"/>
        <v>0</v>
      </c>
      <c r="Z52" s="500">
        <f t="shared" si="98"/>
        <v>0</v>
      </c>
      <c r="AA52" s="500">
        <f t="shared" si="98"/>
        <v>0</v>
      </c>
      <c r="AB52" s="500">
        <f t="shared" si="98"/>
        <v>0</v>
      </c>
      <c r="AC52" s="500">
        <f t="shared" si="98"/>
        <v>0</v>
      </c>
      <c r="AD52" s="500">
        <f t="shared" si="98"/>
        <v>0</v>
      </c>
      <c r="AE52" s="501">
        <f t="shared" si="88"/>
        <v>0</v>
      </c>
      <c r="AF52" s="372"/>
      <c r="AG52" s="500">
        <f>AG48*P5COG</f>
        <v>0</v>
      </c>
      <c r="AH52" s="500">
        <f>AH48*P5COG</f>
        <v>0</v>
      </c>
      <c r="AI52" s="500">
        <f>AI48*P5COG</f>
        <v>0</v>
      </c>
      <c r="AJ52" s="500">
        <f>AJ48*P5COG</f>
        <v>0</v>
      </c>
      <c r="AK52" s="501">
        <f t="shared" si="89"/>
        <v>0</v>
      </c>
      <c r="AL52" s="372"/>
      <c r="AM52" s="500">
        <f>AM48*P5COG</f>
        <v>0</v>
      </c>
      <c r="AN52" s="500">
        <f>AN48*P5COG</f>
        <v>0</v>
      </c>
      <c r="AO52" s="500">
        <f>AO48*P5COG</f>
        <v>0</v>
      </c>
      <c r="AP52" s="509">
        <f>AP48*P5COG</f>
        <v>0</v>
      </c>
      <c r="AQ52" s="367">
        <f t="shared" si="90"/>
        <v>0</v>
      </c>
      <c r="AR52" s="372"/>
      <c r="AS52" s="501">
        <f>AS48*P5COG</f>
        <v>0</v>
      </c>
    </row>
    <row r="53" spans="1:45" ht="14.1" customHeight="1" thickBot="1">
      <c r="B53" s="721" t="s">
        <v>31</v>
      </c>
      <c r="C53" s="134"/>
      <c r="D53" s="730"/>
      <c r="E53" s="741">
        <f t="shared" ref="E53:P53" si="99">E51-E52</f>
        <v>0</v>
      </c>
      <c r="F53" s="503">
        <f t="shared" si="99"/>
        <v>0</v>
      </c>
      <c r="G53" s="503">
        <f t="shared" si="99"/>
        <v>0</v>
      </c>
      <c r="H53" s="503">
        <f t="shared" si="99"/>
        <v>0</v>
      </c>
      <c r="I53" s="503">
        <f t="shared" si="99"/>
        <v>0</v>
      </c>
      <c r="J53" s="503">
        <f t="shared" si="99"/>
        <v>0</v>
      </c>
      <c r="K53" s="503">
        <f t="shared" si="99"/>
        <v>0</v>
      </c>
      <c r="L53" s="503">
        <f t="shared" si="99"/>
        <v>0</v>
      </c>
      <c r="M53" s="503">
        <f t="shared" si="99"/>
        <v>0</v>
      </c>
      <c r="N53" s="503">
        <f t="shared" si="99"/>
        <v>0</v>
      </c>
      <c r="O53" s="503">
        <f t="shared" si="99"/>
        <v>0</v>
      </c>
      <c r="P53" s="503">
        <f t="shared" si="99"/>
        <v>0</v>
      </c>
      <c r="Q53" s="504">
        <f t="shared" si="86"/>
        <v>0</v>
      </c>
      <c r="R53" s="750"/>
      <c r="S53" s="503">
        <f t="shared" ref="S53:AD53" si="100">S51-S52</f>
        <v>0</v>
      </c>
      <c r="T53" s="503">
        <f t="shared" si="100"/>
        <v>0</v>
      </c>
      <c r="U53" s="503">
        <f t="shared" si="100"/>
        <v>0</v>
      </c>
      <c r="V53" s="503">
        <f t="shared" si="100"/>
        <v>0</v>
      </c>
      <c r="W53" s="503">
        <f t="shared" si="100"/>
        <v>0</v>
      </c>
      <c r="X53" s="503">
        <f t="shared" si="100"/>
        <v>0</v>
      </c>
      <c r="Y53" s="503">
        <f t="shared" si="100"/>
        <v>0</v>
      </c>
      <c r="Z53" s="503">
        <f t="shared" si="100"/>
        <v>0</v>
      </c>
      <c r="AA53" s="503">
        <f t="shared" si="100"/>
        <v>0</v>
      </c>
      <c r="AB53" s="503">
        <f t="shared" si="100"/>
        <v>0</v>
      </c>
      <c r="AC53" s="503">
        <f t="shared" si="100"/>
        <v>0</v>
      </c>
      <c r="AD53" s="503">
        <f t="shared" si="100"/>
        <v>0</v>
      </c>
      <c r="AE53" s="504">
        <f t="shared" si="88"/>
        <v>0</v>
      </c>
      <c r="AF53" s="372"/>
      <c r="AG53" s="503">
        <f>AG51-AG52</f>
        <v>0</v>
      </c>
      <c r="AH53" s="503">
        <f>AH51-AH52</f>
        <v>0</v>
      </c>
      <c r="AI53" s="503">
        <f>AI51-AI52</f>
        <v>0</v>
      </c>
      <c r="AJ53" s="503">
        <f>AJ51-AJ52</f>
        <v>0</v>
      </c>
      <c r="AK53" s="377">
        <f t="shared" si="89"/>
        <v>0</v>
      </c>
      <c r="AL53" s="372"/>
      <c r="AM53" s="503">
        <f>AM51-AM52</f>
        <v>0</v>
      </c>
      <c r="AN53" s="503">
        <f>AN51-AN52</f>
        <v>0</v>
      </c>
      <c r="AO53" s="503">
        <f>AO51-AO52</f>
        <v>0</v>
      </c>
      <c r="AP53" s="505">
        <f>AP51-AP52</f>
        <v>0</v>
      </c>
      <c r="AQ53" s="505">
        <f t="shared" si="90"/>
        <v>0</v>
      </c>
      <c r="AR53" s="372"/>
      <c r="AS53" s="504">
        <f>AS51-AS52</f>
        <v>0</v>
      </c>
    </row>
    <row r="54" spans="1:45" s="110" customFormat="1" ht="14.1" customHeight="1">
      <c r="A54" s="108"/>
      <c r="B54" s="378"/>
      <c r="C54" s="126"/>
      <c r="D54" s="722"/>
      <c r="E54" s="378"/>
      <c r="F54" s="108"/>
      <c r="G54" s="108"/>
      <c r="H54" s="108"/>
      <c r="I54" s="108"/>
      <c r="J54" s="108"/>
      <c r="K54" s="108"/>
      <c r="L54" s="108"/>
      <c r="M54" s="108"/>
      <c r="N54" s="108"/>
      <c r="O54" s="108"/>
      <c r="Q54" s="355"/>
      <c r="R54" s="748"/>
      <c r="S54" s="108"/>
      <c r="T54" s="108"/>
      <c r="U54" s="108"/>
      <c r="V54" s="108"/>
      <c r="W54" s="108"/>
      <c r="X54" s="108"/>
      <c r="Y54" s="108"/>
      <c r="Z54" s="108"/>
      <c r="AA54" s="108"/>
      <c r="AB54" s="108"/>
      <c r="AC54" s="108"/>
      <c r="AE54" s="355"/>
      <c r="AG54" s="356"/>
      <c r="AH54" s="108"/>
      <c r="AI54" s="108"/>
      <c r="AK54" s="355"/>
      <c r="AM54" s="356"/>
      <c r="AN54" s="108"/>
      <c r="AO54" s="108"/>
      <c r="AP54" s="347"/>
      <c r="AQ54" s="347"/>
      <c r="AS54" s="355"/>
    </row>
    <row r="55" spans="1:45" ht="14.1" customHeight="1">
      <c r="A55" s="357"/>
      <c r="B55" s="127" t="s">
        <v>304</v>
      </c>
      <c r="C55" s="479"/>
      <c r="D55" s="723"/>
      <c r="E55" s="739"/>
      <c r="F55" s="359"/>
      <c r="G55" s="359"/>
      <c r="H55" s="359"/>
      <c r="I55" s="359"/>
      <c r="J55" s="360"/>
      <c r="K55" s="360"/>
      <c r="L55" s="360"/>
      <c r="M55" s="360"/>
      <c r="N55" s="360"/>
      <c r="O55" s="360"/>
      <c r="P55" s="361"/>
      <c r="Q55" s="362"/>
      <c r="R55" s="749"/>
      <c r="S55" s="359"/>
      <c r="T55" s="359"/>
      <c r="U55" s="359"/>
      <c r="V55" s="359"/>
      <c r="W55" s="359"/>
      <c r="X55" s="360"/>
      <c r="Y55" s="360"/>
      <c r="Z55" s="360"/>
      <c r="AA55" s="360"/>
      <c r="AB55" s="360"/>
      <c r="AC55" s="360"/>
      <c r="AD55" s="361"/>
      <c r="AE55" s="362"/>
      <c r="AG55" s="363"/>
      <c r="AH55" s="360"/>
      <c r="AI55" s="360"/>
      <c r="AJ55" s="361"/>
      <c r="AK55" s="362"/>
      <c r="AM55" s="363"/>
      <c r="AN55" s="360"/>
      <c r="AO55" s="360"/>
      <c r="AP55" s="365"/>
      <c r="AQ55" s="365"/>
      <c r="AS55" s="362"/>
    </row>
    <row r="56" spans="1:45" ht="14.1" customHeight="1">
      <c r="B56" s="480" t="s">
        <v>78</v>
      </c>
      <c r="C56" s="132"/>
      <c r="D56" s="724">
        <v>0.02</v>
      </c>
      <c r="E56" s="140">
        <v>0</v>
      </c>
      <c r="F56" s="91">
        <f t="shared" ref="F56:P56" si="101">E56*(1+P6GrowthRate)</f>
        <v>0</v>
      </c>
      <c r="G56" s="91">
        <f t="shared" si="101"/>
        <v>0</v>
      </c>
      <c r="H56" s="91">
        <f t="shared" si="101"/>
        <v>0</v>
      </c>
      <c r="I56" s="91">
        <f t="shared" si="101"/>
        <v>0</v>
      </c>
      <c r="J56" s="91">
        <f t="shared" si="101"/>
        <v>0</v>
      </c>
      <c r="K56" s="91">
        <f t="shared" si="101"/>
        <v>0</v>
      </c>
      <c r="L56" s="91">
        <f t="shared" si="101"/>
        <v>0</v>
      </c>
      <c r="M56" s="91">
        <f t="shared" si="101"/>
        <v>0</v>
      </c>
      <c r="N56" s="91">
        <f t="shared" si="101"/>
        <v>0</v>
      </c>
      <c r="O56" s="91">
        <f t="shared" si="101"/>
        <v>0</v>
      </c>
      <c r="P56" s="91">
        <f t="shared" si="101"/>
        <v>0</v>
      </c>
      <c r="Q56" s="481">
        <f>SUM(E56:P56)</f>
        <v>0</v>
      </c>
      <c r="R56" s="749"/>
      <c r="S56" s="91">
        <f>P56*(1+P6GrowthRate)</f>
        <v>0</v>
      </c>
      <c r="T56" s="91">
        <f t="shared" ref="T56:AD56" si="102">S56*(1+P6GrowthRate)</f>
        <v>0</v>
      </c>
      <c r="U56" s="91">
        <f t="shared" si="102"/>
        <v>0</v>
      </c>
      <c r="V56" s="91">
        <f t="shared" si="102"/>
        <v>0</v>
      </c>
      <c r="W56" s="91">
        <f t="shared" si="102"/>
        <v>0</v>
      </c>
      <c r="X56" s="91">
        <f t="shared" si="102"/>
        <v>0</v>
      </c>
      <c r="Y56" s="91">
        <f t="shared" si="102"/>
        <v>0</v>
      </c>
      <c r="Z56" s="91">
        <f t="shared" si="102"/>
        <v>0</v>
      </c>
      <c r="AA56" s="91">
        <f t="shared" si="102"/>
        <v>0</v>
      </c>
      <c r="AB56" s="91">
        <f t="shared" si="102"/>
        <v>0</v>
      </c>
      <c r="AC56" s="91">
        <f t="shared" si="102"/>
        <v>0</v>
      </c>
      <c r="AD56" s="91">
        <f t="shared" si="102"/>
        <v>0</v>
      </c>
      <c r="AE56" s="481">
        <f>SUM(S56:AD56)</f>
        <v>0</v>
      </c>
      <c r="AG56" s="139">
        <f>-FV(P6GrowthRate,3,($AD$56*(1+P6GrowthRate)))</f>
        <v>0</v>
      </c>
      <c r="AH56" s="140">
        <f>-FV(P6GrowthRate,6,($AD$56*(1+P6GrowthRate)))-AG56</f>
        <v>0</v>
      </c>
      <c r="AI56" s="142">
        <f>-FV(P6GrowthRate,9,($AD$56*(1+P6GrowthRate)))-SUM(AG56:AH56)</f>
        <v>0</v>
      </c>
      <c r="AJ56" s="141">
        <f>-FV(P6GrowthRate,12,($AD$56*(1+P6GrowthRate)))-SUM(AG56:AI56)</f>
        <v>0</v>
      </c>
      <c r="AK56" s="481">
        <f>SUM(AG56:AJ56)</f>
        <v>0</v>
      </c>
      <c r="AL56" s="331"/>
      <c r="AM56" s="139">
        <f>-FV(P6GrowthRate,15,($AD$56*(1+P6GrowthRate)))-AK56</f>
        <v>0</v>
      </c>
      <c r="AN56" s="140">
        <f>-FV(P6GrowthRate,18,($AD$56*(1+P6GrowthRate)))-SUM(AK56:AM56)</f>
        <v>0</v>
      </c>
      <c r="AO56" s="140">
        <f>-FV(P6GrowthRate,21,($AD$56*(1+P6GrowthRate)))-SUM(AK56:AN56)</f>
        <v>0</v>
      </c>
      <c r="AP56" s="141">
        <f>-FV(P6GrowthRate,24,($AD$56*(1+P6GrowthRate)))-SUM(AK56:AO56)</f>
        <v>0</v>
      </c>
      <c r="AQ56" s="482">
        <f>SUM(AM56:AP56)</f>
        <v>0</v>
      </c>
      <c r="AS56" s="92">
        <f>-FV(P6GrowthRate,36,($AD$56*(1+P6GrowthRate)))-AK56-AQ56</f>
        <v>0</v>
      </c>
    </row>
    <row r="57" spans="1:45" ht="14.1" customHeight="1">
      <c r="A57" s="357"/>
      <c r="B57" s="483" t="s">
        <v>79</v>
      </c>
      <c r="C57" s="129"/>
      <c r="D57" s="725"/>
      <c r="E57" s="147">
        <v>0</v>
      </c>
      <c r="F57" s="147">
        <f>E57</f>
        <v>0</v>
      </c>
      <c r="G57" s="147">
        <f t="shared" ref="G57:O57" si="103">F57</f>
        <v>0</v>
      </c>
      <c r="H57" s="147">
        <f t="shared" si="103"/>
        <v>0</v>
      </c>
      <c r="I57" s="147">
        <f t="shared" si="103"/>
        <v>0</v>
      </c>
      <c r="J57" s="147">
        <f t="shared" si="103"/>
        <v>0</v>
      </c>
      <c r="K57" s="147">
        <f t="shared" si="103"/>
        <v>0</v>
      </c>
      <c r="L57" s="147">
        <f t="shared" si="103"/>
        <v>0</v>
      </c>
      <c r="M57" s="147">
        <f t="shared" si="103"/>
        <v>0</v>
      </c>
      <c r="N57" s="147">
        <f t="shared" si="103"/>
        <v>0</v>
      </c>
      <c r="O57" s="147">
        <f t="shared" si="103"/>
        <v>0</v>
      </c>
      <c r="P57" s="147">
        <f>O57</f>
        <v>0</v>
      </c>
      <c r="Q57" s="484"/>
      <c r="R57" s="750"/>
      <c r="S57" s="146">
        <f>P57</f>
        <v>0</v>
      </c>
      <c r="T57" s="147">
        <f>S57</f>
        <v>0</v>
      </c>
      <c r="U57" s="147">
        <f t="shared" ref="U57:AC57" si="104">T57</f>
        <v>0</v>
      </c>
      <c r="V57" s="147">
        <f t="shared" si="104"/>
        <v>0</v>
      </c>
      <c r="W57" s="147">
        <f t="shared" si="104"/>
        <v>0</v>
      </c>
      <c r="X57" s="147">
        <f t="shared" si="104"/>
        <v>0</v>
      </c>
      <c r="Y57" s="147">
        <f t="shared" si="104"/>
        <v>0</v>
      </c>
      <c r="Z57" s="147">
        <f t="shared" si="104"/>
        <v>0</v>
      </c>
      <c r="AA57" s="147">
        <f t="shared" si="104"/>
        <v>0</v>
      </c>
      <c r="AB57" s="147">
        <f t="shared" si="104"/>
        <v>0</v>
      </c>
      <c r="AC57" s="147">
        <f t="shared" si="104"/>
        <v>0</v>
      </c>
      <c r="AD57" s="147">
        <f>AC57</f>
        <v>0</v>
      </c>
      <c r="AE57" s="484"/>
      <c r="AF57" s="368"/>
      <c r="AG57" s="150">
        <f>AD57</f>
        <v>0</v>
      </c>
      <c r="AH57" s="147">
        <f>AG57</f>
        <v>0</v>
      </c>
      <c r="AI57" s="147">
        <f>AH57</f>
        <v>0</v>
      </c>
      <c r="AJ57" s="147">
        <f>AI57</f>
        <v>0</v>
      </c>
      <c r="AK57" s="484"/>
      <c r="AL57" s="368"/>
      <c r="AM57" s="151">
        <f>AJ57</f>
        <v>0</v>
      </c>
      <c r="AN57" s="152">
        <f>AM57</f>
        <v>0</v>
      </c>
      <c r="AO57" s="152">
        <f>AN57</f>
        <v>0</v>
      </c>
      <c r="AP57" s="153">
        <f>AO57</f>
        <v>0</v>
      </c>
      <c r="AQ57" s="485"/>
      <c r="AR57" s="368"/>
      <c r="AS57" s="154">
        <f>AP57</f>
        <v>0</v>
      </c>
    </row>
    <row r="58" spans="1:45" ht="14.1" customHeight="1">
      <c r="A58" s="357"/>
      <c r="B58" s="486" t="s">
        <v>93</v>
      </c>
      <c r="C58" s="130"/>
      <c r="D58" s="726"/>
      <c r="E58" s="488">
        <f t="shared" ref="E58:P58" si="105">PRODUCT(E56:E57)</f>
        <v>0</v>
      </c>
      <c r="F58" s="488">
        <f t="shared" si="105"/>
        <v>0</v>
      </c>
      <c r="G58" s="488">
        <f t="shared" si="105"/>
        <v>0</v>
      </c>
      <c r="H58" s="488">
        <f t="shared" si="105"/>
        <v>0</v>
      </c>
      <c r="I58" s="488">
        <f t="shared" si="105"/>
        <v>0</v>
      </c>
      <c r="J58" s="488">
        <f t="shared" si="105"/>
        <v>0</v>
      </c>
      <c r="K58" s="488">
        <f t="shared" si="105"/>
        <v>0</v>
      </c>
      <c r="L58" s="488">
        <f t="shared" si="105"/>
        <v>0</v>
      </c>
      <c r="M58" s="488">
        <f t="shared" si="105"/>
        <v>0</v>
      </c>
      <c r="N58" s="488">
        <f t="shared" si="105"/>
        <v>0</v>
      </c>
      <c r="O58" s="488">
        <f t="shared" si="105"/>
        <v>0</v>
      </c>
      <c r="P58" s="489">
        <f t="shared" si="105"/>
        <v>0</v>
      </c>
      <c r="Q58" s="371">
        <f t="shared" ref="Q58:Q63" si="106">SUM(E58:P58)</f>
        <v>0</v>
      </c>
      <c r="R58" s="750"/>
      <c r="S58" s="487">
        <f t="shared" ref="S58:AD58" si="107">PRODUCT(S56:S57)</f>
        <v>0</v>
      </c>
      <c r="T58" s="488">
        <f t="shared" si="107"/>
        <v>0</v>
      </c>
      <c r="U58" s="488">
        <f t="shared" si="107"/>
        <v>0</v>
      </c>
      <c r="V58" s="488">
        <f t="shared" si="107"/>
        <v>0</v>
      </c>
      <c r="W58" s="488">
        <f t="shared" si="107"/>
        <v>0</v>
      </c>
      <c r="X58" s="488">
        <f t="shared" si="107"/>
        <v>0</v>
      </c>
      <c r="Y58" s="488">
        <f t="shared" si="107"/>
        <v>0</v>
      </c>
      <c r="Z58" s="488">
        <f t="shared" si="107"/>
        <v>0</v>
      </c>
      <c r="AA58" s="488">
        <f t="shared" si="107"/>
        <v>0</v>
      </c>
      <c r="AB58" s="488">
        <f t="shared" si="107"/>
        <v>0</v>
      </c>
      <c r="AC58" s="488">
        <f t="shared" si="107"/>
        <v>0</v>
      </c>
      <c r="AD58" s="489">
        <f t="shared" si="107"/>
        <v>0</v>
      </c>
      <c r="AE58" s="371">
        <f t="shared" ref="AE58:AE63" si="108">SUM(S58:AD58)</f>
        <v>0</v>
      </c>
      <c r="AF58" s="368"/>
      <c r="AG58" s="490">
        <f>PRODUCT(AG56:AG57)</f>
        <v>0</v>
      </c>
      <c r="AH58" s="488">
        <f>PRODUCT(AH56:AH57)</f>
        <v>0</v>
      </c>
      <c r="AI58" s="488">
        <f>PRODUCT(AI56:AI57)</f>
        <v>0</v>
      </c>
      <c r="AJ58" s="489">
        <f>PRODUCT(AJ56:AJ57)</f>
        <v>0</v>
      </c>
      <c r="AK58" s="369">
        <f t="shared" ref="AK58:AK63" si="109">SUM(AG58:AJ58)</f>
        <v>0</v>
      </c>
      <c r="AL58" s="368"/>
      <c r="AM58" s="490">
        <f>PRODUCT(AM56:AM57)</f>
        <v>0</v>
      </c>
      <c r="AN58" s="488">
        <f>PRODUCT(AN56:AN57)</f>
        <v>0</v>
      </c>
      <c r="AO58" s="488">
        <f>PRODUCT(AO56:AO57)</f>
        <v>0</v>
      </c>
      <c r="AP58" s="491">
        <f>PRODUCT(AP56:AP57)</f>
        <v>0</v>
      </c>
      <c r="AQ58" s="370">
        <f t="shared" ref="AQ58:AQ63" si="110">SUM(AM58:AP58)</f>
        <v>0</v>
      </c>
      <c r="AR58" s="368"/>
      <c r="AS58" s="371">
        <f>PRODUCT(AS56:AS57)</f>
        <v>0</v>
      </c>
    </row>
    <row r="59" spans="1:45" ht="14.1" customHeight="1">
      <c r="A59" s="357"/>
      <c r="B59" s="492" t="s">
        <v>80</v>
      </c>
      <c r="C59" s="532">
        <v>0.5</v>
      </c>
      <c r="D59" s="727">
        <v>0.15</v>
      </c>
      <c r="E59" s="525">
        <f t="shared" ref="E59:P59" si="111">E58*P6CommRate*P6CommSales</f>
        <v>0</v>
      </c>
      <c r="F59" s="493">
        <f t="shared" si="111"/>
        <v>0</v>
      </c>
      <c r="G59" s="493">
        <f t="shared" si="111"/>
        <v>0</v>
      </c>
      <c r="H59" s="493">
        <f t="shared" si="111"/>
        <v>0</v>
      </c>
      <c r="I59" s="493">
        <f t="shared" si="111"/>
        <v>0</v>
      </c>
      <c r="J59" s="493">
        <f t="shared" si="111"/>
        <v>0</v>
      </c>
      <c r="K59" s="493">
        <f t="shared" si="111"/>
        <v>0</v>
      </c>
      <c r="L59" s="493">
        <f t="shared" si="111"/>
        <v>0</v>
      </c>
      <c r="M59" s="493">
        <f t="shared" si="111"/>
        <v>0</v>
      </c>
      <c r="N59" s="493">
        <f t="shared" si="111"/>
        <v>0</v>
      </c>
      <c r="O59" s="493">
        <f t="shared" si="111"/>
        <v>0</v>
      </c>
      <c r="P59" s="493">
        <f t="shared" si="111"/>
        <v>0</v>
      </c>
      <c r="Q59" s="366">
        <f t="shared" si="106"/>
        <v>0</v>
      </c>
      <c r="R59" s="750"/>
      <c r="S59" s="493">
        <f t="shared" ref="S59:AD59" si="112">S58*P6CommRate*P6CommSales</f>
        <v>0</v>
      </c>
      <c r="T59" s="493">
        <f t="shared" si="112"/>
        <v>0</v>
      </c>
      <c r="U59" s="493">
        <f t="shared" si="112"/>
        <v>0</v>
      </c>
      <c r="V59" s="493">
        <f t="shared" si="112"/>
        <v>0</v>
      </c>
      <c r="W59" s="493">
        <f t="shared" si="112"/>
        <v>0</v>
      </c>
      <c r="X59" s="493">
        <f t="shared" si="112"/>
        <v>0</v>
      </c>
      <c r="Y59" s="493">
        <f t="shared" si="112"/>
        <v>0</v>
      </c>
      <c r="Z59" s="493">
        <f t="shared" si="112"/>
        <v>0</v>
      </c>
      <c r="AA59" s="493">
        <f t="shared" si="112"/>
        <v>0</v>
      </c>
      <c r="AB59" s="493">
        <f t="shared" si="112"/>
        <v>0</v>
      </c>
      <c r="AC59" s="493">
        <f t="shared" si="112"/>
        <v>0</v>
      </c>
      <c r="AD59" s="493">
        <f t="shared" si="112"/>
        <v>0</v>
      </c>
      <c r="AE59" s="366">
        <f t="shared" si="108"/>
        <v>0</v>
      </c>
      <c r="AF59" s="372"/>
      <c r="AG59" s="493">
        <f>AG58*P6CommRate*P6CommSales</f>
        <v>0</v>
      </c>
      <c r="AH59" s="493">
        <f>AH58*P6CommRate*P6CommSales</f>
        <v>0</v>
      </c>
      <c r="AI59" s="493">
        <f>AI58*P6CommRate*P6CommSales</f>
        <v>0</v>
      </c>
      <c r="AJ59" s="493">
        <f>AJ58*P6CommRate*P6CommSales</f>
        <v>0</v>
      </c>
      <c r="AK59" s="369">
        <f t="shared" si="109"/>
        <v>0</v>
      </c>
      <c r="AL59" s="372"/>
      <c r="AM59" s="493">
        <f>AM58*P6CommRate*P6CommSales</f>
        <v>0</v>
      </c>
      <c r="AN59" s="493">
        <f>AN58*P6CommRate*P6CommSales</f>
        <v>0</v>
      </c>
      <c r="AO59" s="493">
        <f>AO58*P6CommRate*P6CommSales</f>
        <v>0</v>
      </c>
      <c r="AP59" s="507">
        <f>AP58*P6CommRate*P6CommSales</f>
        <v>0</v>
      </c>
      <c r="AQ59" s="370">
        <f t="shared" si="110"/>
        <v>0</v>
      </c>
      <c r="AR59" s="372"/>
      <c r="AS59" s="366">
        <f>AS58*P6CommRate*P6CommSales</f>
        <v>0</v>
      </c>
    </row>
    <row r="60" spans="1:45" ht="14.1" customHeight="1">
      <c r="A60" s="357"/>
      <c r="B60" s="492" t="s">
        <v>81</v>
      </c>
      <c r="C60" s="124"/>
      <c r="D60" s="727">
        <v>0.03</v>
      </c>
      <c r="E60" s="525">
        <f t="shared" ref="E60:P60" si="113">E58*P6ReturnRate</f>
        <v>0</v>
      </c>
      <c r="F60" s="493">
        <f t="shared" si="113"/>
        <v>0</v>
      </c>
      <c r="G60" s="493">
        <f t="shared" si="113"/>
        <v>0</v>
      </c>
      <c r="H60" s="493">
        <f t="shared" si="113"/>
        <v>0</v>
      </c>
      <c r="I60" s="493">
        <f t="shared" si="113"/>
        <v>0</v>
      </c>
      <c r="J60" s="493">
        <f t="shared" si="113"/>
        <v>0</v>
      </c>
      <c r="K60" s="493">
        <f t="shared" si="113"/>
        <v>0</v>
      </c>
      <c r="L60" s="493">
        <f t="shared" si="113"/>
        <v>0</v>
      </c>
      <c r="M60" s="493">
        <f t="shared" si="113"/>
        <v>0</v>
      </c>
      <c r="N60" s="493">
        <f t="shared" si="113"/>
        <v>0</v>
      </c>
      <c r="O60" s="493">
        <f t="shared" si="113"/>
        <v>0</v>
      </c>
      <c r="P60" s="493">
        <f t="shared" si="113"/>
        <v>0</v>
      </c>
      <c r="Q60" s="366">
        <f t="shared" si="106"/>
        <v>0</v>
      </c>
      <c r="R60" s="750"/>
      <c r="S60" s="493">
        <f t="shared" ref="S60:AD60" si="114">S58*P6ReturnRate</f>
        <v>0</v>
      </c>
      <c r="T60" s="493">
        <f t="shared" si="114"/>
        <v>0</v>
      </c>
      <c r="U60" s="493">
        <f t="shared" si="114"/>
        <v>0</v>
      </c>
      <c r="V60" s="493">
        <f t="shared" si="114"/>
        <v>0</v>
      </c>
      <c r="W60" s="493">
        <f t="shared" si="114"/>
        <v>0</v>
      </c>
      <c r="X60" s="493">
        <f t="shared" si="114"/>
        <v>0</v>
      </c>
      <c r="Y60" s="493">
        <f t="shared" si="114"/>
        <v>0</v>
      </c>
      <c r="Z60" s="493">
        <f t="shared" si="114"/>
        <v>0</v>
      </c>
      <c r="AA60" s="493">
        <f t="shared" si="114"/>
        <v>0</v>
      </c>
      <c r="AB60" s="493">
        <f t="shared" si="114"/>
        <v>0</v>
      </c>
      <c r="AC60" s="493">
        <f t="shared" si="114"/>
        <v>0</v>
      </c>
      <c r="AD60" s="493">
        <f t="shared" si="114"/>
        <v>0</v>
      </c>
      <c r="AE60" s="366">
        <f t="shared" si="108"/>
        <v>0</v>
      </c>
      <c r="AF60" s="372"/>
      <c r="AG60" s="493">
        <f>AG58*P6ReturnRate</f>
        <v>0</v>
      </c>
      <c r="AH60" s="493">
        <f>AH58*P6ReturnRate</f>
        <v>0</v>
      </c>
      <c r="AI60" s="493">
        <f>AI58*P6ReturnRate</f>
        <v>0</v>
      </c>
      <c r="AJ60" s="493">
        <f>AJ58*P6ReturnRate</f>
        <v>0</v>
      </c>
      <c r="AK60" s="366">
        <f t="shared" si="109"/>
        <v>0</v>
      </c>
      <c r="AL60" s="372"/>
      <c r="AM60" s="493">
        <f>AM58*P6ReturnRate</f>
        <v>0</v>
      </c>
      <c r="AN60" s="493">
        <f>AN58*P6ReturnRate</f>
        <v>0</v>
      </c>
      <c r="AO60" s="493">
        <f>AO58*P6ReturnRate</f>
        <v>0</v>
      </c>
      <c r="AP60" s="507">
        <f>AP58*P6ReturnRate</f>
        <v>0</v>
      </c>
      <c r="AQ60" s="494">
        <f t="shared" si="110"/>
        <v>0</v>
      </c>
      <c r="AR60" s="372"/>
      <c r="AS60" s="366">
        <f>AS58*P6ReturnRate</f>
        <v>0</v>
      </c>
    </row>
    <row r="61" spans="1:45" ht="14.1" customHeight="1" thickBot="1">
      <c r="B61" s="495" t="s">
        <v>30</v>
      </c>
      <c r="C61" s="131"/>
      <c r="D61" s="728"/>
      <c r="E61" s="397">
        <f t="shared" ref="E61:P61" si="115">E58-E59-E60</f>
        <v>0</v>
      </c>
      <c r="F61" s="376">
        <f t="shared" si="115"/>
        <v>0</v>
      </c>
      <c r="G61" s="376">
        <f t="shared" si="115"/>
        <v>0</v>
      </c>
      <c r="H61" s="376">
        <f t="shared" si="115"/>
        <v>0</v>
      </c>
      <c r="I61" s="376">
        <f t="shared" si="115"/>
        <v>0</v>
      </c>
      <c r="J61" s="376">
        <f t="shared" si="115"/>
        <v>0</v>
      </c>
      <c r="K61" s="376">
        <f t="shared" si="115"/>
        <v>0</v>
      </c>
      <c r="L61" s="376">
        <f t="shared" si="115"/>
        <v>0</v>
      </c>
      <c r="M61" s="376">
        <f t="shared" si="115"/>
        <v>0</v>
      </c>
      <c r="N61" s="376">
        <f t="shared" si="115"/>
        <v>0</v>
      </c>
      <c r="O61" s="376">
        <f t="shared" si="115"/>
        <v>0</v>
      </c>
      <c r="P61" s="496">
        <f t="shared" si="115"/>
        <v>0</v>
      </c>
      <c r="Q61" s="377">
        <f t="shared" si="106"/>
        <v>0</v>
      </c>
      <c r="R61" s="750"/>
      <c r="S61" s="376">
        <f t="shared" ref="S61:AD61" si="116">S58-S59-S60</f>
        <v>0</v>
      </c>
      <c r="T61" s="376">
        <f t="shared" si="116"/>
        <v>0</v>
      </c>
      <c r="U61" s="376">
        <f t="shared" si="116"/>
        <v>0</v>
      </c>
      <c r="V61" s="376">
        <f t="shared" si="116"/>
        <v>0</v>
      </c>
      <c r="W61" s="376">
        <f t="shared" si="116"/>
        <v>0</v>
      </c>
      <c r="X61" s="376">
        <f t="shared" si="116"/>
        <v>0</v>
      </c>
      <c r="Y61" s="376">
        <f t="shared" si="116"/>
        <v>0</v>
      </c>
      <c r="Z61" s="376">
        <f t="shared" si="116"/>
        <v>0</v>
      </c>
      <c r="AA61" s="376">
        <f t="shared" si="116"/>
        <v>0</v>
      </c>
      <c r="AB61" s="376">
        <f t="shared" si="116"/>
        <v>0</v>
      </c>
      <c r="AC61" s="376">
        <f t="shared" si="116"/>
        <v>0</v>
      </c>
      <c r="AD61" s="496">
        <f t="shared" si="116"/>
        <v>0</v>
      </c>
      <c r="AE61" s="377">
        <f t="shared" si="108"/>
        <v>0</v>
      </c>
      <c r="AF61" s="368"/>
      <c r="AG61" s="676">
        <f>AG58-AG59-AG60</f>
        <v>0</v>
      </c>
      <c r="AH61" s="677">
        <f>AH58-AH59-AH60</f>
        <v>0</v>
      </c>
      <c r="AI61" s="677">
        <f>AI58-AI59-AI60</f>
        <v>0</v>
      </c>
      <c r="AJ61" s="678">
        <f>AJ58-AJ59-AJ60</f>
        <v>0</v>
      </c>
      <c r="AK61" s="679">
        <f t="shared" si="109"/>
        <v>0</v>
      </c>
      <c r="AL61" s="680"/>
      <c r="AM61" s="676">
        <f>AM58-AM59-AM60</f>
        <v>0</v>
      </c>
      <c r="AN61" s="677">
        <f>AN58-AN59-AN60</f>
        <v>0</v>
      </c>
      <c r="AO61" s="677">
        <f>AO58-AO59-AO60</f>
        <v>0</v>
      </c>
      <c r="AP61" s="681">
        <f>AP58-AP59-AP60</f>
        <v>0</v>
      </c>
      <c r="AQ61" s="682">
        <f t="shared" si="110"/>
        <v>0</v>
      </c>
      <c r="AR61" s="680"/>
      <c r="AS61" s="390">
        <f>AS58-AS59-AS60</f>
        <v>0</v>
      </c>
    </row>
    <row r="62" spans="1:45" ht="14.1" customHeight="1">
      <c r="B62" s="499" t="s">
        <v>181</v>
      </c>
      <c r="C62" s="133"/>
      <c r="D62" s="729">
        <v>0.5</v>
      </c>
      <c r="E62" s="740">
        <f t="shared" ref="E62:P62" si="117">E58*P6COG</f>
        <v>0</v>
      </c>
      <c r="F62" s="500">
        <f t="shared" si="117"/>
        <v>0</v>
      </c>
      <c r="G62" s="500">
        <f t="shared" si="117"/>
        <v>0</v>
      </c>
      <c r="H62" s="500">
        <f t="shared" si="117"/>
        <v>0</v>
      </c>
      <c r="I62" s="500">
        <f t="shared" si="117"/>
        <v>0</v>
      </c>
      <c r="J62" s="500">
        <f t="shared" si="117"/>
        <v>0</v>
      </c>
      <c r="K62" s="500">
        <f t="shared" si="117"/>
        <v>0</v>
      </c>
      <c r="L62" s="500">
        <f t="shared" si="117"/>
        <v>0</v>
      </c>
      <c r="M62" s="500">
        <f t="shared" si="117"/>
        <v>0</v>
      </c>
      <c r="N62" s="500">
        <f t="shared" si="117"/>
        <v>0</v>
      </c>
      <c r="O62" s="500">
        <f t="shared" si="117"/>
        <v>0</v>
      </c>
      <c r="P62" s="500">
        <f t="shared" si="117"/>
        <v>0</v>
      </c>
      <c r="Q62" s="501">
        <f t="shared" si="106"/>
        <v>0</v>
      </c>
      <c r="R62" s="750"/>
      <c r="S62" s="500">
        <f t="shared" ref="S62:AD62" si="118">S58*P6COG</f>
        <v>0</v>
      </c>
      <c r="T62" s="500">
        <f t="shared" si="118"/>
        <v>0</v>
      </c>
      <c r="U62" s="500">
        <f t="shared" si="118"/>
        <v>0</v>
      </c>
      <c r="V62" s="500">
        <f t="shared" si="118"/>
        <v>0</v>
      </c>
      <c r="W62" s="500">
        <f t="shared" si="118"/>
        <v>0</v>
      </c>
      <c r="X62" s="500">
        <f t="shared" si="118"/>
        <v>0</v>
      </c>
      <c r="Y62" s="500">
        <f t="shared" si="118"/>
        <v>0</v>
      </c>
      <c r="Z62" s="500">
        <f t="shared" si="118"/>
        <v>0</v>
      </c>
      <c r="AA62" s="500">
        <f t="shared" si="118"/>
        <v>0</v>
      </c>
      <c r="AB62" s="500">
        <f t="shared" si="118"/>
        <v>0</v>
      </c>
      <c r="AC62" s="500">
        <f t="shared" si="118"/>
        <v>0</v>
      </c>
      <c r="AD62" s="500">
        <f t="shared" si="118"/>
        <v>0</v>
      </c>
      <c r="AE62" s="501">
        <f t="shared" si="108"/>
        <v>0</v>
      </c>
      <c r="AF62" s="372"/>
      <c r="AG62" s="500">
        <f>AG58*P6COG</f>
        <v>0</v>
      </c>
      <c r="AH62" s="500">
        <f>AH58*P6COG</f>
        <v>0</v>
      </c>
      <c r="AI62" s="500">
        <f>AI58*P6COG</f>
        <v>0</v>
      </c>
      <c r="AJ62" s="500">
        <f>AJ58*P6COG</f>
        <v>0</v>
      </c>
      <c r="AK62" s="501">
        <f t="shared" si="109"/>
        <v>0</v>
      </c>
      <c r="AL62" s="372"/>
      <c r="AM62" s="500">
        <f>AM58*P6COG</f>
        <v>0</v>
      </c>
      <c r="AN62" s="500">
        <f>AN58*P6COG</f>
        <v>0</v>
      </c>
      <c r="AO62" s="500">
        <f>AO58*P6COG</f>
        <v>0</v>
      </c>
      <c r="AP62" s="509">
        <f>AP58*P6COG</f>
        <v>0</v>
      </c>
      <c r="AQ62" s="367">
        <f t="shared" si="110"/>
        <v>0</v>
      </c>
      <c r="AR62" s="372"/>
      <c r="AS62" s="501">
        <f>AS58*P6COG</f>
        <v>0</v>
      </c>
    </row>
    <row r="63" spans="1:45" ht="14.1" customHeight="1" thickBot="1">
      <c r="B63" s="379" t="s">
        <v>31</v>
      </c>
      <c r="C63" s="134"/>
      <c r="D63" s="730"/>
      <c r="E63" s="741">
        <f t="shared" ref="E63:P63" si="119">E61-E62</f>
        <v>0</v>
      </c>
      <c r="F63" s="503">
        <f t="shared" si="119"/>
        <v>0</v>
      </c>
      <c r="G63" s="503">
        <f t="shared" si="119"/>
        <v>0</v>
      </c>
      <c r="H63" s="503">
        <f t="shared" si="119"/>
        <v>0</v>
      </c>
      <c r="I63" s="503">
        <f t="shared" si="119"/>
        <v>0</v>
      </c>
      <c r="J63" s="503">
        <f t="shared" si="119"/>
        <v>0</v>
      </c>
      <c r="K63" s="503">
        <f t="shared" si="119"/>
        <v>0</v>
      </c>
      <c r="L63" s="503">
        <f t="shared" si="119"/>
        <v>0</v>
      </c>
      <c r="M63" s="503">
        <f t="shared" si="119"/>
        <v>0</v>
      </c>
      <c r="N63" s="503">
        <f t="shared" si="119"/>
        <v>0</v>
      </c>
      <c r="O63" s="503">
        <f t="shared" si="119"/>
        <v>0</v>
      </c>
      <c r="P63" s="503">
        <f t="shared" si="119"/>
        <v>0</v>
      </c>
      <c r="Q63" s="504">
        <f t="shared" si="106"/>
        <v>0</v>
      </c>
      <c r="R63" s="750"/>
      <c r="S63" s="503">
        <f t="shared" ref="S63:AD63" si="120">S61-S62</f>
        <v>0</v>
      </c>
      <c r="T63" s="503">
        <f t="shared" si="120"/>
        <v>0</v>
      </c>
      <c r="U63" s="503">
        <f t="shared" si="120"/>
        <v>0</v>
      </c>
      <c r="V63" s="503">
        <f t="shared" si="120"/>
        <v>0</v>
      </c>
      <c r="W63" s="503">
        <f t="shared" si="120"/>
        <v>0</v>
      </c>
      <c r="X63" s="503">
        <f t="shared" si="120"/>
        <v>0</v>
      </c>
      <c r="Y63" s="503">
        <f t="shared" si="120"/>
        <v>0</v>
      </c>
      <c r="Z63" s="503">
        <f t="shared" si="120"/>
        <v>0</v>
      </c>
      <c r="AA63" s="503">
        <f t="shared" si="120"/>
        <v>0</v>
      </c>
      <c r="AB63" s="503">
        <f t="shared" si="120"/>
        <v>0</v>
      </c>
      <c r="AC63" s="503">
        <f t="shared" si="120"/>
        <v>0</v>
      </c>
      <c r="AD63" s="503">
        <f t="shared" si="120"/>
        <v>0</v>
      </c>
      <c r="AE63" s="504">
        <f t="shared" si="108"/>
        <v>0</v>
      </c>
      <c r="AF63" s="372"/>
      <c r="AG63" s="503">
        <f>AG61-AG62</f>
        <v>0</v>
      </c>
      <c r="AH63" s="503">
        <f>AH61-AH62</f>
        <v>0</v>
      </c>
      <c r="AI63" s="503">
        <f>AI61-AI62</f>
        <v>0</v>
      </c>
      <c r="AJ63" s="503">
        <f>AJ61-AJ62</f>
        <v>0</v>
      </c>
      <c r="AK63" s="377">
        <f t="shared" si="109"/>
        <v>0</v>
      </c>
      <c r="AL63" s="372"/>
      <c r="AM63" s="503">
        <f>AM61-AM62</f>
        <v>0</v>
      </c>
      <c r="AN63" s="503">
        <f>AN61-AN62</f>
        <v>0</v>
      </c>
      <c r="AO63" s="503">
        <f>AO61-AO62</f>
        <v>0</v>
      </c>
      <c r="AP63" s="505">
        <f>AP61-AP62</f>
        <v>0</v>
      </c>
      <c r="AQ63" s="505">
        <f t="shared" si="110"/>
        <v>0</v>
      </c>
      <c r="AR63" s="372"/>
      <c r="AS63" s="504">
        <f>AS61-AS62</f>
        <v>0</v>
      </c>
    </row>
    <row r="64" spans="1:45" s="110" customFormat="1" ht="14.1" customHeight="1">
      <c r="A64" s="108"/>
      <c r="B64" s="354"/>
      <c r="C64" s="126"/>
      <c r="D64" s="722"/>
      <c r="E64" s="378"/>
      <c r="F64" s="108"/>
      <c r="G64" s="108"/>
      <c r="H64" s="108"/>
      <c r="I64" s="108"/>
      <c r="J64" s="108"/>
      <c r="K64" s="108"/>
      <c r="L64" s="108"/>
      <c r="M64" s="108"/>
      <c r="N64" s="108"/>
      <c r="O64" s="108"/>
      <c r="Q64" s="355"/>
      <c r="R64" s="748"/>
      <c r="S64" s="108"/>
      <c r="T64" s="108"/>
      <c r="U64" s="108"/>
      <c r="V64" s="108"/>
      <c r="W64" s="108"/>
      <c r="X64" s="108"/>
      <c r="Y64" s="108"/>
      <c r="Z64" s="108"/>
      <c r="AA64" s="108"/>
      <c r="AB64" s="108"/>
      <c r="AC64" s="108"/>
      <c r="AE64" s="355"/>
      <c r="AG64" s="356"/>
      <c r="AH64" s="108"/>
      <c r="AI64" s="108"/>
      <c r="AK64" s="355"/>
      <c r="AM64" s="356"/>
      <c r="AN64" s="108"/>
      <c r="AO64" s="108"/>
      <c r="AP64" s="347"/>
      <c r="AQ64" s="347"/>
      <c r="AS64" s="355"/>
    </row>
    <row r="65" spans="1:45" ht="14.1" customHeight="1">
      <c r="A65" s="357"/>
      <c r="B65" s="127" t="s">
        <v>305</v>
      </c>
      <c r="C65" s="479"/>
      <c r="D65" s="723"/>
      <c r="E65" s="739"/>
      <c r="F65" s="359"/>
      <c r="G65" s="359"/>
      <c r="H65" s="359"/>
      <c r="I65" s="359"/>
      <c r="J65" s="360"/>
      <c r="K65" s="360"/>
      <c r="L65" s="360"/>
      <c r="M65" s="360"/>
      <c r="N65" s="360"/>
      <c r="O65" s="360"/>
      <c r="P65" s="361"/>
      <c r="Q65" s="362"/>
      <c r="R65" s="749"/>
      <c r="S65" s="359"/>
      <c r="T65" s="359"/>
      <c r="U65" s="359"/>
      <c r="V65" s="359"/>
      <c r="W65" s="359"/>
      <c r="X65" s="360"/>
      <c r="Y65" s="360"/>
      <c r="Z65" s="360"/>
      <c r="AA65" s="360"/>
      <c r="AB65" s="360"/>
      <c r="AC65" s="360"/>
      <c r="AD65" s="361"/>
      <c r="AE65" s="362"/>
      <c r="AG65" s="363"/>
      <c r="AH65" s="360"/>
      <c r="AI65" s="360"/>
      <c r="AJ65" s="361"/>
      <c r="AK65" s="362"/>
      <c r="AM65" s="363"/>
      <c r="AN65" s="360"/>
      <c r="AO65" s="360"/>
      <c r="AP65" s="365"/>
      <c r="AQ65" s="365"/>
      <c r="AS65" s="362"/>
    </row>
    <row r="66" spans="1:45" ht="14.1" customHeight="1">
      <c r="B66" s="480" t="s">
        <v>78</v>
      </c>
      <c r="C66" s="132"/>
      <c r="D66" s="724">
        <v>0.02</v>
      </c>
      <c r="E66" s="140">
        <v>0</v>
      </c>
      <c r="F66" s="91">
        <f t="shared" ref="F66:P66" si="121">E66*(1+P7GrowthRate)</f>
        <v>0</v>
      </c>
      <c r="G66" s="91">
        <f t="shared" si="121"/>
        <v>0</v>
      </c>
      <c r="H66" s="91">
        <f t="shared" si="121"/>
        <v>0</v>
      </c>
      <c r="I66" s="91">
        <f t="shared" si="121"/>
        <v>0</v>
      </c>
      <c r="J66" s="91">
        <f t="shared" si="121"/>
        <v>0</v>
      </c>
      <c r="K66" s="91">
        <f t="shared" si="121"/>
        <v>0</v>
      </c>
      <c r="L66" s="91">
        <f t="shared" si="121"/>
        <v>0</v>
      </c>
      <c r="M66" s="91">
        <f t="shared" si="121"/>
        <v>0</v>
      </c>
      <c r="N66" s="91">
        <f t="shared" si="121"/>
        <v>0</v>
      </c>
      <c r="O66" s="91">
        <f t="shared" si="121"/>
        <v>0</v>
      </c>
      <c r="P66" s="91">
        <f t="shared" si="121"/>
        <v>0</v>
      </c>
      <c r="Q66" s="481">
        <f>SUM(E66:P66)</f>
        <v>0</v>
      </c>
      <c r="R66" s="749"/>
      <c r="S66" s="91">
        <f>P66*(1+P7GrowthRate)</f>
        <v>0</v>
      </c>
      <c r="T66" s="91">
        <f t="shared" ref="T66:AD66" si="122">S66*(1+P7GrowthRate)</f>
        <v>0</v>
      </c>
      <c r="U66" s="91">
        <f t="shared" si="122"/>
        <v>0</v>
      </c>
      <c r="V66" s="91">
        <f t="shared" si="122"/>
        <v>0</v>
      </c>
      <c r="W66" s="91">
        <f t="shared" si="122"/>
        <v>0</v>
      </c>
      <c r="X66" s="91">
        <f t="shared" si="122"/>
        <v>0</v>
      </c>
      <c r="Y66" s="91">
        <f t="shared" si="122"/>
        <v>0</v>
      </c>
      <c r="Z66" s="91">
        <f t="shared" si="122"/>
        <v>0</v>
      </c>
      <c r="AA66" s="91">
        <f t="shared" si="122"/>
        <v>0</v>
      </c>
      <c r="AB66" s="91">
        <f t="shared" si="122"/>
        <v>0</v>
      </c>
      <c r="AC66" s="91">
        <f t="shared" si="122"/>
        <v>0</v>
      </c>
      <c r="AD66" s="91">
        <f t="shared" si="122"/>
        <v>0</v>
      </c>
      <c r="AE66" s="481">
        <f>SUM(S66:AD66)</f>
        <v>0</v>
      </c>
      <c r="AG66" s="139">
        <f>-FV(P7GrowthRate,3,($AD$66*(1+P7GrowthRate)))</f>
        <v>0</v>
      </c>
      <c r="AH66" s="140">
        <f>-FV(P7GrowthRate,6,($AD$66*(1+P7GrowthRate)))-AG66</f>
        <v>0</v>
      </c>
      <c r="AI66" s="142">
        <f>-FV(P7GrowthRate,9,($AD$66*(1+P7GrowthRate)))-SUM(AG66:AH66)</f>
        <v>0</v>
      </c>
      <c r="AJ66" s="141">
        <f>-FV(P7GrowthRate,12,($AD$66*(1+P7GrowthRate)))-SUM(AG66:AI66)</f>
        <v>0</v>
      </c>
      <c r="AK66" s="481">
        <f>SUM(AG66:AJ66)</f>
        <v>0</v>
      </c>
      <c r="AL66" s="331"/>
      <c r="AM66" s="139">
        <f>-FV(P7GrowthRate,15,($AD$66*(1+P7GrowthRate)))-AK66</f>
        <v>0</v>
      </c>
      <c r="AN66" s="140">
        <f>-FV(P7GrowthRate,18,($AD$66*(1+P7GrowthRate)))-SUM(AK66:AM66)</f>
        <v>0</v>
      </c>
      <c r="AO66" s="140">
        <f>-FV(P7GrowthRate,21,($AD$66*(1+P7GrowthRate)))-SUM(AK66:AN66)</f>
        <v>0</v>
      </c>
      <c r="AP66" s="141">
        <f>-FV(P7GrowthRate,24,($AD$66*(1+P7GrowthRate)))-SUM(AK66:AO66)</f>
        <v>0</v>
      </c>
      <c r="AQ66" s="482">
        <f>SUM(AM66:AP66)</f>
        <v>0</v>
      </c>
      <c r="AS66" s="92">
        <f>-FV(P7GrowthRate,36,($AD$66*(1+P7GrowthRate)))-AK66-AQ66</f>
        <v>0</v>
      </c>
    </row>
    <row r="67" spans="1:45" ht="14.1" customHeight="1">
      <c r="A67" s="357"/>
      <c r="B67" s="483" t="s">
        <v>79</v>
      </c>
      <c r="C67" s="129"/>
      <c r="D67" s="725"/>
      <c r="E67" s="147">
        <v>0</v>
      </c>
      <c r="F67" s="147">
        <f>E67</f>
        <v>0</v>
      </c>
      <c r="G67" s="147">
        <f t="shared" ref="G67:O67" si="123">F67</f>
        <v>0</v>
      </c>
      <c r="H67" s="147">
        <f t="shared" si="123"/>
        <v>0</v>
      </c>
      <c r="I67" s="147">
        <f t="shared" si="123"/>
        <v>0</v>
      </c>
      <c r="J67" s="147">
        <f t="shared" si="123"/>
        <v>0</v>
      </c>
      <c r="K67" s="147">
        <f t="shared" si="123"/>
        <v>0</v>
      </c>
      <c r="L67" s="147">
        <f t="shared" si="123"/>
        <v>0</v>
      </c>
      <c r="M67" s="147">
        <f t="shared" si="123"/>
        <v>0</v>
      </c>
      <c r="N67" s="147">
        <f t="shared" si="123"/>
        <v>0</v>
      </c>
      <c r="O67" s="147">
        <f t="shared" si="123"/>
        <v>0</v>
      </c>
      <c r="P67" s="147">
        <f>O67</f>
        <v>0</v>
      </c>
      <c r="Q67" s="484"/>
      <c r="R67" s="750"/>
      <c r="S67" s="146">
        <f>P67</f>
        <v>0</v>
      </c>
      <c r="T67" s="147">
        <f>S67</f>
        <v>0</v>
      </c>
      <c r="U67" s="147">
        <f t="shared" ref="U67:AC67" si="124">T67</f>
        <v>0</v>
      </c>
      <c r="V67" s="147">
        <f t="shared" si="124"/>
        <v>0</v>
      </c>
      <c r="W67" s="147">
        <f t="shared" si="124"/>
        <v>0</v>
      </c>
      <c r="X67" s="147">
        <f t="shared" si="124"/>
        <v>0</v>
      </c>
      <c r="Y67" s="147">
        <f t="shared" si="124"/>
        <v>0</v>
      </c>
      <c r="Z67" s="147">
        <f t="shared" si="124"/>
        <v>0</v>
      </c>
      <c r="AA67" s="147">
        <f t="shared" si="124"/>
        <v>0</v>
      </c>
      <c r="AB67" s="147">
        <f t="shared" si="124"/>
        <v>0</v>
      </c>
      <c r="AC67" s="147">
        <f t="shared" si="124"/>
        <v>0</v>
      </c>
      <c r="AD67" s="147">
        <f>AC67</f>
        <v>0</v>
      </c>
      <c r="AE67" s="484"/>
      <c r="AF67" s="368"/>
      <c r="AG67" s="150">
        <f>AD67</f>
        <v>0</v>
      </c>
      <c r="AH67" s="147">
        <f>AG67</f>
        <v>0</v>
      </c>
      <c r="AI67" s="147">
        <f>AH67</f>
        <v>0</v>
      </c>
      <c r="AJ67" s="147">
        <f>AI67</f>
        <v>0</v>
      </c>
      <c r="AK67" s="484"/>
      <c r="AL67" s="368"/>
      <c r="AM67" s="151">
        <f>AJ67</f>
        <v>0</v>
      </c>
      <c r="AN67" s="152">
        <f>AM67</f>
        <v>0</v>
      </c>
      <c r="AO67" s="152">
        <f>AN67</f>
        <v>0</v>
      </c>
      <c r="AP67" s="153">
        <f>AO67</f>
        <v>0</v>
      </c>
      <c r="AQ67" s="485"/>
      <c r="AR67" s="368"/>
      <c r="AS67" s="154">
        <f>AP67</f>
        <v>0</v>
      </c>
    </row>
    <row r="68" spans="1:45" ht="14.1" customHeight="1">
      <c r="A68" s="357"/>
      <c r="B68" s="486" t="s">
        <v>93</v>
      </c>
      <c r="C68" s="130"/>
      <c r="D68" s="726"/>
      <c r="E68" s="488">
        <f t="shared" ref="E68:P68" si="125">PRODUCT(E66:E67)</f>
        <v>0</v>
      </c>
      <c r="F68" s="488">
        <f t="shared" si="125"/>
        <v>0</v>
      </c>
      <c r="G68" s="488">
        <f t="shared" si="125"/>
        <v>0</v>
      </c>
      <c r="H68" s="488">
        <f t="shared" si="125"/>
        <v>0</v>
      </c>
      <c r="I68" s="488">
        <f t="shared" si="125"/>
        <v>0</v>
      </c>
      <c r="J68" s="488">
        <f t="shared" si="125"/>
        <v>0</v>
      </c>
      <c r="K68" s="488">
        <f t="shared" si="125"/>
        <v>0</v>
      </c>
      <c r="L68" s="488">
        <f t="shared" si="125"/>
        <v>0</v>
      </c>
      <c r="M68" s="488">
        <f t="shared" si="125"/>
        <v>0</v>
      </c>
      <c r="N68" s="488">
        <f t="shared" si="125"/>
        <v>0</v>
      </c>
      <c r="O68" s="488">
        <f t="shared" si="125"/>
        <v>0</v>
      </c>
      <c r="P68" s="489">
        <f t="shared" si="125"/>
        <v>0</v>
      </c>
      <c r="Q68" s="371">
        <f t="shared" ref="Q68:Q73" si="126">SUM(E68:P68)</f>
        <v>0</v>
      </c>
      <c r="R68" s="750"/>
      <c r="S68" s="487">
        <f t="shared" ref="S68:AD68" si="127">PRODUCT(S66:S67)</f>
        <v>0</v>
      </c>
      <c r="T68" s="488">
        <f t="shared" si="127"/>
        <v>0</v>
      </c>
      <c r="U68" s="488">
        <f t="shared" si="127"/>
        <v>0</v>
      </c>
      <c r="V68" s="488">
        <f t="shared" si="127"/>
        <v>0</v>
      </c>
      <c r="W68" s="488">
        <f t="shared" si="127"/>
        <v>0</v>
      </c>
      <c r="X68" s="488">
        <f t="shared" si="127"/>
        <v>0</v>
      </c>
      <c r="Y68" s="488">
        <f t="shared" si="127"/>
        <v>0</v>
      </c>
      <c r="Z68" s="488">
        <f t="shared" si="127"/>
        <v>0</v>
      </c>
      <c r="AA68" s="488">
        <f t="shared" si="127"/>
        <v>0</v>
      </c>
      <c r="AB68" s="488">
        <f t="shared" si="127"/>
        <v>0</v>
      </c>
      <c r="AC68" s="488">
        <f t="shared" si="127"/>
        <v>0</v>
      </c>
      <c r="AD68" s="489">
        <f t="shared" si="127"/>
        <v>0</v>
      </c>
      <c r="AE68" s="371">
        <f t="shared" ref="AE68:AE73" si="128">SUM(S68:AD68)</f>
        <v>0</v>
      </c>
      <c r="AF68" s="368"/>
      <c r="AG68" s="490">
        <f>PRODUCT(AG66:AG67)</f>
        <v>0</v>
      </c>
      <c r="AH68" s="488">
        <f>PRODUCT(AH66:AH67)</f>
        <v>0</v>
      </c>
      <c r="AI68" s="488">
        <f>PRODUCT(AI66:AI67)</f>
        <v>0</v>
      </c>
      <c r="AJ68" s="489">
        <f>PRODUCT(AJ66:AJ67)</f>
        <v>0</v>
      </c>
      <c r="AK68" s="369">
        <f t="shared" ref="AK68:AK73" si="129">SUM(AG68:AJ68)</f>
        <v>0</v>
      </c>
      <c r="AL68" s="368"/>
      <c r="AM68" s="490">
        <f>PRODUCT(AM66:AM67)</f>
        <v>0</v>
      </c>
      <c r="AN68" s="488">
        <f>PRODUCT(AN66:AN67)</f>
        <v>0</v>
      </c>
      <c r="AO68" s="488">
        <f>PRODUCT(AO66:AO67)</f>
        <v>0</v>
      </c>
      <c r="AP68" s="491">
        <f>PRODUCT(AP66:AP67)</f>
        <v>0</v>
      </c>
      <c r="AQ68" s="370">
        <f t="shared" ref="AQ68:AQ73" si="130">SUM(AM68:AP68)</f>
        <v>0</v>
      </c>
      <c r="AR68" s="368"/>
      <c r="AS68" s="371">
        <f>PRODUCT(AS66:AS67)</f>
        <v>0</v>
      </c>
    </row>
    <row r="69" spans="1:45" ht="14.1" customHeight="1">
      <c r="A69" s="357"/>
      <c r="B69" s="492" t="s">
        <v>80</v>
      </c>
      <c r="C69" s="532">
        <v>0.5</v>
      </c>
      <c r="D69" s="727">
        <v>0.15</v>
      </c>
      <c r="E69" s="525">
        <f t="shared" ref="E69:P69" si="131">E68*P7CommRate*P7CommSales</f>
        <v>0</v>
      </c>
      <c r="F69" s="493">
        <f t="shared" si="131"/>
        <v>0</v>
      </c>
      <c r="G69" s="493">
        <f t="shared" si="131"/>
        <v>0</v>
      </c>
      <c r="H69" s="493">
        <f t="shared" si="131"/>
        <v>0</v>
      </c>
      <c r="I69" s="493">
        <f t="shared" si="131"/>
        <v>0</v>
      </c>
      <c r="J69" s="493">
        <f t="shared" si="131"/>
        <v>0</v>
      </c>
      <c r="K69" s="493">
        <f t="shared" si="131"/>
        <v>0</v>
      </c>
      <c r="L69" s="493">
        <f t="shared" si="131"/>
        <v>0</v>
      </c>
      <c r="M69" s="493">
        <f t="shared" si="131"/>
        <v>0</v>
      </c>
      <c r="N69" s="493">
        <f t="shared" si="131"/>
        <v>0</v>
      </c>
      <c r="O69" s="493">
        <f t="shared" si="131"/>
        <v>0</v>
      </c>
      <c r="P69" s="493">
        <f t="shared" si="131"/>
        <v>0</v>
      </c>
      <c r="Q69" s="366">
        <f t="shared" si="126"/>
        <v>0</v>
      </c>
      <c r="R69" s="750"/>
      <c r="S69" s="493">
        <f t="shared" ref="S69:AD69" si="132">S68*P7CommRate*P7CommSales</f>
        <v>0</v>
      </c>
      <c r="T69" s="493">
        <f t="shared" si="132"/>
        <v>0</v>
      </c>
      <c r="U69" s="493">
        <f t="shared" si="132"/>
        <v>0</v>
      </c>
      <c r="V69" s="493">
        <f t="shared" si="132"/>
        <v>0</v>
      </c>
      <c r="W69" s="493">
        <f t="shared" si="132"/>
        <v>0</v>
      </c>
      <c r="X69" s="493">
        <f t="shared" si="132"/>
        <v>0</v>
      </c>
      <c r="Y69" s="493">
        <f t="shared" si="132"/>
        <v>0</v>
      </c>
      <c r="Z69" s="493">
        <f t="shared" si="132"/>
        <v>0</v>
      </c>
      <c r="AA69" s="493">
        <f t="shared" si="132"/>
        <v>0</v>
      </c>
      <c r="AB69" s="493">
        <f t="shared" si="132"/>
        <v>0</v>
      </c>
      <c r="AC69" s="493">
        <f t="shared" si="132"/>
        <v>0</v>
      </c>
      <c r="AD69" s="493">
        <f t="shared" si="132"/>
        <v>0</v>
      </c>
      <c r="AE69" s="366">
        <f t="shared" si="128"/>
        <v>0</v>
      </c>
      <c r="AF69" s="372"/>
      <c r="AG69" s="493">
        <f>AG68*P7CommRate*P7CommSales</f>
        <v>0</v>
      </c>
      <c r="AH69" s="493">
        <f>AH68*P7CommRate*P7CommSales</f>
        <v>0</v>
      </c>
      <c r="AI69" s="493">
        <f>AI68*P7CommRate*P7CommSales</f>
        <v>0</v>
      </c>
      <c r="AJ69" s="493">
        <f>AJ68*P7CommRate*P7CommSales</f>
        <v>0</v>
      </c>
      <c r="AK69" s="369">
        <f t="shared" si="129"/>
        <v>0</v>
      </c>
      <c r="AL69" s="372"/>
      <c r="AM69" s="493">
        <f>AM68*P7CommRate*P7CommSales</f>
        <v>0</v>
      </c>
      <c r="AN69" s="493">
        <f>AN68*P7CommRate*P7CommSales</f>
        <v>0</v>
      </c>
      <c r="AO69" s="493">
        <f>AO68*P7CommRate*P7CommSales</f>
        <v>0</v>
      </c>
      <c r="AP69" s="507">
        <f>AP68*P7CommRate*P7CommSales</f>
        <v>0</v>
      </c>
      <c r="AQ69" s="370">
        <f t="shared" si="130"/>
        <v>0</v>
      </c>
      <c r="AR69" s="372"/>
      <c r="AS69" s="366">
        <f>AS68*P7CommRate*P7CommSales</f>
        <v>0</v>
      </c>
    </row>
    <row r="70" spans="1:45" ht="14.1" customHeight="1">
      <c r="A70" s="357"/>
      <c r="B70" s="492" t="s">
        <v>81</v>
      </c>
      <c r="C70" s="124"/>
      <c r="D70" s="727">
        <v>0.03</v>
      </c>
      <c r="E70" s="525">
        <f t="shared" ref="E70:P70" si="133">E68*P7ReturnRate</f>
        <v>0</v>
      </c>
      <c r="F70" s="493">
        <f t="shared" si="133"/>
        <v>0</v>
      </c>
      <c r="G70" s="493">
        <f t="shared" si="133"/>
        <v>0</v>
      </c>
      <c r="H70" s="493">
        <f t="shared" si="133"/>
        <v>0</v>
      </c>
      <c r="I70" s="493">
        <f t="shared" si="133"/>
        <v>0</v>
      </c>
      <c r="J70" s="493">
        <f t="shared" si="133"/>
        <v>0</v>
      </c>
      <c r="K70" s="493">
        <f t="shared" si="133"/>
        <v>0</v>
      </c>
      <c r="L70" s="493">
        <f t="shared" si="133"/>
        <v>0</v>
      </c>
      <c r="M70" s="493">
        <f t="shared" si="133"/>
        <v>0</v>
      </c>
      <c r="N70" s="493">
        <f t="shared" si="133"/>
        <v>0</v>
      </c>
      <c r="O70" s="493">
        <f t="shared" si="133"/>
        <v>0</v>
      </c>
      <c r="P70" s="493">
        <f t="shared" si="133"/>
        <v>0</v>
      </c>
      <c r="Q70" s="366">
        <f t="shared" si="126"/>
        <v>0</v>
      </c>
      <c r="R70" s="750"/>
      <c r="S70" s="493">
        <f t="shared" ref="S70:AD70" si="134">S68*P7ReturnRate</f>
        <v>0</v>
      </c>
      <c r="T70" s="493">
        <f t="shared" si="134"/>
        <v>0</v>
      </c>
      <c r="U70" s="493">
        <f t="shared" si="134"/>
        <v>0</v>
      </c>
      <c r="V70" s="493">
        <f t="shared" si="134"/>
        <v>0</v>
      </c>
      <c r="W70" s="493">
        <f t="shared" si="134"/>
        <v>0</v>
      </c>
      <c r="X70" s="493">
        <f t="shared" si="134"/>
        <v>0</v>
      </c>
      <c r="Y70" s="493">
        <f t="shared" si="134"/>
        <v>0</v>
      </c>
      <c r="Z70" s="493">
        <f t="shared" si="134"/>
        <v>0</v>
      </c>
      <c r="AA70" s="493">
        <f t="shared" si="134"/>
        <v>0</v>
      </c>
      <c r="AB70" s="493">
        <f t="shared" si="134"/>
        <v>0</v>
      </c>
      <c r="AC70" s="493">
        <f t="shared" si="134"/>
        <v>0</v>
      </c>
      <c r="AD70" s="493">
        <f t="shared" si="134"/>
        <v>0</v>
      </c>
      <c r="AE70" s="366">
        <f t="shared" si="128"/>
        <v>0</v>
      </c>
      <c r="AF70" s="372"/>
      <c r="AG70" s="493">
        <f>AG68*P7ReturnRate</f>
        <v>0</v>
      </c>
      <c r="AH70" s="493">
        <f>AH68*P7ReturnRate</f>
        <v>0</v>
      </c>
      <c r="AI70" s="493">
        <f>AI68*P7ReturnRate</f>
        <v>0</v>
      </c>
      <c r="AJ70" s="493">
        <f>AJ68*P7ReturnRate</f>
        <v>0</v>
      </c>
      <c r="AK70" s="366">
        <f t="shared" si="129"/>
        <v>0</v>
      </c>
      <c r="AL70" s="372"/>
      <c r="AM70" s="493">
        <f>AM68*P7ReturnRate</f>
        <v>0</v>
      </c>
      <c r="AN70" s="493">
        <f>AN68*P7ReturnRate</f>
        <v>0</v>
      </c>
      <c r="AO70" s="493">
        <f>AO68*P7ReturnRate</f>
        <v>0</v>
      </c>
      <c r="AP70" s="507">
        <f>AP68*P7ReturnRate</f>
        <v>0</v>
      </c>
      <c r="AQ70" s="494">
        <f t="shared" si="130"/>
        <v>0</v>
      </c>
      <c r="AR70" s="372"/>
      <c r="AS70" s="366">
        <f>AS68*P7ReturnRate</f>
        <v>0</v>
      </c>
    </row>
    <row r="71" spans="1:45" ht="14.1" customHeight="1" thickBot="1">
      <c r="B71" s="495" t="s">
        <v>30</v>
      </c>
      <c r="C71" s="131"/>
      <c r="D71" s="728"/>
      <c r="E71" s="397">
        <f t="shared" ref="E71:P71" si="135">E68-E69-E70</f>
        <v>0</v>
      </c>
      <c r="F71" s="376">
        <f t="shared" si="135"/>
        <v>0</v>
      </c>
      <c r="G71" s="376">
        <f t="shared" si="135"/>
        <v>0</v>
      </c>
      <c r="H71" s="376">
        <f t="shared" si="135"/>
        <v>0</v>
      </c>
      <c r="I71" s="376">
        <f t="shared" si="135"/>
        <v>0</v>
      </c>
      <c r="J71" s="376">
        <f t="shared" si="135"/>
        <v>0</v>
      </c>
      <c r="K71" s="376">
        <f t="shared" si="135"/>
        <v>0</v>
      </c>
      <c r="L71" s="376">
        <f t="shared" si="135"/>
        <v>0</v>
      </c>
      <c r="M71" s="376">
        <f t="shared" si="135"/>
        <v>0</v>
      </c>
      <c r="N71" s="376">
        <f t="shared" si="135"/>
        <v>0</v>
      </c>
      <c r="O71" s="376">
        <f t="shared" si="135"/>
        <v>0</v>
      </c>
      <c r="P71" s="496">
        <f t="shared" si="135"/>
        <v>0</v>
      </c>
      <c r="Q71" s="377">
        <f t="shared" si="126"/>
        <v>0</v>
      </c>
      <c r="R71" s="750"/>
      <c r="S71" s="376">
        <f t="shared" ref="S71:AD71" si="136">S68-S69-S70</f>
        <v>0</v>
      </c>
      <c r="T71" s="376">
        <f t="shared" si="136"/>
        <v>0</v>
      </c>
      <c r="U71" s="376">
        <f t="shared" si="136"/>
        <v>0</v>
      </c>
      <c r="V71" s="376">
        <f t="shared" si="136"/>
        <v>0</v>
      </c>
      <c r="W71" s="376">
        <f t="shared" si="136"/>
        <v>0</v>
      </c>
      <c r="X71" s="376">
        <f t="shared" si="136"/>
        <v>0</v>
      </c>
      <c r="Y71" s="376">
        <f t="shared" si="136"/>
        <v>0</v>
      </c>
      <c r="Z71" s="376">
        <f t="shared" si="136"/>
        <v>0</v>
      </c>
      <c r="AA71" s="376">
        <f t="shared" si="136"/>
        <v>0</v>
      </c>
      <c r="AB71" s="376">
        <f t="shared" si="136"/>
        <v>0</v>
      </c>
      <c r="AC71" s="376">
        <f t="shared" si="136"/>
        <v>0</v>
      </c>
      <c r="AD71" s="496">
        <f t="shared" si="136"/>
        <v>0</v>
      </c>
      <c r="AE71" s="377">
        <f t="shared" si="128"/>
        <v>0</v>
      </c>
      <c r="AF71" s="368"/>
      <c r="AG71" s="676">
        <f>AG68-AG69-AG70</f>
        <v>0</v>
      </c>
      <c r="AH71" s="677">
        <f>AH68-AH69-AH70</f>
        <v>0</v>
      </c>
      <c r="AI71" s="677">
        <f>AI68-AI69-AI70</f>
        <v>0</v>
      </c>
      <c r="AJ71" s="678">
        <f>AJ68-AJ69-AJ70</f>
        <v>0</v>
      </c>
      <c r="AK71" s="679">
        <f t="shared" si="129"/>
        <v>0</v>
      </c>
      <c r="AL71" s="680"/>
      <c r="AM71" s="676">
        <f>AM68-AM69-AM70</f>
        <v>0</v>
      </c>
      <c r="AN71" s="677">
        <f>AN68-AN69-AN70</f>
        <v>0</v>
      </c>
      <c r="AO71" s="677">
        <f>AO68-AO69-AO70</f>
        <v>0</v>
      </c>
      <c r="AP71" s="681">
        <f>AP68-AP69-AP70</f>
        <v>0</v>
      </c>
      <c r="AQ71" s="682">
        <f t="shared" si="130"/>
        <v>0</v>
      </c>
      <c r="AR71" s="680"/>
      <c r="AS71" s="390">
        <f>AS68-AS69-AS70</f>
        <v>0</v>
      </c>
    </row>
    <row r="72" spans="1:45" ht="14.1" customHeight="1">
      <c r="B72" s="499" t="s">
        <v>181</v>
      </c>
      <c r="C72" s="133"/>
      <c r="D72" s="729">
        <v>0.5</v>
      </c>
      <c r="E72" s="740">
        <f t="shared" ref="E72:P72" si="137">E68*P7COG</f>
        <v>0</v>
      </c>
      <c r="F72" s="500">
        <f t="shared" si="137"/>
        <v>0</v>
      </c>
      <c r="G72" s="500">
        <f t="shared" si="137"/>
        <v>0</v>
      </c>
      <c r="H72" s="500">
        <f t="shared" si="137"/>
        <v>0</v>
      </c>
      <c r="I72" s="500">
        <f t="shared" si="137"/>
        <v>0</v>
      </c>
      <c r="J72" s="500">
        <f t="shared" si="137"/>
        <v>0</v>
      </c>
      <c r="K72" s="500">
        <f t="shared" si="137"/>
        <v>0</v>
      </c>
      <c r="L72" s="500">
        <f t="shared" si="137"/>
        <v>0</v>
      </c>
      <c r="M72" s="500">
        <f t="shared" si="137"/>
        <v>0</v>
      </c>
      <c r="N72" s="500">
        <f t="shared" si="137"/>
        <v>0</v>
      </c>
      <c r="O72" s="500">
        <f t="shared" si="137"/>
        <v>0</v>
      </c>
      <c r="P72" s="500">
        <f t="shared" si="137"/>
        <v>0</v>
      </c>
      <c r="Q72" s="501">
        <f t="shared" si="126"/>
        <v>0</v>
      </c>
      <c r="R72" s="750"/>
      <c r="S72" s="500">
        <f t="shared" ref="S72:AD72" si="138">S68*P7COG</f>
        <v>0</v>
      </c>
      <c r="T72" s="500">
        <f t="shared" si="138"/>
        <v>0</v>
      </c>
      <c r="U72" s="500">
        <f t="shared" si="138"/>
        <v>0</v>
      </c>
      <c r="V72" s="500">
        <f t="shared" si="138"/>
        <v>0</v>
      </c>
      <c r="W72" s="500">
        <f t="shared" si="138"/>
        <v>0</v>
      </c>
      <c r="X72" s="500">
        <f t="shared" si="138"/>
        <v>0</v>
      </c>
      <c r="Y72" s="500">
        <f t="shared" si="138"/>
        <v>0</v>
      </c>
      <c r="Z72" s="500">
        <f t="shared" si="138"/>
        <v>0</v>
      </c>
      <c r="AA72" s="500">
        <f t="shared" si="138"/>
        <v>0</v>
      </c>
      <c r="AB72" s="500">
        <f t="shared" si="138"/>
        <v>0</v>
      </c>
      <c r="AC72" s="500">
        <f t="shared" si="138"/>
        <v>0</v>
      </c>
      <c r="AD72" s="500">
        <f t="shared" si="138"/>
        <v>0</v>
      </c>
      <c r="AE72" s="501">
        <f t="shared" si="128"/>
        <v>0</v>
      </c>
      <c r="AF72" s="372"/>
      <c r="AG72" s="500">
        <f>AG68*P7COG</f>
        <v>0</v>
      </c>
      <c r="AH72" s="500">
        <f>AH68*P7COG</f>
        <v>0</v>
      </c>
      <c r="AI72" s="500">
        <f>AI68*P7COG</f>
        <v>0</v>
      </c>
      <c r="AJ72" s="500">
        <f>AJ68*P7COG</f>
        <v>0</v>
      </c>
      <c r="AK72" s="501">
        <f t="shared" si="129"/>
        <v>0</v>
      </c>
      <c r="AL72" s="372"/>
      <c r="AM72" s="500">
        <f>AM68*P7COG</f>
        <v>0</v>
      </c>
      <c r="AN72" s="500">
        <f>AN68*P7COG</f>
        <v>0</v>
      </c>
      <c r="AO72" s="500">
        <f>AO68*P7COG</f>
        <v>0</v>
      </c>
      <c r="AP72" s="509">
        <f>AP68*P7COG</f>
        <v>0</v>
      </c>
      <c r="AQ72" s="367">
        <f t="shared" si="130"/>
        <v>0</v>
      </c>
      <c r="AR72" s="372"/>
      <c r="AS72" s="501">
        <f>AS68*P7COG</f>
        <v>0</v>
      </c>
    </row>
    <row r="73" spans="1:45" ht="14.1" customHeight="1" thickBot="1">
      <c r="B73" s="379" t="s">
        <v>31</v>
      </c>
      <c r="C73" s="134"/>
      <c r="D73" s="730"/>
      <c r="E73" s="741">
        <f t="shared" ref="E73:P73" si="139">E71-E72</f>
        <v>0</v>
      </c>
      <c r="F73" s="503">
        <f t="shared" si="139"/>
        <v>0</v>
      </c>
      <c r="G73" s="503">
        <f t="shared" si="139"/>
        <v>0</v>
      </c>
      <c r="H73" s="503">
        <f t="shared" si="139"/>
        <v>0</v>
      </c>
      <c r="I73" s="503">
        <f t="shared" si="139"/>
        <v>0</v>
      </c>
      <c r="J73" s="503">
        <f t="shared" si="139"/>
        <v>0</v>
      </c>
      <c r="K73" s="503">
        <f t="shared" si="139"/>
        <v>0</v>
      </c>
      <c r="L73" s="503">
        <f t="shared" si="139"/>
        <v>0</v>
      </c>
      <c r="M73" s="503">
        <f t="shared" si="139"/>
        <v>0</v>
      </c>
      <c r="N73" s="503">
        <f t="shared" si="139"/>
        <v>0</v>
      </c>
      <c r="O73" s="503">
        <f t="shared" si="139"/>
        <v>0</v>
      </c>
      <c r="P73" s="503">
        <f t="shared" si="139"/>
        <v>0</v>
      </c>
      <c r="Q73" s="504">
        <f t="shared" si="126"/>
        <v>0</v>
      </c>
      <c r="R73" s="750"/>
      <c r="S73" s="503">
        <f t="shared" ref="S73:AD73" si="140">S71-S72</f>
        <v>0</v>
      </c>
      <c r="T73" s="503">
        <f t="shared" si="140"/>
        <v>0</v>
      </c>
      <c r="U73" s="503">
        <f t="shared" si="140"/>
        <v>0</v>
      </c>
      <c r="V73" s="503">
        <f t="shared" si="140"/>
        <v>0</v>
      </c>
      <c r="W73" s="503">
        <f t="shared" si="140"/>
        <v>0</v>
      </c>
      <c r="X73" s="503">
        <f t="shared" si="140"/>
        <v>0</v>
      </c>
      <c r="Y73" s="503">
        <f t="shared" si="140"/>
        <v>0</v>
      </c>
      <c r="Z73" s="503">
        <f t="shared" si="140"/>
        <v>0</v>
      </c>
      <c r="AA73" s="503">
        <f t="shared" si="140"/>
        <v>0</v>
      </c>
      <c r="AB73" s="503">
        <f t="shared" si="140"/>
        <v>0</v>
      </c>
      <c r="AC73" s="503">
        <f t="shared" si="140"/>
        <v>0</v>
      </c>
      <c r="AD73" s="503">
        <f t="shared" si="140"/>
        <v>0</v>
      </c>
      <c r="AE73" s="504">
        <f t="shared" si="128"/>
        <v>0</v>
      </c>
      <c r="AF73" s="372"/>
      <c r="AG73" s="503">
        <f>AG71-AG72</f>
        <v>0</v>
      </c>
      <c r="AH73" s="503">
        <f>AH71-AH72</f>
        <v>0</v>
      </c>
      <c r="AI73" s="503">
        <f>AI71-AI72</f>
        <v>0</v>
      </c>
      <c r="AJ73" s="503">
        <f>AJ71-AJ72</f>
        <v>0</v>
      </c>
      <c r="AK73" s="377">
        <f t="shared" si="129"/>
        <v>0</v>
      </c>
      <c r="AL73" s="372"/>
      <c r="AM73" s="503">
        <f>AM71-AM72</f>
        <v>0</v>
      </c>
      <c r="AN73" s="503">
        <f>AN71-AN72</f>
        <v>0</v>
      </c>
      <c r="AO73" s="503">
        <f>AO71-AO72</f>
        <v>0</v>
      </c>
      <c r="AP73" s="505">
        <f>AP71-AP72</f>
        <v>0</v>
      </c>
      <c r="AQ73" s="505">
        <f t="shared" si="130"/>
        <v>0</v>
      </c>
      <c r="AR73" s="372"/>
      <c r="AS73" s="504">
        <f>AS71-AS72</f>
        <v>0</v>
      </c>
    </row>
    <row r="74" spans="1:45" s="110" customFormat="1" ht="14.1" customHeight="1">
      <c r="A74" s="108"/>
      <c r="B74" s="354"/>
      <c r="C74" s="126"/>
      <c r="D74" s="722"/>
      <c r="E74" s="378"/>
      <c r="F74" s="108"/>
      <c r="G74" s="108"/>
      <c r="H74" s="108"/>
      <c r="I74" s="108"/>
      <c r="J74" s="108"/>
      <c r="K74" s="108"/>
      <c r="L74" s="108"/>
      <c r="M74" s="108"/>
      <c r="N74" s="108"/>
      <c r="O74" s="108"/>
      <c r="Q74" s="355"/>
      <c r="R74" s="748"/>
      <c r="S74" s="108"/>
      <c r="T74" s="108"/>
      <c r="U74" s="108"/>
      <c r="V74" s="108"/>
      <c r="W74" s="108"/>
      <c r="X74" s="108"/>
      <c r="Y74" s="108"/>
      <c r="Z74" s="108"/>
      <c r="AA74" s="108"/>
      <c r="AB74" s="108"/>
      <c r="AC74" s="108"/>
      <c r="AE74" s="355"/>
      <c r="AG74" s="356"/>
      <c r="AH74" s="108"/>
      <c r="AI74" s="108"/>
      <c r="AK74" s="355"/>
      <c r="AM74" s="356"/>
      <c r="AN74" s="108"/>
      <c r="AO74" s="108"/>
      <c r="AP74" s="347"/>
      <c r="AQ74" s="347"/>
      <c r="AS74" s="355"/>
    </row>
    <row r="75" spans="1:45" ht="14.1" customHeight="1">
      <c r="A75" s="357"/>
      <c r="B75" s="127" t="s">
        <v>306</v>
      </c>
      <c r="C75" s="479"/>
      <c r="D75" s="723"/>
      <c r="E75" s="739"/>
      <c r="F75" s="359"/>
      <c r="G75" s="359"/>
      <c r="H75" s="359"/>
      <c r="I75" s="359"/>
      <c r="J75" s="360"/>
      <c r="K75" s="360"/>
      <c r="L75" s="360"/>
      <c r="M75" s="360"/>
      <c r="N75" s="360"/>
      <c r="O75" s="360"/>
      <c r="P75" s="361"/>
      <c r="Q75" s="362"/>
      <c r="R75" s="749"/>
      <c r="S75" s="359"/>
      <c r="T75" s="359"/>
      <c r="U75" s="359"/>
      <c r="V75" s="359"/>
      <c r="W75" s="359"/>
      <c r="X75" s="360"/>
      <c r="Y75" s="360"/>
      <c r="Z75" s="360"/>
      <c r="AA75" s="360"/>
      <c r="AB75" s="360"/>
      <c r="AC75" s="360"/>
      <c r="AD75" s="361"/>
      <c r="AE75" s="362"/>
      <c r="AG75" s="363"/>
      <c r="AH75" s="360"/>
      <c r="AI75" s="360"/>
      <c r="AJ75" s="361"/>
      <c r="AK75" s="362"/>
      <c r="AM75" s="363"/>
      <c r="AN75" s="360"/>
      <c r="AO75" s="360"/>
      <c r="AP75" s="365"/>
      <c r="AQ75" s="365"/>
      <c r="AS75" s="362"/>
    </row>
    <row r="76" spans="1:45" ht="14.1" customHeight="1">
      <c r="B76" s="480" t="s">
        <v>78</v>
      </c>
      <c r="C76" s="132"/>
      <c r="D76" s="724">
        <v>0.02</v>
      </c>
      <c r="E76" s="140">
        <v>0</v>
      </c>
      <c r="F76" s="91">
        <f t="shared" ref="F76:P76" si="141">E76*(1+P8GrowthRate)</f>
        <v>0</v>
      </c>
      <c r="G76" s="91">
        <f t="shared" si="141"/>
        <v>0</v>
      </c>
      <c r="H76" s="91">
        <f t="shared" si="141"/>
        <v>0</v>
      </c>
      <c r="I76" s="91">
        <f t="shared" si="141"/>
        <v>0</v>
      </c>
      <c r="J76" s="91">
        <f t="shared" si="141"/>
        <v>0</v>
      </c>
      <c r="K76" s="91">
        <f t="shared" si="141"/>
        <v>0</v>
      </c>
      <c r="L76" s="91">
        <f t="shared" si="141"/>
        <v>0</v>
      </c>
      <c r="M76" s="91">
        <f t="shared" si="141"/>
        <v>0</v>
      </c>
      <c r="N76" s="91">
        <f t="shared" si="141"/>
        <v>0</v>
      </c>
      <c r="O76" s="91">
        <f t="shared" si="141"/>
        <v>0</v>
      </c>
      <c r="P76" s="91">
        <f t="shared" si="141"/>
        <v>0</v>
      </c>
      <c r="Q76" s="481">
        <f>SUM(E76:P76)</f>
        <v>0</v>
      </c>
      <c r="R76" s="749"/>
      <c r="S76" s="91">
        <f>P76*(1+P8GrowthRate)</f>
        <v>0</v>
      </c>
      <c r="T76" s="91">
        <f t="shared" ref="T76:AD76" si="142">S76*(1+P8GrowthRate)</f>
        <v>0</v>
      </c>
      <c r="U76" s="91">
        <f t="shared" si="142"/>
        <v>0</v>
      </c>
      <c r="V76" s="91">
        <f t="shared" si="142"/>
        <v>0</v>
      </c>
      <c r="W76" s="91">
        <f t="shared" si="142"/>
        <v>0</v>
      </c>
      <c r="X76" s="91">
        <f t="shared" si="142"/>
        <v>0</v>
      </c>
      <c r="Y76" s="91">
        <f t="shared" si="142"/>
        <v>0</v>
      </c>
      <c r="Z76" s="91">
        <f t="shared" si="142"/>
        <v>0</v>
      </c>
      <c r="AA76" s="91">
        <f t="shared" si="142"/>
        <v>0</v>
      </c>
      <c r="AB76" s="91">
        <f t="shared" si="142"/>
        <v>0</v>
      </c>
      <c r="AC76" s="91">
        <f t="shared" si="142"/>
        <v>0</v>
      </c>
      <c r="AD76" s="91">
        <f t="shared" si="142"/>
        <v>0</v>
      </c>
      <c r="AE76" s="481">
        <f>SUM(S76:AD76)</f>
        <v>0</v>
      </c>
      <c r="AG76" s="139">
        <f>-FV(P8GrowthRate,3,($AD$76*(1+P8GrowthRate)))</f>
        <v>0</v>
      </c>
      <c r="AH76" s="140">
        <f>-FV(P8GrowthRate,6,($AD$76*(1+P8GrowthRate)))-AG76</f>
        <v>0</v>
      </c>
      <c r="AI76" s="142">
        <f>-FV(P8GrowthRate,9,($AD$76*(1+P8GrowthRate)))-SUM(AG76:AH76)</f>
        <v>0</v>
      </c>
      <c r="AJ76" s="141">
        <f>-FV(P8GrowthRate,12,($AD$76*(1+P8GrowthRate)))-SUM(AG76:AI76)</f>
        <v>0</v>
      </c>
      <c r="AK76" s="481">
        <f>SUM(AG76:AJ76)</f>
        <v>0</v>
      </c>
      <c r="AL76" s="331"/>
      <c r="AM76" s="139">
        <f>-FV(P8GrowthRate,15,($AD$76*(1+P8GrowthRate)))-AK76</f>
        <v>0</v>
      </c>
      <c r="AN76" s="140">
        <f>-FV(P8GrowthRate,18,($AD$76*(1+P8GrowthRate)))-SUM(AK76:AM76)</f>
        <v>0</v>
      </c>
      <c r="AO76" s="140">
        <f>-FV(P8GrowthRate,21,($AD$76*(1+P8GrowthRate)))-SUM(AK76:AN76)</f>
        <v>0</v>
      </c>
      <c r="AP76" s="141">
        <f>-FV(P8GrowthRate,24,($AD$76*(1+P8GrowthRate)))-SUM(AK76:AO76)</f>
        <v>0</v>
      </c>
      <c r="AQ76" s="482">
        <f>SUM(AM76:AP76)</f>
        <v>0</v>
      </c>
      <c r="AS76" s="92">
        <f>-FV(P8GrowthRate,36,($AD$76*(1+P8GrowthRate)))-AK76-AQ76</f>
        <v>0</v>
      </c>
    </row>
    <row r="77" spans="1:45" ht="14.1" customHeight="1">
      <c r="A77" s="357"/>
      <c r="B77" s="483" t="s">
        <v>79</v>
      </c>
      <c r="C77" s="129"/>
      <c r="D77" s="725"/>
      <c r="E77" s="147">
        <v>0</v>
      </c>
      <c r="F77" s="147">
        <f>E77</f>
        <v>0</v>
      </c>
      <c r="G77" s="147">
        <f t="shared" ref="G77:O77" si="143">F77</f>
        <v>0</v>
      </c>
      <c r="H77" s="147">
        <f t="shared" si="143"/>
        <v>0</v>
      </c>
      <c r="I77" s="147">
        <f t="shared" si="143"/>
        <v>0</v>
      </c>
      <c r="J77" s="147">
        <f t="shared" si="143"/>
        <v>0</v>
      </c>
      <c r="K77" s="147">
        <f t="shared" si="143"/>
        <v>0</v>
      </c>
      <c r="L77" s="147">
        <f t="shared" si="143"/>
        <v>0</v>
      </c>
      <c r="M77" s="147">
        <f t="shared" si="143"/>
        <v>0</v>
      </c>
      <c r="N77" s="147">
        <f t="shared" si="143"/>
        <v>0</v>
      </c>
      <c r="O77" s="147">
        <f t="shared" si="143"/>
        <v>0</v>
      </c>
      <c r="P77" s="147">
        <f>O77</f>
        <v>0</v>
      </c>
      <c r="Q77" s="484"/>
      <c r="R77" s="750"/>
      <c r="S77" s="146">
        <f>P77</f>
        <v>0</v>
      </c>
      <c r="T77" s="147">
        <f>S77</f>
        <v>0</v>
      </c>
      <c r="U77" s="147">
        <f t="shared" ref="U77:AC77" si="144">T77</f>
        <v>0</v>
      </c>
      <c r="V77" s="147">
        <f t="shared" si="144"/>
        <v>0</v>
      </c>
      <c r="W77" s="147">
        <f t="shared" si="144"/>
        <v>0</v>
      </c>
      <c r="X77" s="147">
        <f t="shared" si="144"/>
        <v>0</v>
      </c>
      <c r="Y77" s="147">
        <f t="shared" si="144"/>
        <v>0</v>
      </c>
      <c r="Z77" s="147">
        <f t="shared" si="144"/>
        <v>0</v>
      </c>
      <c r="AA77" s="147">
        <f t="shared" si="144"/>
        <v>0</v>
      </c>
      <c r="AB77" s="147">
        <f t="shared" si="144"/>
        <v>0</v>
      </c>
      <c r="AC77" s="147">
        <f t="shared" si="144"/>
        <v>0</v>
      </c>
      <c r="AD77" s="147">
        <f>AC77</f>
        <v>0</v>
      </c>
      <c r="AE77" s="484"/>
      <c r="AF77" s="368"/>
      <c r="AG77" s="150">
        <f>AD77</f>
        <v>0</v>
      </c>
      <c r="AH77" s="147">
        <f>AG77</f>
        <v>0</v>
      </c>
      <c r="AI77" s="147">
        <f>AH77</f>
        <v>0</v>
      </c>
      <c r="AJ77" s="147">
        <f>AI77</f>
        <v>0</v>
      </c>
      <c r="AK77" s="484"/>
      <c r="AL77" s="368"/>
      <c r="AM77" s="151">
        <f>AJ77</f>
        <v>0</v>
      </c>
      <c r="AN77" s="152">
        <f>AM77</f>
        <v>0</v>
      </c>
      <c r="AO77" s="152">
        <f>AN77</f>
        <v>0</v>
      </c>
      <c r="AP77" s="153">
        <f>AO77</f>
        <v>0</v>
      </c>
      <c r="AQ77" s="485"/>
      <c r="AR77" s="368"/>
      <c r="AS77" s="154">
        <f>AP77</f>
        <v>0</v>
      </c>
    </row>
    <row r="78" spans="1:45" ht="14.1" customHeight="1">
      <c r="A78" s="357"/>
      <c r="B78" s="486" t="s">
        <v>93</v>
      </c>
      <c r="C78" s="130"/>
      <c r="D78" s="726"/>
      <c r="E78" s="488">
        <f t="shared" ref="E78:P78" si="145">PRODUCT(E76:E77)</f>
        <v>0</v>
      </c>
      <c r="F78" s="488">
        <f t="shared" si="145"/>
        <v>0</v>
      </c>
      <c r="G78" s="488">
        <f t="shared" si="145"/>
        <v>0</v>
      </c>
      <c r="H78" s="488">
        <f t="shared" si="145"/>
        <v>0</v>
      </c>
      <c r="I78" s="488">
        <f t="shared" si="145"/>
        <v>0</v>
      </c>
      <c r="J78" s="488">
        <f t="shared" si="145"/>
        <v>0</v>
      </c>
      <c r="K78" s="488">
        <f t="shared" si="145"/>
        <v>0</v>
      </c>
      <c r="L78" s="488">
        <f t="shared" si="145"/>
        <v>0</v>
      </c>
      <c r="M78" s="488">
        <f t="shared" si="145"/>
        <v>0</v>
      </c>
      <c r="N78" s="488">
        <f t="shared" si="145"/>
        <v>0</v>
      </c>
      <c r="O78" s="488">
        <f t="shared" si="145"/>
        <v>0</v>
      </c>
      <c r="P78" s="489">
        <f t="shared" si="145"/>
        <v>0</v>
      </c>
      <c r="Q78" s="371">
        <f t="shared" ref="Q78:Q83" si="146">SUM(E78:P78)</f>
        <v>0</v>
      </c>
      <c r="R78" s="750"/>
      <c r="S78" s="487">
        <f t="shared" ref="S78:AD78" si="147">PRODUCT(S76:S77)</f>
        <v>0</v>
      </c>
      <c r="T78" s="488">
        <f t="shared" si="147"/>
        <v>0</v>
      </c>
      <c r="U78" s="488">
        <f t="shared" si="147"/>
        <v>0</v>
      </c>
      <c r="V78" s="488">
        <f t="shared" si="147"/>
        <v>0</v>
      </c>
      <c r="W78" s="488">
        <f t="shared" si="147"/>
        <v>0</v>
      </c>
      <c r="X78" s="488">
        <f t="shared" si="147"/>
        <v>0</v>
      </c>
      <c r="Y78" s="488">
        <f t="shared" si="147"/>
        <v>0</v>
      </c>
      <c r="Z78" s="488">
        <f t="shared" si="147"/>
        <v>0</v>
      </c>
      <c r="AA78" s="488">
        <f t="shared" si="147"/>
        <v>0</v>
      </c>
      <c r="AB78" s="488">
        <f t="shared" si="147"/>
        <v>0</v>
      </c>
      <c r="AC78" s="488">
        <f t="shared" si="147"/>
        <v>0</v>
      </c>
      <c r="AD78" s="489">
        <f t="shared" si="147"/>
        <v>0</v>
      </c>
      <c r="AE78" s="371">
        <f t="shared" ref="AE78:AE83" si="148">SUM(S78:AD78)</f>
        <v>0</v>
      </c>
      <c r="AF78" s="368"/>
      <c r="AG78" s="490">
        <f>PRODUCT(AG76:AG77)</f>
        <v>0</v>
      </c>
      <c r="AH78" s="488">
        <f>PRODUCT(AH76:AH77)</f>
        <v>0</v>
      </c>
      <c r="AI78" s="488">
        <f>PRODUCT(AI76:AI77)</f>
        <v>0</v>
      </c>
      <c r="AJ78" s="489">
        <f>PRODUCT(AJ76:AJ77)</f>
        <v>0</v>
      </c>
      <c r="AK78" s="369">
        <f t="shared" ref="AK78:AK83" si="149">SUM(AG78:AJ78)</f>
        <v>0</v>
      </c>
      <c r="AL78" s="368"/>
      <c r="AM78" s="490">
        <f>PRODUCT(AM76:AM77)</f>
        <v>0</v>
      </c>
      <c r="AN78" s="488">
        <f>PRODUCT(AN76:AN77)</f>
        <v>0</v>
      </c>
      <c r="AO78" s="488">
        <f>PRODUCT(AO76:AO77)</f>
        <v>0</v>
      </c>
      <c r="AP78" s="491">
        <f>PRODUCT(AP76:AP77)</f>
        <v>0</v>
      </c>
      <c r="AQ78" s="370">
        <f t="shared" ref="AQ78:AQ83" si="150">SUM(AM78:AP78)</f>
        <v>0</v>
      </c>
      <c r="AR78" s="368"/>
      <c r="AS78" s="371">
        <f>PRODUCT(AS76:AS77)</f>
        <v>0</v>
      </c>
    </row>
    <row r="79" spans="1:45" ht="14.1" customHeight="1">
      <c r="A79" s="357"/>
      <c r="B79" s="492" t="s">
        <v>80</v>
      </c>
      <c r="C79" s="532">
        <v>0.5</v>
      </c>
      <c r="D79" s="727">
        <v>0.15</v>
      </c>
      <c r="E79" s="525">
        <f t="shared" ref="E79:P79" si="151">E78*P8CommRate*P8CommSales</f>
        <v>0</v>
      </c>
      <c r="F79" s="493">
        <f t="shared" si="151"/>
        <v>0</v>
      </c>
      <c r="G79" s="493">
        <f t="shared" si="151"/>
        <v>0</v>
      </c>
      <c r="H79" s="493">
        <f t="shared" si="151"/>
        <v>0</v>
      </c>
      <c r="I79" s="493">
        <f t="shared" si="151"/>
        <v>0</v>
      </c>
      <c r="J79" s="493">
        <f t="shared" si="151"/>
        <v>0</v>
      </c>
      <c r="K79" s="493">
        <f t="shared" si="151"/>
        <v>0</v>
      </c>
      <c r="L79" s="493">
        <f t="shared" si="151"/>
        <v>0</v>
      </c>
      <c r="M79" s="493">
        <f t="shared" si="151"/>
        <v>0</v>
      </c>
      <c r="N79" s="493">
        <f t="shared" si="151"/>
        <v>0</v>
      </c>
      <c r="O79" s="493">
        <f t="shared" si="151"/>
        <v>0</v>
      </c>
      <c r="P79" s="493">
        <f t="shared" si="151"/>
        <v>0</v>
      </c>
      <c r="Q79" s="366">
        <f t="shared" si="146"/>
        <v>0</v>
      </c>
      <c r="R79" s="750"/>
      <c r="S79" s="493">
        <f t="shared" ref="S79:AD79" si="152">S78*P8CommRate*P8CommSales</f>
        <v>0</v>
      </c>
      <c r="T79" s="493">
        <f t="shared" si="152"/>
        <v>0</v>
      </c>
      <c r="U79" s="493">
        <f t="shared" si="152"/>
        <v>0</v>
      </c>
      <c r="V79" s="493">
        <f t="shared" si="152"/>
        <v>0</v>
      </c>
      <c r="W79" s="493">
        <f t="shared" si="152"/>
        <v>0</v>
      </c>
      <c r="X79" s="493">
        <f t="shared" si="152"/>
        <v>0</v>
      </c>
      <c r="Y79" s="493">
        <f t="shared" si="152"/>
        <v>0</v>
      </c>
      <c r="Z79" s="493">
        <f t="shared" si="152"/>
        <v>0</v>
      </c>
      <c r="AA79" s="493">
        <f t="shared" si="152"/>
        <v>0</v>
      </c>
      <c r="AB79" s="493">
        <f t="shared" si="152"/>
        <v>0</v>
      </c>
      <c r="AC79" s="493">
        <f t="shared" si="152"/>
        <v>0</v>
      </c>
      <c r="AD79" s="493">
        <f t="shared" si="152"/>
        <v>0</v>
      </c>
      <c r="AE79" s="366">
        <f t="shared" si="148"/>
        <v>0</v>
      </c>
      <c r="AF79" s="372"/>
      <c r="AG79" s="493">
        <f>AG78*P8CommRate*P8CommSales</f>
        <v>0</v>
      </c>
      <c r="AH79" s="493">
        <f>AH78*P8CommRate*P8CommSales</f>
        <v>0</v>
      </c>
      <c r="AI79" s="493">
        <f>AI78*P8CommRate*P8CommSales</f>
        <v>0</v>
      </c>
      <c r="AJ79" s="493">
        <f>AJ78*P8CommRate*P8CommSales</f>
        <v>0</v>
      </c>
      <c r="AK79" s="369">
        <f t="shared" si="149"/>
        <v>0</v>
      </c>
      <c r="AL79" s="372"/>
      <c r="AM79" s="493">
        <f>AM78*P8CommRate*P8CommSales</f>
        <v>0</v>
      </c>
      <c r="AN79" s="493">
        <f>AN78*P8CommRate*P8CommSales</f>
        <v>0</v>
      </c>
      <c r="AO79" s="493">
        <f>AO78*P8CommRate*P8CommSales</f>
        <v>0</v>
      </c>
      <c r="AP79" s="507">
        <f>AP78*P8CommRate*P8CommSales</f>
        <v>0</v>
      </c>
      <c r="AQ79" s="370">
        <f t="shared" si="150"/>
        <v>0</v>
      </c>
      <c r="AR79" s="372"/>
      <c r="AS79" s="366">
        <f>AS78*P8CommRate*P8CommSales</f>
        <v>0</v>
      </c>
    </row>
    <row r="80" spans="1:45" ht="14.1" customHeight="1">
      <c r="A80" s="357"/>
      <c r="B80" s="492" t="s">
        <v>81</v>
      </c>
      <c r="C80" s="124"/>
      <c r="D80" s="727">
        <v>0.03</v>
      </c>
      <c r="E80" s="525">
        <f t="shared" ref="E80:P80" si="153">E78*P8ReturnRate</f>
        <v>0</v>
      </c>
      <c r="F80" s="493">
        <f t="shared" si="153"/>
        <v>0</v>
      </c>
      <c r="G80" s="493">
        <f t="shared" si="153"/>
        <v>0</v>
      </c>
      <c r="H80" s="493">
        <f t="shared" si="153"/>
        <v>0</v>
      </c>
      <c r="I80" s="493">
        <f t="shared" si="153"/>
        <v>0</v>
      </c>
      <c r="J80" s="493">
        <f t="shared" si="153"/>
        <v>0</v>
      </c>
      <c r="K80" s="493">
        <f t="shared" si="153"/>
        <v>0</v>
      </c>
      <c r="L80" s="493">
        <f t="shared" si="153"/>
        <v>0</v>
      </c>
      <c r="M80" s="493">
        <f t="shared" si="153"/>
        <v>0</v>
      </c>
      <c r="N80" s="493">
        <f t="shared" si="153"/>
        <v>0</v>
      </c>
      <c r="O80" s="493">
        <f t="shared" si="153"/>
        <v>0</v>
      </c>
      <c r="P80" s="493">
        <f t="shared" si="153"/>
        <v>0</v>
      </c>
      <c r="Q80" s="366">
        <f t="shared" si="146"/>
        <v>0</v>
      </c>
      <c r="R80" s="750"/>
      <c r="S80" s="493">
        <f t="shared" ref="S80:AD80" si="154">S78*P8ReturnRate</f>
        <v>0</v>
      </c>
      <c r="T80" s="493">
        <f t="shared" si="154"/>
        <v>0</v>
      </c>
      <c r="U80" s="493">
        <f t="shared" si="154"/>
        <v>0</v>
      </c>
      <c r="V80" s="493">
        <f t="shared" si="154"/>
        <v>0</v>
      </c>
      <c r="W80" s="493">
        <f t="shared" si="154"/>
        <v>0</v>
      </c>
      <c r="X80" s="493">
        <f t="shared" si="154"/>
        <v>0</v>
      </c>
      <c r="Y80" s="493">
        <f t="shared" si="154"/>
        <v>0</v>
      </c>
      <c r="Z80" s="493">
        <f t="shared" si="154"/>
        <v>0</v>
      </c>
      <c r="AA80" s="493">
        <f t="shared" si="154"/>
        <v>0</v>
      </c>
      <c r="AB80" s="493">
        <f t="shared" si="154"/>
        <v>0</v>
      </c>
      <c r="AC80" s="493">
        <f t="shared" si="154"/>
        <v>0</v>
      </c>
      <c r="AD80" s="493">
        <f t="shared" si="154"/>
        <v>0</v>
      </c>
      <c r="AE80" s="366">
        <f t="shared" si="148"/>
        <v>0</v>
      </c>
      <c r="AF80" s="372"/>
      <c r="AG80" s="493">
        <f>AG78*P8ReturnRate</f>
        <v>0</v>
      </c>
      <c r="AH80" s="493">
        <f>AH78*P8ReturnRate</f>
        <v>0</v>
      </c>
      <c r="AI80" s="493">
        <f>AI78*P8ReturnRate</f>
        <v>0</v>
      </c>
      <c r="AJ80" s="493">
        <f>AJ78*P8ReturnRate</f>
        <v>0</v>
      </c>
      <c r="AK80" s="366">
        <f t="shared" si="149"/>
        <v>0</v>
      </c>
      <c r="AL80" s="372"/>
      <c r="AM80" s="493">
        <f>AM78*P8ReturnRate</f>
        <v>0</v>
      </c>
      <c r="AN80" s="493">
        <f>AN78*P8ReturnRate</f>
        <v>0</v>
      </c>
      <c r="AO80" s="493">
        <f>AO78*P8ReturnRate</f>
        <v>0</v>
      </c>
      <c r="AP80" s="507">
        <f>AP78*P8ReturnRate</f>
        <v>0</v>
      </c>
      <c r="AQ80" s="494">
        <f t="shared" si="150"/>
        <v>0</v>
      </c>
      <c r="AR80" s="372"/>
      <c r="AS80" s="366">
        <f>AS78*P8ReturnRate</f>
        <v>0</v>
      </c>
    </row>
    <row r="81" spans="1:45" ht="14.1" customHeight="1" thickBot="1">
      <c r="B81" s="495" t="s">
        <v>30</v>
      </c>
      <c r="C81" s="131"/>
      <c r="D81" s="728"/>
      <c r="E81" s="397">
        <f t="shared" ref="E81:P81" si="155">E78-E79-E80</f>
        <v>0</v>
      </c>
      <c r="F81" s="376">
        <f t="shared" si="155"/>
        <v>0</v>
      </c>
      <c r="G81" s="376">
        <f t="shared" si="155"/>
        <v>0</v>
      </c>
      <c r="H81" s="376">
        <f t="shared" si="155"/>
        <v>0</v>
      </c>
      <c r="I81" s="376">
        <f t="shared" si="155"/>
        <v>0</v>
      </c>
      <c r="J81" s="376">
        <f t="shared" si="155"/>
        <v>0</v>
      </c>
      <c r="K81" s="376">
        <f t="shared" si="155"/>
        <v>0</v>
      </c>
      <c r="L81" s="376">
        <f t="shared" si="155"/>
        <v>0</v>
      </c>
      <c r="M81" s="376">
        <f t="shared" si="155"/>
        <v>0</v>
      </c>
      <c r="N81" s="376">
        <f t="shared" si="155"/>
        <v>0</v>
      </c>
      <c r="O81" s="376">
        <f t="shared" si="155"/>
        <v>0</v>
      </c>
      <c r="P81" s="496">
        <f t="shared" si="155"/>
        <v>0</v>
      </c>
      <c r="Q81" s="377">
        <f t="shared" si="146"/>
        <v>0</v>
      </c>
      <c r="R81" s="750"/>
      <c r="S81" s="376">
        <f t="shared" ref="S81:AD81" si="156">S78-S79-S80</f>
        <v>0</v>
      </c>
      <c r="T81" s="376">
        <f t="shared" si="156"/>
        <v>0</v>
      </c>
      <c r="U81" s="376">
        <f t="shared" si="156"/>
        <v>0</v>
      </c>
      <c r="V81" s="376">
        <f t="shared" si="156"/>
        <v>0</v>
      </c>
      <c r="W81" s="376">
        <f t="shared" si="156"/>
        <v>0</v>
      </c>
      <c r="X81" s="376">
        <f t="shared" si="156"/>
        <v>0</v>
      </c>
      <c r="Y81" s="376">
        <f t="shared" si="156"/>
        <v>0</v>
      </c>
      <c r="Z81" s="376">
        <f t="shared" si="156"/>
        <v>0</v>
      </c>
      <c r="AA81" s="376">
        <f t="shared" si="156"/>
        <v>0</v>
      </c>
      <c r="AB81" s="376">
        <f t="shared" si="156"/>
        <v>0</v>
      </c>
      <c r="AC81" s="376">
        <f t="shared" si="156"/>
        <v>0</v>
      </c>
      <c r="AD81" s="496">
        <f t="shared" si="156"/>
        <v>0</v>
      </c>
      <c r="AE81" s="377">
        <f t="shared" si="148"/>
        <v>0</v>
      </c>
      <c r="AF81" s="368"/>
      <c r="AG81" s="676">
        <f>AG78-AG79-AG80</f>
        <v>0</v>
      </c>
      <c r="AH81" s="677">
        <f>AH78-AH79-AH80</f>
        <v>0</v>
      </c>
      <c r="AI81" s="677">
        <f>AI78-AI79-AI80</f>
        <v>0</v>
      </c>
      <c r="AJ81" s="678">
        <f>AJ78-AJ79-AJ80</f>
        <v>0</v>
      </c>
      <c r="AK81" s="679">
        <f t="shared" si="149"/>
        <v>0</v>
      </c>
      <c r="AL81" s="680"/>
      <c r="AM81" s="676">
        <f>AM78-AM79-AM80</f>
        <v>0</v>
      </c>
      <c r="AN81" s="677">
        <f>AN78-AN79-AN80</f>
        <v>0</v>
      </c>
      <c r="AO81" s="677">
        <f>AO78-AO79-AO80</f>
        <v>0</v>
      </c>
      <c r="AP81" s="681">
        <f>AP78-AP79-AP80</f>
        <v>0</v>
      </c>
      <c r="AQ81" s="682">
        <f t="shared" si="150"/>
        <v>0</v>
      </c>
      <c r="AR81" s="680"/>
      <c r="AS81" s="390">
        <f>AS78-AS79-AS80</f>
        <v>0</v>
      </c>
    </row>
    <row r="82" spans="1:45" ht="14.1" customHeight="1">
      <c r="B82" s="499" t="s">
        <v>181</v>
      </c>
      <c r="C82" s="133"/>
      <c r="D82" s="729">
        <v>0.5</v>
      </c>
      <c r="E82" s="740">
        <f t="shared" ref="E82:P82" si="157">E78*P8COG</f>
        <v>0</v>
      </c>
      <c r="F82" s="500">
        <f t="shared" si="157"/>
        <v>0</v>
      </c>
      <c r="G82" s="500">
        <f t="shared" si="157"/>
        <v>0</v>
      </c>
      <c r="H82" s="500">
        <f t="shared" si="157"/>
        <v>0</v>
      </c>
      <c r="I82" s="500">
        <f t="shared" si="157"/>
        <v>0</v>
      </c>
      <c r="J82" s="500">
        <f t="shared" si="157"/>
        <v>0</v>
      </c>
      <c r="K82" s="500">
        <f t="shared" si="157"/>
        <v>0</v>
      </c>
      <c r="L82" s="500">
        <f t="shared" si="157"/>
        <v>0</v>
      </c>
      <c r="M82" s="500">
        <f t="shared" si="157"/>
        <v>0</v>
      </c>
      <c r="N82" s="500">
        <f t="shared" si="157"/>
        <v>0</v>
      </c>
      <c r="O82" s="500">
        <f t="shared" si="157"/>
        <v>0</v>
      </c>
      <c r="P82" s="500">
        <f t="shared" si="157"/>
        <v>0</v>
      </c>
      <c r="Q82" s="501">
        <f t="shared" si="146"/>
        <v>0</v>
      </c>
      <c r="R82" s="750"/>
      <c r="S82" s="500">
        <f t="shared" ref="S82:AD82" si="158">S78*P8COG</f>
        <v>0</v>
      </c>
      <c r="T82" s="500">
        <f t="shared" si="158"/>
        <v>0</v>
      </c>
      <c r="U82" s="500">
        <f t="shared" si="158"/>
        <v>0</v>
      </c>
      <c r="V82" s="500">
        <f t="shared" si="158"/>
        <v>0</v>
      </c>
      <c r="W82" s="500">
        <f t="shared" si="158"/>
        <v>0</v>
      </c>
      <c r="X82" s="500">
        <f t="shared" si="158"/>
        <v>0</v>
      </c>
      <c r="Y82" s="500">
        <f t="shared" si="158"/>
        <v>0</v>
      </c>
      <c r="Z82" s="500">
        <f t="shared" si="158"/>
        <v>0</v>
      </c>
      <c r="AA82" s="500">
        <f t="shared" si="158"/>
        <v>0</v>
      </c>
      <c r="AB82" s="500">
        <f t="shared" si="158"/>
        <v>0</v>
      </c>
      <c r="AC82" s="500">
        <f t="shared" si="158"/>
        <v>0</v>
      </c>
      <c r="AD82" s="500">
        <f t="shared" si="158"/>
        <v>0</v>
      </c>
      <c r="AE82" s="501">
        <f t="shared" si="148"/>
        <v>0</v>
      </c>
      <c r="AF82" s="372"/>
      <c r="AG82" s="500">
        <f>AG78*P8COG</f>
        <v>0</v>
      </c>
      <c r="AH82" s="500">
        <f>AH78*P8COG</f>
        <v>0</v>
      </c>
      <c r="AI82" s="500">
        <f>AI78*P8COG</f>
        <v>0</v>
      </c>
      <c r="AJ82" s="500">
        <f>AJ78*P8COG</f>
        <v>0</v>
      </c>
      <c r="AK82" s="501">
        <f t="shared" si="149"/>
        <v>0</v>
      </c>
      <c r="AL82" s="372"/>
      <c r="AM82" s="500">
        <f>AM78*P8COG</f>
        <v>0</v>
      </c>
      <c r="AN82" s="500">
        <f>AN78*P8COG</f>
        <v>0</v>
      </c>
      <c r="AO82" s="500">
        <f>AO78*P8COG</f>
        <v>0</v>
      </c>
      <c r="AP82" s="509">
        <f>AP78*P8COG</f>
        <v>0</v>
      </c>
      <c r="AQ82" s="367">
        <f t="shared" si="150"/>
        <v>0</v>
      </c>
      <c r="AR82" s="372"/>
      <c r="AS82" s="501">
        <f>AS78*P8COG</f>
        <v>0</v>
      </c>
    </row>
    <row r="83" spans="1:45" ht="14.1" customHeight="1" thickBot="1">
      <c r="B83" s="379" t="s">
        <v>31</v>
      </c>
      <c r="C83" s="134"/>
      <c r="D83" s="730"/>
      <c r="E83" s="741">
        <f t="shared" ref="E83:P83" si="159">E81-E82</f>
        <v>0</v>
      </c>
      <c r="F83" s="503">
        <f t="shared" si="159"/>
        <v>0</v>
      </c>
      <c r="G83" s="503">
        <f t="shared" si="159"/>
        <v>0</v>
      </c>
      <c r="H83" s="503">
        <f t="shared" si="159"/>
        <v>0</v>
      </c>
      <c r="I83" s="503">
        <f t="shared" si="159"/>
        <v>0</v>
      </c>
      <c r="J83" s="503">
        <f t="shared" si="159"/>
        <v>0</v>
      </c>
      <c r="K83" s="503">
        <f t="shared" si="159"/>
        <v>0</v>
      </c>
      <c r="L83" s="503">
        <f t="shared" si="159"/>
        <v>0</v>
      </c>
      <c r="M83" s="503">
        <f t="shared" si="159"/>
        <v>0</v>
      </c>
      <c r="N83" s="503">
        <f t="shared" si="159"/>
        <v>0</v>
      </c>
      <c r="O83" s="503">
        <f t="shared" si="159"/>
        <v>0</v>
      </c>
      <c r="P83" s="503">
        <f t="shared" si="159"/>
        <v>0</v>
      </c>
      <c r="Q83" s="504">
        <f t="shared" si="146"/>
        <v>0</v>
      </c>
      <c r="R83" s="750"/>
      <c r="S83" s="503">
        <f t="shared" ref="S83:AD83" si="160">S81-S82</f>
        <v>0</v>
      </c>
      <c r="T83" s="503">
        <f t="shared" si="160"/>
        <v>0</v>
      </c>
      <c r="U83" s="503">
        <f t="shared" si="160"/>
        <v>0</v>
      </c>
      <c r="V83" s="503">
        <f t="shared" si="160"/>
        <v>0</v>
      </c>
      <c r="W83" s="503">
        <f t="shared" si="160"/>
        <v>0</v>
      </c>
      <c r="X83" s="503">
        <f t="shared" si="160"/>
        <v>0</v>
      </c>
      <c r="Y83" s="503">
        <f t="shared" si="160"/>
        <v>0</v>
      </c>
      <c r="Z83" s="503">
        <f t="shared" si="160"/>
        <v>0</v>
      </c>
      <c r="AA83" s="503">
        <f t="shared" si="160"/>
        <v>0</v>
      </c>
      <c r="AB83" s="503">
        <f t="shared" si="160"/>
        <v>0</v>
      </c>
      <c r="AC83" s="503">
        <f t="shared" si="160"/>
        <v>0</v>
      </c>
      <c r="AD83" s="503">
        <f t="shared" si="160"/>
        <v>0</v>
      </c>
      <c r="AE83" s="504">
        <f t="shared" si="148"/>
        <v>0</v>
      </c>
      <c r="AF83" s="372"/>
      <c r="AG83" s="503">
        <f>AG81-AG82</f>
        <v>0</v>
      </c>
      <c r="AH83" s="503">
        <f>AH81-AH82</f>
        <v>0</v>
      </c>
      <c r="AI83" s="503">
        <f>AI81-AI82</f>
        <v>0</v>
      </c>
      <c r="AJ83" s="503">
        <f>AJ81-AJ82</f>
        <v>0</v>
      </c>
      <c r="AK83" s="377">
        <f t="shared" si="149"/>
        <v>0</v>
      </c>
      <c r="AL83" s="372"/>
      <c r="AM83" s="503">
        <f>AM81-AM82</f>
        <v>0</v>
      </c>
      <c r="AN83" s="503">
        <f>AN81-AN82</f>
        <v>0</v>
      </c>
      <c r="AO83" s="503">
        <f>AO81-AO82</f>
        <v>0</v>
      </c>
      <c r="AP83" s="505">
        <f>AP81-AP82</f>
        <v>0</v>
      </c>
      <c r="AQ83" s="505">
        <f t="shared" si="150"/>
        <v>0</v>
      </c>
      <c r="AR83" s="372"/>
      <c r="AS83" s="504">
        <f>AS81-AS82</f>
        <v>0</v>
      </c>
    </row>
    <row r="84" spans="1:45" s="110" customFormat="1" ht="14.1" customHeight="1">
      <c r="A84" s="108"/>
      <c r="B84" s="354"/>
      <c r="C84" s="126"/>
      <c r="D84" s="722"/>
      <c r="E84" s="378"/>
      <c r="F84" s="108"/>
      <c r="G84" s="108"/>
      <c r="H84" s="108"/>
      <c r="I84" s="108"/>
      <c r="J84" s="108"/>
      <c r="K84" s="108"/>
      <c r="L84" s="108"/>
      <c r="M84" s="108"/>
      <c r="N84" s="108"/>
      <c r="O84" s="108"/>
      <c r="Q84" s="355"/>
      <c r="R84" s="748"/>
      <c r="S84" s="108"/>
      <c r="T84" s="108"/>
      <c r="U84" s="108"/>
      <c r="V84" s="108"/>
      <c r="W84" s="108"/>
      <c r="X84" s="108"/>
      <c r="Y84" s="108"/>
      <c r="Z84" s="108"/>
      <c r="AA84" s="108"/>
      <c r="AB84" s="108"/>
      <c r="AC84" s="108"/>
      <c r="AE84" s="355"/>
      <c r="AG84" s="356"/>
      <c r="AH84" s="108"/>
      <c r="AI84" s="108"/>
      <c r="AK84" s="355"/>
      <c r="AM84" s="356"/>
      <c r="AN84" s="108"/>
      <c r="AO84" s="108"/>
      <c r="AP84" s="347"/>
      <c r="AQ84" s="347"/>
      <c r="AS84" s="355"/>
    </row>
    <row r="85" spans="1:45" ht="14.1" customHeight="1">
      <c r="A85" s="357"/>
      <c r="B85" s="127" t="s">
        <v>307</v>
      </c>
      <c r="C85" s="479"/>
      <c r="D85" s="723"/>
      <c r="E85" s="739"/>
      <c r="F85" s="359"/>
      <c r="G85" s="359"/>
      <c r="H85" s="359"/>
      <c r="I85" s="359"/>
      <c r="J85" s="360"/>
      <c r="K85" s="360"/>
      <c r="L85" s="360"/>
      <c r="M85" s="360"/>
      <c r="N85" s="360"/>
      <c r="O85" s="360"/>
      <c r="P85" s="361"/>
      <c r="Q85" s="362"/>
      <c r="R85" s="749"/>
      <c r="S85" s="359"/>
      <c r="T85" s="359"/>
      <c r="U85" s="359"/>
      <c r="V85" s="359"/>
      <c r="W85" s="359"/>
      <c r="X85" s="360"/>
      <c r="Y85" s="360"/>
      <c r="Z85" s="360"/>
      <c r="AA85" s="360"/>
      <c r="AB85" s="360"/>
      <c r="AC85" s="360"/>
      <c r="AD85" s="361"/>
      <c r="AE85" s="362"/>
      <c r="AG85" s="363"/>
      <c r="AH85" s="360"/>
      <c r="AI85" s="360"/>
      <c r="AJ85" s="361"/>
      <c r="AK85" s="362"/>
      <c r="AM85" s="363"/>
      <c r="AN85" s="360"/>
      <c r="AO85" s="360"/>
      <c r="AP85" s="365"/>
      <c r="AQ85" s="365"/>
      <c r="AS85" s="362"/>
    </row>
    <row r="86" spans="1:45" ht="14.1" customHeight="1">
      <c r="B86" s="480" t="s">
        <v>78</v>
      </c>
      <c r="C86" s="132"/>
      <c r="D86" s="724">
        <v>0.02</v>
      </c>
      <c r="E86" s="140">
        <v>0</v>
      </c>
      <c r="F86" s="91">
        <f t="shared" ref="F86:P86" si="161">E86*(1+P9GrowthRate)</f>
        <v>0</v>
      </c>
      <c r="G86" s="91">
        <f t="shared" si="161"/>
        <v>0</v>
      </c>
      <c r="H86" s="91">
        <f t="shared" si="161"/>
        <v>0</v>
      </c>
      <c r="I86" s="91">
        <f t="shared" si="161"/>
        <v>0</v>
      </c>
      <c r="J86" s="91">
        <f t="shared" si="161"/>
        <v>0</v>
      </c>
      <c r="K86" s="91">
        <f t="shared" si="161"/>
        <v>0</v>
      </c>
      <c r="L86" s="91">
        <f t="shared" si="161"/>
        <v>0</v>
      </c>
      <c r="M86" s="91">
        <f t="shared" si="161"/>
        <v>0</v>
      </c>
      <c r="N86" s="91">
        <f t="shared" si="161"/>
        <v>0</v>
      </c>
      <c r="O86" s="91">
        <f t="shared" si="161"/>
        <v>0</v>
      </c>
      <c r="P86" s="91">
        <f t="shared" si="161"/>
        <v>0</v>
      </c>
      <c r="Q86" s="481">
        <f>SUM(E86:P86)</f>
        <v>0</v>
      </c>
      <c r="R86" s="749"/>
      <c r="S86" s="91">
        <f>P86*(1+P9GrowthRate)</f>
        <v>0</v>
      </c>
      <c r="T86" s="91">
        <f t="shared" ref="T86:AD86" si="162">S86*(1+P9GrowthRate)</f>
        <v>0</v>
      </c>
      <c r="U86" s="91">
        <f t="shared" si="162"/>
        <v>0</v>
      </c>
      <c r="V86" s="91">
        <f t="shared" si="162"/>
        <v>0</v>
      </c>
      <c r="W86" s="91">
        <f t="shared" si="162"/>
        <v>0</v>
      </c>
      <c r="X86" s="91">
        <f t="shared" si="162"/>
        <v>0</v>
      </c>
      <c r="Y86" s="91">
        <f t="shared" si="162"/>
        <v>0</v>
      </c>
      <c r="Z86" s="91">
        <f t="shared" si="162"/>
        <v>0</v>
      </c>
      <c r="AA86" s="91">
        <f t="shared" si="162"/>
        <v>0</v>
      </c>
      <c r="AB86" s="91">
        <f t="shared" si="162"/>
        <v>0</v>
      </c>
      <c r="AC86" s="91">
        <f t="shared" si="162"/>
        <v>0</v>
      </c>
      <c r="AD86" s="91">
        <f t="shared" si="162"/>
        <v>0</v>
      </c>
      <c r="AE86" s="481">
        <f>SUM(S86:AD86)</f>
        <v>0</v>
      </c>
      <c r="AG86" s="139">
        <f>-FV(P9GrowthRate,3,($AD$86*(1+P9GrowthRate)))</f>
        <v>0</v>
      </c>
      <c r="AH86" s="140">
        <f>-FV(P9GrowthRate,6,($AD$86*(1+P9GrowthRate)))-AG86</f>
        <v>0</v>
      </c>
      <c r="AI86" s="140">
        <f>-FV(P9GrowthRate,9,($AD$86*(1+P9GrowthRate)))-SUM(AG86:AH86)</f>
        <v>0</v>
      </c>
      <c r="AJ86" s="140">
        <f>-FV(P9GrowthRate,12,($AD$86*(1+P9GrowthRate)))-SUM(AG86:AI86)</f>
        <v>0</v>
      </c>
      <c r="AK86" s="481">
        <f>SUM(AG86:AJ86)</f>
        <v>0</v>
      </c>
      <c r="AL86" s="331"/>
      <c r="AM86" s="139">
        <f>-FV(P9GrowthRate,15,($AD$86*(1+P9GrowthRate)))-AK86</f>
        <v>0</v>
      </c>
      <c r="AN86" s="140">
        <f>-FV(P9GrowthRate,18,($AD$86*(1+P9GrowthRate)))-SUM(AK86:AM86)</f>
        <v>0</v>
      </c>
      <c r="AO86" s="140">
        <f>-FV(P9GrowthRate,21,($AD$86*(1+P9GrowthRate)))-SUM(AK86:AN86)</f>
        <v>0</v>
      </c>
      <c r="AP86" s="141">
        <f>-FV(P9GrowthRate,24,($AD$86*(1+P9GrowthRate)))-SUM(AK86:AO86)</f>
        <v>0</v>
      </c>
      <c r="AQ86" s="482">
        <f>SUM(AM86:AP86)</f>
        <v>0</v>
      </c>
      <c r="AS86" s="92">
        <f>-FV(P9GrowthRate,36,($AD$86*(1+P9GrowthRate)))-AK86-AQ86</f>
        <v>0</v>
      </c>
    </row>
    <row r="87" spans="1:45" ht="14.1" customHeight="1">
      <c r="A87" s="357"/>
      <c r="B87" s="483" t="s">
        <v>79</v>
      </c>
      <c r="C87" s="129"/>
      <c r="D87" s="725"/>
      <c r="E87" s="147">
        <v>0</v>
      </c>
      <c r="F87" s="147">
        <f>E87</f>
        <v>0</v>
      </c>
      <c r="G87" s="147">
        <f t="shared" ref="G87:O87" si="163">F87</f>
        <v>0</v>
      </c>
      <c r="H87" s="147">
        <f t="shared" si="163"/>
        <v>0</v>
      </c>
      <c r="I87" s="147">
        <f t="shared" si="163"/>
        <v>0</v>
      </c>
      <c r="J87" s="147">
        <f t="shared" si="163"/>
        <v>0</v>
      </c>
      <c r="K87" s="147">
        <f t="shared" si="163"/>
        <v>0</v>
      </c>
      <c r="L87" s="147">
        <f t="shared" si="163"/>
        <v>0</v>
      </c>
      <c r="M87" s="147">
        <f t="shared" si="163"/>
        <v>0</v>
      </c>
      <c r="N87" s="147">
        <f t="shared" si="163"/>
        <v>0</v>
      </c>
      <c r="O87" s="147">
        <f t="shared" si="163"/>
        <v>0</v>
      </c>
      <c r="P87" s="147">
        <f>O87</f>
        <v>0</v>
      </c>
      <c r="Q87" s="484"/>
      <c r="R87" s="750"/>
      <c r="S87" s="146">
        <f>P87</f>
        <v>0</v>
      </c>
      <c r="T87" s="147">
        <f>S87</f>
        <v>0</v>
      </c>
      <c r="U87" s="147">
        <f t="shared" ref="U87:AC87" si="164">T87</f>
        <v>0</v>
      </c>
      <c r="V87" s="147">
        <f t="shared" si="164"/>
        <v>0</v>
      </c>
      <c r="W87" s="147">
        <f t="shared" si="164"/>
        <v>0</v>
      </c>
      <c r="X87" s="147">
        <f t="shared" si="164"/>
        <v>0</v>
      </c>
      <c r="Y87" s="147">
        <f t="shared" si="164"/>
        <v>0</v>
      </c>
      <c r="Z87" s="147">
        <f t="shared" si="164"/>
        <v>0</v>
      </c>
      <c r="AA87" s="147">
        <f t="shared" si="164"/>
        <v>0</v>
      </c>
      <c r="AB87" s="147">
        <f t="shared" si="164"/>
        <v>0</v>
      </c>
      <c r="AC87" s="147">
        <f t="shared" si="164"/>
        <v>0</v>
      </c>
      <c r="AD87" s="147">
        <f>AC87</f>
        <v>0</v>
      </c>
      <c r="AE87" s="484"/>
      <c r="AF87" s="368"/>
      <c r="AG87" s="150">
        <f>AD87</f>
        <v>0</v>
      </c>
      <c r="AH87" s="147">
        <f>AG87</f>
        <v>0</v>
      </c>
      <c r="AI87" s="147">
        <f>AH87</f>
        <v>0</v>
      </c>
      <c r="AJ87" s="147">
        <f>AI87</f>
        <v>0</v>
      </c>
      <c r="AK87" s="484"/>
      <c r="AL87" s="368"/>
      <c r="AM87" s="151">
        <f>AJ87</f>
        <v>0</v>
      </c>
      <c r="AN87" s="152">
        <f>AM87</f>
        <v>0</v>
      </c>
      <c r="AO87" s="152">
        <f>AN87</f>
        <v>0</v>
      </c>
      <c r="AP87" s="153">
        <f>AO87</f>
        <v>0</v>
      </c>
      <c r="AQ87" s="485"/>
      <c r="AR87" s="368"/>
      <c r="AS87" s="154">
        <f>AP87</f>
        <v>0</v>
      </c>
    </row>
    <row r="88" spans="1:45" ht="14.1" customHeight="1">
      <c r="A88" s="357"/>
      <c r="B88" s="486" t="s">
        <v>93</v>
      </c>
      <c r="C88" s="130"/>
      <c r="D88" s="726"/>
      <c r="E88" s="488">
        <f t="shared" ref="E88:P88" si="165">PRODUCT(E86:E87)</f>
        <v>0</v>
      </c>
      <c r="F88" s="488">
        <f t="shared" si="165"/>
        <v>0</v>
      </c>
      <c r="G88" s="488">
        <f t="shared" si="165"/>
        <v>0</v>
      </c>
      <c r="H88" s="488">
        <f t="shared" si="165"/>
        <v>0</v>
      </c>
      <c r="I88" s="488">
        <f t="shared" si="165"/>
        <v>0</v>
      </c>
      <c r="J88" s="488">
        <f t="shared" si="165"/>
        <v>0</v>
      </c>
      <c r="K88" s="488">
        <f t="shared" si="165"/>
        <v>0</v>
      </c>
      <c r="L88" s="488">
        <f t="shared" si="165"/>
        <v>0</v>
      </c>
      <c r="M88" s="488">
        <f t="shared" si="165"/>
        <v>0</v>
      </c>
      <c r="N88" s="488">
        <f t="shared" si="165"/>
        <v>0</v>
      </c>
      <c r="O88" s="488">
        <f t="shared" si="165"/>
        <v>0</v>
      </c>
      <c r="P88" s="489">
        <f t="shared" si="165"/>
        <v>0</v>
      </c>
      <c r="Q88" s="371">
        <f t="shared" ref="Q88:Q93" si="166">SUM(E88:P88)</f>
        <v>0</v>
      </c>
      <c r="R88" s="750"/>
      <c r="S88" s="487">
        <f t="shared" ref="S88:AD88" si="167">PRODUCT(S86:S87)</f>
        <v>0</v>
      </c>
      <c r="T88" s="488">
        <f t="shared" si="167"/>
        <v>0</v>
      </c>
      <c r="U88" s="488">
        <f t="shared" si="167"/>
        <v>0</v>
      </c>
      <c r="V88" s="488">
        <f t="shared" si="167"/>
        <v>0</v>
      </c>
      <c r="W88" s="488">
        <f t="shared" si="167"/>
        <v>0</v>
      </c>
      <c r="X88" s="488">
        <f t="shared" si="167"/>
        <v>0</v>
      </c>
      <c r="Y88" s="488">
        <f t="shared" si="167"/>
        <v>0</v>
      </c>
      <c r="Z88" s="488">
        <f t="shared" si="167"/>
        <v>0</v>
      </c>
      <c r="AA88" s="488">
        <f t="shared" si="167"/>
        <v>0</v>
      </c>
      <c r="AB88" s="488">
        <f t="shared" si="167"/>
        <v>0</v>
      </c>
      <c r="AC88" s="488">
        <f t="shared" si="167"/>
        <v>0</v>
      </c>
      <c r="AD88" s="489">
        <f t="shared" si="167"/>
        <v>0</v>
      </c>
      <c r="AE88" s="371">
        <f t="shared" ref="AE88:AE93" si="168">SUM(S88:AD88)</f>
        <v>0</v>
      </c>
      <c r="AF88" s="368"/>
      <c r="AG88" s="490">
        <f>PRODUCT(AG86:AG87)</f>
        <v>0</v>
      </c>
      <c r="AH88" s="488">
        <f>PRODUCT(AH86:AH87)</f>
        <v>0</v>
      </c>
      <c r="AI88" s="488">
        <f>PRODUCT(AI86:AI87)</f>
        <v>0</v>
      </c>
      <c r="AJ88" s="489">
        <f>PRODUCT(AJ86:AJ87)</f>
        <v>0</v>
      </c>
      <c r="AK88" s="369">
        <f t="shared" ref="AK88:AK93" si="169">SUM(AG88:AJ88)</f>
        <v>0</v>
      </c>
      <c r="AL88" s="368"/>
      <c r="AM88" s="490">
        <f>PRODUCT(AM86:AM87)</f>
        <v>0</v>
      </c>
      <c r="AN88" s="488">
        <f>PRODUCT(AN86:AN87)</f>
        <v>0</v>
      </c>
      <c r="AO88" s="488">
        <f>PRODUCT(AO86:AO87)</f>
        <v>0</v>
      </c>
      <c r="AP88" s="491">
        <f>PRODUCT(AP86:AP87)</f>
        <v>0</v>
      </c>
      <c r="AQ88" s="370">
        <f t="shared" ref="AQ88:AQ93" si="170">SUM(AM88:AP88)</f>
        <v>0</v>
      </c>
      <c r="AR88" s="368"/>
      <c r="AS88" s="371">
        <f>PRODUCT(AS86:AS87)</f>
        <v>0</v>
      </c>
    </row>
    <row r="89" spans="1:45" ht="14.1" customHeight="1">
      <c r="A89" s="357"/>
      <c r="B89" s="492" t="s">
        <v>80</v>
      </c>
      <c r="C89" s="532">
        <v>0.5</v>
      </c>
      <c r="D89" s="727">
        <v>0.15</v>
      </c>
      <c r="E89" s="525">
        <f t="shared" ref="E89:P89" si="171">E88*P9CommRate*P9CommSales</f>
        <v>0</v>
      </c>
      <c r="F89" s="493">
        <f t="shared" si="171"/>
        <v>0</v>
      </c>
      <c r="G89" s="493">
        <f t="shared" si="171"/>
        <v>0</v>
      </c>
      <c r="H89" s="493">
        <f t="shared" si="171"/>
        <v>0</v>
      </c>
      <c r="I89" s="493">
        <f t="shared" si="171"/>
        <v>0</v>
      </c>
      <c r="J89" s="493">
        <f t="shared" si="171"/>
        <v>0</v>
      </c>
      <c r="K89" s="493">
        <f t="shared" si="171"/>
        <v>0</v>
      </c>
      <c r="L89" s="493">
        <f t="shared" si="171"/>
        <v>0</v>
      </c>
      <c r="M89" s="493">
        <f t="shared" si="171"/>
        <v>0</v>
      </c>
      <c r="N89" s="493">
        <f t="shared" si="171"/>
        <v>0</v>
      </c>
      <c r="O89" s="493">
        <f t="shared" si="171"/>
        <v>0</v>
      </c>
      <c r="P89" s="493">
        <f t="shared" si="171"/>
        <v>0</v>
      </c>
      <c r="Q89" s="366">
        <f t="shared" si="166"/>
        <v>0</v>
      </c>
      <c r="R89" s="750"/>
      <c r="S89" s="493">
        <f t="shared" ref="S89:AD89" si="172">S88*P9CommRate*P9CommSales</f>
        <v>0</v>
      </c>
      <c r="T89" s="493">
        <f t="shared" si="172"/>
        <v>0</v>
      </c>
      <c r="U89" s="493">
        <f t="shared" si="172"/>
        <v>0</v>
      </c>
      <c r="V89" s="493">
        <f t="shared" si="172"/>
        <v>0</v>
      </c>
      <c r="W89" s="493">
        <f t="shared" si="172"/>
        <v>0</v>
      </c>
      <c r="X89" s="493">
        <f t="shared" si="172"/>
        <v>0</v>
      </c>
      <c r="Y89" s="493">
        <f t="shared" si="172"/>
        <v>0</v>
      </c>
      <c r="Z89" s="493">
        <f t="shared" si="172"/>
        <v>0</v>
      </c>
      <c r="AA89" s="493">
        <f t="shared" si="172"/>
        <v>0</v>
      </c>
      <c r="AB89" s="493">
        <f t="shared" si="172"/>
        <v>0</v>
      </c>
      <c r="AC89" s="493">
        <f t="shared" si="172"/>
        <v>0</v>
      </c>
      <c r="AD89" s="493">
        <f t="shared" si="172"/>
        <v>0</v>
      </c>
      <c r="AE89" s="366">
        <f t="shared" si="168"/>
        <v>0</v>
      </c>
      <c r="AF89" s="372"/>
      <c r="AG89" s="493">
        <f>AG88*P9CommRate*P9CommSales</f>
        <v>0</v>
      </c>
      <c r="AH89" s="493">
        <f>AH88*P9CommRate*P9CommSales</f>
        <v>0</v>
      </c>
      <c r="AI89" s="493">
        <f>AI88*P9CommRate*P9CommSales</f>
        <v>0</v>
      </c>
      <c r="AJ89" s="493">
        <f>AJ88*P9CommRate*P9CommSales</f>
        <v>0</v>
      </c>
      <c r="AK89" s="369">
        <f t="shared" si="169"/>
        <v>0</v>
      </c>
      <c r="AL89" s="372"/>
      <c r="AM89" s="493">
        <f>AM88*P9CommRate*P9CommSales</f>
        <v>0</v>
      </c>
      <c r="AN89" s="493">
        <f>AN88*P9CommRate*P9CommSales</f>
        <v>0</v>
      </c>
      <c r="AO89" s="493">
        <f>AO88*P9CommRate*P9CommSales</f>
        <v>0</v>
      </c>
      <c r="AP89" s="507">
        <f>AP88*P9CommRate*P9CommSales</f>
        <v>0</v>
      </c>
      <c r="AQ89" s="370">
        <f t="shared" si="170"/>
        <v>0</v>
      </c>
      <c r="AR89" s="372"/>
      <c r="AS89" s="366">
        <f>AS88*P9CommRate*P9CommSales</f>
        <v>0</v>
      </c>
    </row>
    <row r="90" spans="1:45" ht="14.1" customHeight="1">
      <c r="A90" s="357"/>
      <c r="B90" s="492" t="s">
        <v>81</v>
      </c>
      <c r="C90" s="124"/>
      <c r="D90" s="727">
        <v>0.03</v>
      </c>
      <c r="E90" s="525">
        <f t="shared" ref="E90:P90" si="173">E88*P9ReturnRate</f>
        <v>0</v>
      </c>
      <c r="F90" s="493">
        <f t="shared" si="173"/>
        <v>0</v>
      </c>
      <c r="G90" s="493">
        <f t="shared" si="173"/>
        <v>0</v>
      </c>
      <c r="H90" s="493">
        <f t="shared" si="173"/>
        <v>0</v>
      </c>
      <c r="I90" s="493">
        <f t="shared" si="173"/>
        <v>0</v>
      </c>
      <c r="J90" s="493">
        <f t="shared" si="173"/>
        <v>0</v>
      </c>
      <c r="K90" s="493">
        <f t="shared" si="173"/>
        <v>0</v>
      </c>
      <c r="L90" s="493">
        <f t="shared" si="173"/>
        <v>0</v>
      </c>
      <c r="M90" s="493">
        <f t="shared" si="173"/>
        <v>0</v>
      </c>
      <c r="N90" s="493">
        <f t="shared" si="173"/>
        <v>0</v>
      </c>
      <c r="O90" s="493">
        <f t="shared" si="173"/>
        <v>0</v>
      </c>
      <c r="P90" s="493">
        <f t="shared" si="173"/>
        <v>0</v>
      </c>
      <c r="Q90" s="366">
        <f t="shared" si="166"/>
        <v>0</v>
      </c>
      <c r="R90" s="750"/>
      <c r="S90" s="493">
        <f t="shared" ref="S90:AD90" si="174">S88*P9ReturnRate</f>
        <v>0</v>
      </c>
      <c r="T90" s="493">
        <f t="shared" si="174"/>
        <v>0</v>
      </c>
      <c r="U90" s="493">
        <f t="shared" si="174"/>
        <v>0</v>
      </c>
      <c r="V90" s="493">
        <f t="shared" si="174"/>
        <v>0</v>
      </c>
      <c r="W90" s="493">
        <f t="shared" si="174"/>
        <v>0</v>
      </c>
      <c r="X90" s="493">
        <f t="shared" si="174"/>
        <v>0</v>
      </c>
      <c r="Y90" s="493">
        <f t="shared" si="174"/>
        <v>0</v>
      </c>
      <c r="Z90" s="493">
        <f t="shared" si="174"/>
        <v>0</v>
      </c>
      <c r="AA90" s="493">
        <f t="shared" si="174"/>
        <v>0</v>
      </c>
      <c r="AB90" s="493">
        <f t="shared" si="174"/>
        <v>0</v>
      </c>
      <c r="AC90" s="493">
        <f t="shared" si="174"/>
        <v>0</v>
      </c>
      <c r="AD90" s="493">
        <f t="shared" si="174"/>
        <v>0</v>
      </c>
      <c r="AE90" s="366">
        <f t="shared" si="168"/>
        <v>0</v>
      </c>
      <c r="AF90" s="372"/>
      <c r="AG90" s="493">
        <f>AG88*P9ReturnRate</f>
        <v>0</v>
      </c>
      <c r="AH90" s="493">
        <f>AH88*P9ReturnRate</f>
        <v>0</v>
      </c>
      <c r="AI90" s="493">
        <f>AI88*P9ReturnRate</f>
        <v>0</v>
      </c>
      <c r="AJ90" s="493">
        <f>AJ88*P9ReturnRate</f>
        <v>0</v>
      </c>
      <c r="AK90" s="366">
        <f t="shared" si="169"/>
        <v>0</v>
      </c>
      <c r="AL90" s="372"/>
      <c r="AM90" s="493">
        <f>AM88*P9ReturnRate</f>
        <v>0</v>
      </c>
      <c r="AN90" s="493">
        <f>AN88*P9ReturnRate</f>
        <v>0</v>
      </c>
      <c r="AO90" s="493">
        <f>AO88*P9ReturnRate</f>
        <v>0</v>
      </c>
      <c r="AP90" s="507">
        <f>AP88*P9ReturnRate</f>
        <v>0</v>
      </c>
      <c r="AQ90" s="494">
        <f t="shared" si="170"/>
        <v>0</v>
      </c>
      <c r="AR90" s="372"/>
      <c r="AS90" s="366">
        <f>AS88*P9ReturnRate</f>
        <v>0</v>
      </c>
    </row>
    <row r="91" spans="1:45" ht="14.1" customHeight="1" thickBot="1">
      <c r="B91" s="495" t="s">
        <v>30</v>
      </c>
      <c r="C91" s="131"/>
      <c r="D91" s="728"/>
      <c r="E91" s="397">
        <f t="shared" ref="E91:P91" si="175">E88-E89-E90</f>
        <v>0</v>
      </c>
      <c r="F91" s="376">
        <f t="shared" si="175"/>
        <v>0</v>
      </c>
      <c r="G91" s="376">
        <f t="shared" si="175"/>
        <v>0</v>
      </c>
      <c r="H91" s="376">
        <f t="shared" si="175"/>
        <v>0</v>
      </c>
      <c r="I91" s="376">
        <f t="shared" si="175"/>
        <v>0</v>
      </c>
      <c r="J91" s="376">
        <f t="shared" si="175"/>
        <v>0</v>
      </c>
      <c r="K91" s="376">
        <f t="shared" si="175"/>
        <v>0</v>
      </c>
      <c r="L91" s="376">
        <f t="shared" si="175"/>
        <v>0</v>
      </c>
      <c r="M91" s="376">
        <f t="shared" si="175"/>
        <v>0</v>
      </c>
      <c r="N91" s="376">
        <f t="shared" si="175"/>
        <v>0</v>
      </c>
      <c r="O91" s="376">
        <f t="shared" si="175"/>
        <v>0</v>
      </c>
      <c r="P91" s="496">
        <f t="shared" si="175"/>
        <v>0</v>
      </c>
      <c r="Q91" s="377">
        <f t="shared" si="166"/>
        <v>0</v>
      </c>
      <c r="R91" s="750"/>
      <c r="S91" s="376">
        <f t="shared" ref="S91:AD91" si="176">S88-S89-S90</f>
        <v>0</v>
      </c>
      <c r="T91" s="376">
        <f t="shared" si="176"/>
        <v>0</v>
      </c>
      <c r="U91" s="376">
        <f t="shared" si="176"/>
        <v>0</v>
      </c>
      <c r="V91" s="376">
        <f t="shared" si="176"/>
        <v>0</v>
      </c>
      <c r="W91" s="376">
        <f t="shared" si="176"/>
        <v>0</v>
      </c>
      <c r="X91" s="376">
        <f t="shared" si="176"/>
        <v>0</v>
      </c>
      <c r="Y91" s="376">
        <f t="shared" si="176"/>
        <v>0</v>
      </c>
      <c r="Z91" s="376">
        <f t="shared" si="176"/>
        <v>0</v>
      </c>
      <c r="AA91" s="376">
        <f t="shared" si="176"/>
        <v>0</v>
      </c>
      <c r="AB91" s="376">
        <f t="shared" si="176"/>
        <v>0</v>
      </c>
      <c r="AC91" s="376">
        <f t="shared" si="176"/>
        <v>0</v>
      </c>
      <c r="AD91" s="496">
        <f t="shared" si="176"/>
        <v>0</v>
      </c>
      <c r="AE91" s="377">
        <f t="shared" si="168"/>
        <v>0</v>
      </c>
      <c r="AF91" s="368"/>
      <c r="AG91" s="676">
        <f>AG88-AG89-AG90</f>
        <v>0</v>
      </c>
      <c r="AH91" s="677">
        <f>AH88-AH89-AH90</f>
        <v>0</v>
      </c>
      <c r="AI91" s="677">
        <f>AI88-AI89-AI90</f>
        <v>0</v>
      </c>
      <c r="AJ91" s="678">
        <f>AJ88-AJ89-AJ90</f>
        <v>0</v>
      </c>
      <c r="AK91" s="679">
        <f t="shared" si="169"/>
        <v>0</v>
      </c>
      <c r="AL91" s="680"/>
      <c r="AM91" s="676">
        <f>AM88-AM89-AM90</f>
        <v>0</v>
      </c>
      <c r="AN91" s="677">
        <f>AN88-AN89-AN90</f>
        <v>0</v>
      </c>
      <c r="AO91" s="677">
        <f>AO88-AO89-AO90</f>
        <v>0</v>
      </c>
      <c r="AP91" s="681">
        <f>AP88-AP89-AP90</f>
        <v>0</v>
      </c>
      <c r="AQ91" s="682">
        <f t="shared" si="170"/>
        <v>0</v>
      </c>
      <c r="AR91" s="680"/>
      <c r="AS91" s="390">
        <f>AS88-AS89-AS90</f>
        <v>0</v>
      </c>
    </row>
    <row r="92" spans="1:45" ht="14.1" customHeight="1">
      <c r="B92" s="499" t="s">
        <v>181</v>
      </c>
      <c r="C92" s="133"/>
      <c r="D92" s="729">
        <v>0.5</v>
      </c>
      <c r="E92" s="740">
        <f t="shared" ref="E92:P92" si="177">E88*P9COG</f>
        <v>0</v>
      </c>
      <c r="F92" s="500">
        <f t="shared" si="177"/>
        <v>0</v>
      </c>
      <c r="G92" s="500">
        <f t="shared" si="177"/>
        <v>0</v>
      </c>
      <c r="H92" s="500">
        <f t="shared" si="177"/>
        <v>0</v>
      </c>
      <c r="I92" s="500">
        <f t="shared" si="177"/>
        <v>0</v>
      </c>
      <c r="J92" s="500">
        <f t="shared" si="177"/>
        <v>0</v>
      </c>
      <c r="K92" s="500">
        <f t="shared" si="177"/>
        <v>0</v>
      </c>
      <c r="L92" s="500">
        <f t="shared" si="177"/>
        <v>0</v>
      </c>
      <c r="M92" s="500">
        <f t="shared" si="177"/>
        <v>0</v>
      </c>
      <c r="N92" s="500">
        <f t="shared" si="177"/>
        <v>0</v>
      </c>
      <c r="O92" s="500">
        <f t="shared" si="177"/>
        <v>0</v>
      </c>
      <c r="P92" s="500">
        <f t="shared" si="177"/>
        <v>0</v>
      </c>
      <c r="Q92" s="501">
        <f t="shared" si="166"/>
        <v>0</v>
      </c>
      <c r="R92" s="750"/>
      <c r="S92" s="500">
        <f t="shared" ref="S92:AD92" si="178">S88*P9COG</f>
        <v>0</v>
      </c>
      <c r="T92" s="500">
        <f t="shared" si="178"/>
        <v>0</v>
      </c>
      <c r="U92" s="500">
        <f t="shared" si="178"/>
        <v>0</v>
      </c>
      <c r="V92" s="500">
        <f t="shared" si="178"/>
        <v>0</v>
      </c>
      <c r="W92" s="500">
        <f t="shared" si="178"/>
        <v>0</v>
      </c>
      <c r="X92" s="500">
        <f t="shared" si="178"/>
        <v>0</v>
      </c>
      <c r="Y92" s="500">
        <f t="shared" si="178"/>
        <v>0</v>
      </c>
      <c r="Z92" s="500">
        <f t="shared" si="178"/>
        <v>0</v>
      </c>
      <c r="AA92" s="500">
        <f t="shared" si="178"/>
        <v>0</v>
      </c>
      <c r="AB92" s="500">
        <f t="shared" si="178"/>
        <v>0</v>
      </c>
      <c r="AC92" s="500">
        <f t="shared" si="178"/>
        <v>0</v>
      </c>
      <c r="AD92" s="500">
        <f t="shared" si="178"/>
        <v>0</v>
      </c>
      <c r="AE92" s="501">
        <f t="shared" si="168"/>
        <v>0</v>
      </c>
      <c r="AF92" s="372"/>
      <c r="AG92" s="500">
        <f>AG88*P9COG</f>
        <v>0</v>
      </c>
      <c r="AH92" s="500">
        <f>AH88*P9COG</f>
        <v>0</v>
      </c>
      <c r="AI92" s="500">
        <f>AI88*P9COG</f>
        <v>0</v>
      </c>
      <c r="AJ92" s="500">
        <f>AJ88*P9COG</f>
        <v>0</v>
      </c>
      <c r="AK92" s="501">
        <f t="shared" si="169"/>
        <v>0</v>
      </c>
      <c r="AL92" s="372"/>
      <c r="AM92" s="500">
        <f>AM88*P9COG</f>
        <v>0</v>
      </c>
      <c r="AN92" s="500">
        <f>AN88*P9COG</f>
        <v>0</v>
      </c>
      <c r="AO92" s="500">
        <f>AO88*P9COG</f>
        <v>0</v>
      </c>
      <c r="AP92" s="509">
        <f>AP88*P9COG</f>
        <v>0</v>
      </c>
      <c r="AQ92" s="367">
        <f t="shared" si="170"/>
        <v>0</v>
      </c>
      <c r="AR92" s="372"/>
      <c r="AS92" s="501">
        <f>AS88*P9COG</f>
        <v>0</v>
      </c>
    </row>
    <row r="93" spans="1:45" ht="14.1" customHeight="1" thickBot="1">
      <c r="B93" s="379" t="s">
        <v>31</v>
      </c>
      <c r="C93" s="134"/>
      <c r="D93" s="730"/>
      <c r="E93" s="741">
        <f t="shared" ref="E93:P93" si="179">E91-E92</f>
        <v>0</v>
      </c>
      <c r="F93" s="503">
        <f t="shared" si="179"/>
        <v>0</v>
      </c>
      <c r="G93" s="503">
        <f t="shared" si="179"/>
        <v>0</v>
      </c>
      <c r="H93" s="503">
        <f t="shared" si="179"/>
        <v>0</v>
      </c>
      <c r="I93" s="503">
        <f t="shared" si="179"/>
        <v>0</v>
      </c>
      <c r="J93" s="503">
        <f t="shared" si="179"/>
        <v>0</v>
      </c>
      <c r="K93" s="503">
        <f t="shared" si="179"/>
        <v>0</v>
      </c>
      <c r="L93" s="503">
        <f t="shared" si="179"/>
        <v>0</v>
      </c>
      <c r="M93" s="503">
        <f t="shared" si="179"/>
        <v>0</v>
      </c>
      <c r="N93" s="503">
        <f t="shared" si="179"/>
        <v>0</v>
      </c>
      <c r="O93" s="503">
        <f t="shared" si="179"/>
        <v>0</v>
      </c>
      <c r="P93" s="503">
        <f t="shared" si="179"/>
        <v>0</v>
      </c>
      <c r="Q93" s="504">
        <f t="shared" si="166"/>
        <v>0</v>
      </c>
      <c r="R93" s="750"/>
      <c r="S93" s="503">
        <f t="shared" ref="S93:AD93" si="180">S91-S92</f>
        <v>0</v>
      </c>
      <c r="T93" s="503">
        <f t="shared" si="180"/>
        <v>0</v>
      </c>
      <c r="U93" s="503">
        <f t="shared" si="180"/>
        <v>0</v>
      </c>
      <c r="V93" s="503">
        <f t="shared" si="180"/>
        <v>0</v>
      </c>
      <c r="W93" s="503">
        <f t="shared" si="180"/>
        <v>0</v>
      </c>
      <c r="X93" s="503">
        <f t="shared" si="180"/>
        <v>0</v>
      </c>
      <c r="Y93" s="503">
        <f t="shared" si="180"/>
        <v>0</v>
      </c>
      <c r="Z93" s="503">
        <f t="shared" si="180"/>
        <v>0</v>
      </c>
      <c r="AA93" s="503">
        <f t="shared" si="180"/>
        <v>0</v>
      </c>
      <c r="AB93" s="503">
        <f t="shared" si="180"/>
        <v>0</v>
      </c>
      <c r="AC93" s="503">
        <f t="shared" si="180"/>
        <v>0</v>
      </c>
      <c r="AD93" s="503">
        <f t="shared" si="180"/>
        <v>0</v>
      </c>
      <c r="AE93" s="504">
        <f t="shared" si="168"/>
        <v>0</v>
      </c>
      <c r="AF93" s="372"/>
      <c r="AG93" s="503">
        <f>AG91-AG92</f>
        <v>0</v>
      </c>
      <c r="AH93" s="503">
        <f>AH91-AH92</f>
        <v>0</v>
      </c>
      <c r="AI93" s="503">
        <f>AI91-AI92</f>
        <v>0</v>
      </c>
      <c r="AJ93" s="503">
        <f>AJ91-AJ92</f>
        <v>0</v>
      </c>
      <c r="AK93" s="377">
        <f t="shared" si="169"/>
        <v>0</v>
      </c>
      <c r="AL93" s="372"/>
      <c r="AM93" s="503">
        <f>AM91-AM92</f>
        <v>0</v>
      </c>
      <c r="AN93" s="503">
        <f>AN91-AN92</f>
        <v>0</v>
      </c>
      <c r="AO93" s="503">
        <f>AO91-AO92</f>
        <v>0</v>
      </c>
      <c r="AP93" s="505">
        <f>AP91-AP92</f>
        <v>0</v>
      </c>
      <c r="AQ93" s="505">
        <f t="shared" si="170"/>
        <v>0</v>
      </c>
      <c r="AR93" s="372"/>
      <c r="AS93" s="504">
        <f>AS91-AS92</f>
        <v>0</v>
      </c>
    </row>
    <row r="94" spans="1:45" s="110" customFormat="1" ht="14.1" customHeight="1">
      <c r="A94" s="108"/>
      <c r="B94" s="354"/>
      <c r="C94" s="126"/>
      <c r="D94" s="722"/>
      <c r="E94" s="378"/>
      <c r="F94" s="108"/>
      <c r="G94" s="108"/>
      <c r="H94" s="108"/>
      <c r="I94" s="108"/>
      <c r="J94" s="108"/>
      <c r="K94" s="108"/>
      <c r="L94" s="108"/>
      <c r="M94" s="108"/>
      <c r="N94" s="108"/>
      <c r="O94" s="108"/>
      <c r="Q94" s="355"/>
      <c r="R94" s="748"/>
      <c r="S94" s="108"/>
      <c r="T94" s="108"/>
      <c r="U94" s="108"/>
      <c r="V94" s="108"/>
      <c r="W94" s="108"/>
      <c r="X94" s="108"/>
      <c r="Y94" s="108"/>
      <c r="Z94" s="108"/>
      <c r="AA94" s="108"/>
      <c r="AB94" s="108"/>
      <c r="AC94" s="108"/>
      <c r="AE94" s="355"/>
      <c r="AG94" s="356"/>
      <c r="AH94" s="108"/>
      <c r="AI94" s="108"/>
      <c r="AK94" s="355"/>
      <c r="AM94" s="356"/>
      <c r="AN94" s="108"/>
      <c r="AO94" s="108"/>
      <c r="AP94" s="347"/>
      <c r="AQ94" s="347"/>
      <c r="AS94" s="355"/>
    </row>
    <row r="95" spans="1:45" ht="14.1" customHeight="1">
      <c r="A95" s="357"/>
      <c r="B95" s="127" t="s">
        <v>308</v>
      </c>
      <c r="C95" s="479"/>
      <c r="D95" s="723"/>
      <c r="E95" s="739"/>
      <c r="F95" s="359"/>
      <c r="G95" s="359"/>
      <c r="H95" s="359"/>
      <c r="I95" s="359"/>
      <c r="J95" s="360"/>
      <c r="K95" s="360"/>
      <c r="L95" s="360"/>
      <c r="M95" s="360"/>
      <c r="N95" s="360"/>
      <c r="O95" s="360"/>
      <c r="P95" s="361"/>
      <c r="Q95" s="362"/>
      <c r="R95" s="749"/>
      <c r="S95" s="359"/>
      <c r="T95" s="359"/>
      <c r="U95" s="359"/>
      <c r="V95" s="359"/>
      <c r="W95" s="359"/>
      <c r="X95" s="360"/>
      <c r="Y95" s="360"/>
      <c r="Z95" s="360"/>
      <c r="AA95" s="360"/>
      <c r="AB95" s="360"/>
      <c r="AC95" s="360"/>
      <c r="AD95" s="361"/>
      <c r="AE95" s="362"/>
      <c r="AG95" s="363"/>
      <c r="AH95" s="360"/>
      <c r="AI95" s="360"/>
      <c r="AJ95" s="361"/>
      <c r="AK95" s="362"/>
      <c r="AM95" s="363"/>
      <c r="AN95" s="360"/>
      <c r="AO95" s="360"/>
      <c r="AP95" s="365"/>
      <c r="AQ95" s="365"/>
      <c r="AS95" s="362"/>
    </row>
    <row r="96" spans="1:45" ht="14.1" customHeight="1">
      <c r="B96" s="480" t="s">
        <v>78</v>
      </c>
      <c r="C96" s="132"/>
      <c r="D96" s="724">
        <v>0.02</v>
      </c>
      <c r="E96" s="140">
        <v>0</v>
      </c>
      <c r="F96" s="91">
        <f t="shared" ref="F96:P96" si="181">E96*(1+P10GrowthRate)</f>
        <v>0</v>
      </c>
      <c r="G96" s="91">
        <f t="shared" si="181"/>
        <v>0</v>
      </c>
      <c r="H96" s="91">
        <f t="shared" si="181"/>
        <v>0</v>
      </c>
      <c r="I96" s="91">
        <f t="shared" si="181"/>
        <v>0</v>
      </c>
      <c r="J96" s="91">
        <f t="shared" si="181"/>
        <v>0</v>
      </c>
      <c r="K96" s="91">
        <f t="shared" si="181"/>
        <v>0</v>
      </c>
      <c r="L96" s="91">
        <f t="shared" si="181"/>
        <v>0</v>
      </c>
      <c r="M96" s="91">
        <f t="shared" si="181"/>
        <v>0</v>
      </c>
      <c r="N96" s="91">
        <f t="shared" si="181"/>
        <v>0</v>
      </c>
      <c r="O96" s="91">
        <f t="shared" si="181"/>
        <v>0</v>
      </c>
      <c r="P96" s="91">
        <f t="shared" si="181"/>
        <v>0</v>
      </c>
      <c r="Q96" s="481">
        <f>SUM(E96:P96)</f>
        <v>0</v>
      </c>
      <c r="R96" s="749"/>
      <c r="S96" s="91">
        <f>P96*(1+P10GrowthRate)</f>
        <v>0</v>
      </c>
      <c r="T96" s="91">
        <f t="shared" ref="T96:AD96" si="182">S96*(1+P10GrowthRate)</f>
        <v>0</v>
      </c>
      <c r="U96" s="91">
        <f t="shared" si="182"/>
        <v>0</v>
      </c>
      <c r="V96" s="91">
        <f t="shared" si="182"/>
        <v>0</v>
      </c>
      <c r="W96" s="91">
        <f t="shared" si="182"/>
        <v>0</v>
      </c>
      <c r="X96" s="91">
        <f t="shared" si="182"/>
        <v>0</v>
      </c>
      <c r="Y96" s="91">
        <f t="shared" si="182"/>
        <v>0</v>
      </c>
      <c r="Z96" s="91">
        <f t="shared" si="182"/>
        <v>0</v>
      </c>
      <c r="AA96" s="91">
        <f t="shared" si="182"/>
        <v>0</v>
      </c>
      <c r="AB96" s="91">
        <f t="shared" si="182"/>
        <v>0</v>
      </c>
      <c r="AC96" s="91">
        <f t="shared" si="182"/>
        <v>0</v>
      </c>
      <c r="AD96" s="91">
        <f t="shared" si="182"/>
        <v>0</v>
      </c>
      <c r="AE96" s="481">
        <f>SUM(S96:AD96)</f>
        <v>0</v>
      </c>
      <c r="AG96" s="139">
        <f>-FV(P10GrowthRate,3,($AD$96*(1+P10GrowthRate)))</f>
        <v>0</v>
      </c>
      <c r="AH96" s="140">
        <f>-FV(P10GrowthRate,6,($AD$96*(1+P10GrowthRate)))-AG96</f>
        <v>0</v>
      </c>
      <c r="AI96" s="142">
        <f>-FV(P10GrowthRate,9,($AD$96*(1+P10GrowthRate)))-SUM(AG96:AH96)</f>
        <v>0</v>
      </c>
      <c r="AJ96" s="141">
        <f>-FV(P10GrowthRate,12,($AD$96*(1+P10GrowthRate)))-SUM(AG96:AI96)</f>
        <v>0</v>
      </c>
      <c r="AK96" s="481">
        <f>SUM(AG96:AJ96)</f>
        <v>0</v>
      </c>
      <c r="AL96" s="331"/>
      <c r="AM96" s="139">
        <f>-FV(P10GrowthRate,15,($AD$96*(1+P10GrowthRate)))-AK96</f>
        <v>0</v>
      </c>
      <c r="AN96" s="140">
        <f>-FV(P10GrowthRate,18,($AD$96*(1+P10GrowthRate)))-SUM(AK96:AM96)</f>
        <v>0</v>
      </c>
      <c r="AO96" s="140">
        <f>-FV(P10GrowthRate,21,($AD$96*(1+P10GrowthRate)))-SUM(AK96:AN96)</f>
        <v>0</v>
      </c>
      <c r="AP96" s="141">
        <f>-FV(P10GrowthRate,24,($AD$96*(1+P10GrowthRate)))-SUM(AK96:AO96)</f>
        <v>0</v>
      </c>
      <c r="AQ96" s="482">
        <f>SUM(AM96:AP96)</f>
        <v>0</v>
      </c>
      <c r="AS96" s="92">
        <f>-FV(P10GrowthRate,36,($AD$96*(1+P10GrowthRate)))-AK96-AQ96</f>
        <v>0</v>
      </c>
    </row>
    <row r="97" spans="1:45" ht="14.1" customHeight="1">
      <c r="A97" s="357"/>
      <c r="B97" s="483" t="s">
        <v>79</v>
      </c>
      <c r="C97" s="129"/>
      <c r="D97" s="725"/>
      <c r="E97" s="147">
        <v>0</v>
      </c>
      <c r="F97" s="147">
        <f>E97</f>
        <v>0</v>
      </c>
      <c r="G97" s="147">
        <f t="shared" ref="G97:O97" si="183">F97</f>
        <v>0</v>
      </c>
      <c r="H97" s="147">
        <f t="shared" si="183"/>
        <v>0</v>
      </c>
      <c r="I97" s="147">
        <f t="shared" si="183"/>
        <v>0</v>
      </c>
      <c r="J97" s="147">
        <f t="shared" si="183"/>
        <v>0</v>
      </c>
      <c r="K97" s="147">
        <f t="shared" si="183"/>
        <v>0</v>
      </c>
      <c r="L97" s="147">
        <f t="shared" si="183"/>
        <v>0</v>
      </c>
      <c r="M97" s="147">
        <f t="shared" si="183"/>
        <v>0</v>
      </c>
      <c r="N97" s="147">
        <f t="shared" si="183"/>
        <v>0</v>
      </c>
      <c r="O97" s="147">
        <f t="shared" si="183"/>
        <v>0</v>
      </c>
      <c r="P97" s="147">
        <f>O97</f>
        <v>0</v>
      </c>
      <c r="Q97" s="484"/>
      <c r="R97" s="750"/>
      <c r="S97" s="146">
        <f>P97</f>
        <v>0</v>
      </c>
      <c r="T97" s="147">
        <f>S97</f>
        <v>0</v>
      </c>
      <c r="U97" s="147">
        <f t="shared" ref="U97:AC97" si="184">T97</f>
        <v>0</v>
      </c>
      <c r="V97" s="147">
        <f t="shared" si="184"/>
        <v>0</v>
      </c>
      <c r="W97" s="147">
        <f t="shared" si="184"/>
        <v>0</v>
      </c>
      <c r="X97" s="147">
        <f t="shared" si="184"/>
        <v>0</v>
      </c>
      <c r="Y97" s="147">
        <f t="shared" si="184"/>
        <v>0</v>
      </c>
      <c r="Z97" s="147">
        <f t="shared" si="184"/>
        <v>0</v>
      </c>
      <c r="AA97" s="147">
        <f t="shared" si="184"/>
        <v>0</v>
      </c>
      <c r="AB97" s="147">
        <f t="shared" si="184"/>
        <v>0</v>
      </c>
      <c r="AC97" s="147">
        <f t="shared" si="184"/>
        <v>0</v>
      </c>
      <c r="AD97" s="147">
        <f>AC97</f>
        <v>0</v>
      </c>
      <c r="AE97" s="484"/>
      <c r="AF97" s="368"/>
      <c r="AG97" s="150">
        <f>AD97</f>
        <v>0</v>
      </c>
      <c r="AH97" s="147">
        <f>AG97</f>
        <v>0</v>
      </c>
      <c r="AI97" s="147">
        <f>AH97</f>
        <v>0</v>
      </c>
      <c r="AJ97" s="147">
        <f>AI97</f>
        <v>0</v>
      </c>
      <c r="AK97" s="484"/>
      <c r="AL97" s="368"/>
      <c r="AM97" s="151">
        <f>AJ97</f>
        <v>0</v>
      </c>
      <c r="AN97" s="152">
        <f>AM97</f>
        <v>0</v>
      </c>
      <c r="AO97" s="152">
        <f>AN97</f>
        <v>0</v>
      </c>
      <c r="AP97" s="153">
        <f>AO97</f>
        <v>0</v>
      </c>
      <c r="AQ97" s="485"/>
      <c r="AR97" s="368"/>
      <c r="AS97" s="154">
        <f>AP97</f>
        <v>0</v>
      </c>
    </row>
    <row r="98" spans="1:45" ht="14.1" customHeight="1">
      <c r="A98" s="357"/>
      <c r="B98" s="486" t="s">
        <v>93</v>
      </c>
      <c r="C98" s="130"/>
      <c r="D98" s="726"/>
      <c r="E98" s="488">
        <f t="shared" ref="E98:P98" si="185">PRODUCT(E96:E97)</f>
        <v>0</v>
      </c>
      <c r="F98" s="488">
        <f t="shared" si="185"/>
        <v>0</v>
      </c>
      <c r="G98" s="488">
        <f t="shared" si="185"/>
        <v>0</v>
      </c>
      <c r="H98" s="488">
        <f t="shared" si="185"/>
        <v>0</v>
      </c>
      <c r="I98" s="488">
        <f t="shared" si="185"/>
        <v>0</v>
      </c>
      <c r="J98" s="488">
        <f t="shared" si="185"/>
        <v>0</v>
      </c>
      <c r="K98" s="488">
        <f t="shared" si="185"/>
        <v>0</v>
      </c>
      <c r="L98" s="488">
        <f t="shared" si="185"/>
        <v>0</v>
      </c>
      <c r="M98" s="488">
        <f t="shared" si="185"/>
        <v>0</v>
      </c>
      <c r="N98" s="488">
        <f t="shared" si="185"/>
        <v>0</v>
      </c>
      <c r="O98" s="488">
        <f t="shared" si="185"/>
        <v>0</v>
      </c>
      <c r="P98" s="489">
        <f t="shared" si="185"/>
        <v>0</v>
      </c>
      <c r="Q98" s="371">
        <f t="shared" ref="Q98:Q103" si="186">SUM(E98:P98)</f>
        <v>0</v>
      </c>
      <c r="R98" s="750"/>
      <c r="S98" s="487">
        <f t="shared" ref="S98:AD98" si="187">PRODUCT(S96:S97)</f>
        <v>0</v>
      </c>
      <c r="T98" s="488">
        <f t="shared" si="187"/>
        <v>0</v>
      </c>
      <c r="U98" s="488">
        <f t="shared" si="187"/>
        <v>0</v>
      </c>
      <c r="V98" s="488">
        <f t="shared" si="187"/>
        <v>0</v>
      </c>
      <c r="W98" s="488">
        <f t="shared" si="187"/>
        <v>0</v>
      </c>
      <c r="X98" s="488">
        <f t="shared" si="187"/>
        <v>0</v>
      </c>
      <c r="Y98" s="488">
        <f t="shared" si="187"/>
        <v>0</v>
      </c>
      <c r="Z98" s="488">
        <f t="shared" si="187"/>
        <v>0</v>
      </c>
      <c r="AA98" s="488">
        <f t="shared" si="187"/>
        <v>0</v>
      </c>
      <c r="AB98" s="488">
        <f t="shared" si="187"/>
        <v>0</v>
      </c>
      <c r="AC98" s="488">
        <f t="shared" si="187"/>
        <v>0</v>
      </c>
      <c r="AD98" s="489">
        <f t="shared" si="187"/>
        <v>0</v>
      </c>
      <c r="AE98" s="371">
        <f t="shared" ref="AE98:AE103" si="188">SUM(S98:AD98)</f>
        <v>0</v>
      </c>
      <c r="AF98" s="368"/>
      <c r="AG98" s="490">
        <f>PRODUCT(AG96:AG97)</f>
        <v>0</v>
      </c>
      <c r="AH98" s="488">
        <f>PRODUCT(AH96:AH97)</f>
        <v>0</v>
      </c>
      <c r="AI98" s="488">
        <f>PRODUCT(AI96:AI97)</f>
        <v>0</v>
      </c>
      <c r="AJ98" s="489">
        <f>PRODUCT(AJ96:AJ97)</f>
        <v>0</v>
      </c>
      <c r="AK98" s="369">
        <f t="shared" ref="AK98:AK103" si="189">SUM(AG98:AJ98)</f>
        <v>0</v>
      </c>
      <c r="AL98" s="368"/>
      <c r="AM98" s="490">
        <f>PRODUCT(AM96:AM97)</f>
        <v>0</v>
      </c>
      <c r="AN98" s="488">
        <f>PRODUCT(AN96:AN97)</f>
        <v>0</v>
      </c>
      <c r="AO98" s="488">
        <f>PRODUCT(AO96:AO97)</f>
        <v>0</v>
      </c>
      <c r="AP98" s="491">
        <f>PRODUCT(AP96:AP97)</f>
        <v>0</v>
      </c>
      <c r="AQ98" s="370">
        <f t="shared" ref="AQ98:AQ103" si="190">SUM(AM98:AP98)</f>
        <v>0</v>
      </c>
      <c r="AR98" s="368"/>
      <c r="AS98" s="371">
        <f>PRODUCT(AS96:AS97)</f>
        <v>0</v>
      </c>
    </row>
    <row r="99" spans="1:45" ht="14.1" customHeight="1">
      <c r="A99" s="357"/>
      <c r="B99" s="492" t="s">
        <v>80</v>
      </c>
      <c r="C99" s="532">
        <v>0.5</v>
      </c>
      <c r="D99" s="727">
        <v>0.15</v>
      </c>
      <c r="E99" s="525">
        <f t="shared" ref="E99:P99" si="191">E98*P10CommRate*P10CommSales</f>
        <v>0</v>
      </c>
      <c r="F99" s="493">
        <f t="shared" si="191"/>
        <v>0</v>
      </c>
      <c r="G99" s="493">
        <f t="shared" si="191"/>
        <v>0</v>
      </c>
      <c r="H99" s="493">
        <f t="shared" si="191"/>
        <v>0</v>
      </c>
      <c r="I99" s="493">
        <f t="shared" si="191"/>
        <v>0</v>
      </c>
      <c r="J99" s="493">
        <f t="shared" si="191"/>
        <v>0</v>
      </c>
      <c r="K99" s="493">
        <f t="shared" si="191"/>
        <v>0</v>
      </c>
      <c r="L99" s="493">
        <f t="shared" si="191"/>
        <v>0</v>
      </c>
      <c r="M99" s="493">
        <f t="shared" si="191"/>
        <v>0</v>
      </c>
      <c r="N99" s="493">
        <f t="shared" si="191"/>
        <v>0</v>
      </c>
      <c r="O99" s="493">
        <f t="shared" si="191"/>
        <v>0</v>
      </c>
      <c r="P99" s="493">
        <f t="shared" si="191"/>
        <v>0</v>
      </c>
      <c r="Q99" s="366">
        <f t="shared" si="186"/>
        <v>0</v>
      </c>
      <c r="R99" s="750"/>
      <c r="S99" s="493">
        <f t="shared" ref="S99:AD99" si="192">S98*P10CommRate*P10CommSales</f>
        <v>0</v>
      </c>
      <c r="T99" s="493">
        <f t="shared" si="192"/>
        <v>0</v>
      </c>
      <c r="U99" s="493">
        <f t="shared" si="192"/>
        <v>0</v>
      </c>
      <c r="V99" s="493">
        <f t="shared" si="192"/>
        <v>0</v>
      </c>
      <c r="W99" s="493">
        <f t="shared" si="192"/>
        <v>0</v>
      </c>
      <c r="X99" s="493">
        <f t="shared" si="192"/>
        <v>0</v>
      </c>
      <c r="Y99" s="493">
        <f t="shared" si="192"/>
        <v>0</v>
      </c>
      <c r="Z99" s="493">
        <f t="shared" si="192"/>
        <v>0</v>
      </c>
      <c r="AA99" s="493">
        <f t="shared" si="192"/>
        <v>0</v>
      </c>
      <c r="AB99" s="493">
        <f t="shared" si="192"/>
        <v>0</v>
      </c>
      <c r="AC99" s="493">
        <f t="shared" si="192"/>
        <v>0</v>
      </c>
      <c r="AD99" s="493">
        <f t="shared" si="192"/>
        <v>0</v>
      </c>
      <c r="AE99" s="366">
        <f t="shared" si="188"/>
        <v>0</v>
      </c>
      <c r="AF99" s="372"/>
      <c r="AG99" s="493">
        <f>AG98*P10CommRate*P10CommSales</f>
        <v>0</v>
      </c>
      <c r="AH99" s="493">
        <f>AH98*P10CommRate*P10CommSales</f>
        <v>0</v>
      </c>
      <c r="AI99" s="493">
        <f>AI98*P10CommRate*P10CommSales</f>
        <v>0</v>
      </c>
      <c r="AJ99" s="493">
        <f>AJ98*P10CommRate*P10CommSales</f>
        <v>0</v>
      </c>
      <c r="AK99" s="369">
        <f t="shared" si="189"/>
        <v>0</v>
      </c>
      <c r="AL99" s="372"/>
      <c r="AM99" s="493">
        <f>AM98*P10CommRate*P10CommSales</f>
        <v>0</v>
      </c>
      <c r="AN99" s="493">
        <f>AN98*P10CommRate*P10CommSales</f>
        <v>0</v>
      </c>
      <c r="AO99" s="493">
        <f>AO98*P10CommRate*P10CommSales</f>
        <v>0</v>
      </c>
      <c r="AP99" s="507">
        <f>AP98*P10CommRate*P10CommSales</f>
        <v>0</v>
      </c>
      <c r="AQ99" s="370">
        <f t="shared" si="190"/>
        <v>0</v>
      </c>
      <c r="AR99" s="372"/>
      <c r="AS99" s="366">
        <f>AS98*P10CommRate*P10CommSales</f>
        <v>0</v>
      </c>
    </row>
    <row r="100" spans="1:45" ht="14.1" customHeight="1">
      <c r="A100" s="357"/>
      <c r="B100" s="492" t="s">
        <v>81</v>
      </c>
      <c r="C100" s="124"/>
      <c r="D100" s="727">
        <v>0.03</v>
      </c>
      <c r="E100" s="525">
        <f t="shared" ref="E100:P100" si="193">E98*P10ReturnRate</f>
        <v>0</v>
      </c>
      <c r="F100" s="493">
        <f t="shared" si="193"/>
        <v>0</v>
      </c>
      <c r="G100" s="493">
        <f t="shared" si="193"/>
        <v>0</v>
      </c>
      <c r="H100" s="493">
        <f t="shared" si="193"/>
        <v>0</v>
      </c>
      <c r="I100" s="493">
        <f t="shared" si="193"/>
        <v>0</v>
      </c>
      <c r="J100" s="493">
        <f t="shared" si="193"/>
        <v>0</v>
      </c>
      <c r="K100" s="493">
        <f t="shared" si="193"/>
        <v>0</v>
      </c>
      <c r="L100" s="493">
        <f t="shared" si="193"/>
        <v>0</v>
      </c>
      <c r="M100" s="493">
        <f t="shared" si="193"/>
        <v>0</v>
      </c>
      <c r="N100" s="493">
        <f t="shared" si="193"/>
        <v>0</v>
      </c>
      <c r="O100" s="493">
        <f t="shared" si="193"/>
        <v>0</v>
      </c>
      <c r="P100" s="493">
        <f t="shared" si="193"/>
        <v>0</v>
      </c>
      <c r="Q100" s="366">
        <f t="shared" si="186"/>
        <v>0</v>
      </c>
      <c r="R100" s="750"/>
      <c r="S100" s="493">
        <f t="shared" ref="S100:AD100" si="194">S98*P10ReturnRate</f>
        <v>0</v>
      </c>
      <c r="T100" s="493">
        <f t="shared" si="194"/>
        <v>0</v>
      </c>
      <c r="U100" s="493">
        <f t="shared" si="194"/>
        <v>0</v>
      </c>
      <c r="V100" s="493">
        <f t="shared" si="194"/>
        <v>0</v>
      </c>
      <c r="W100" s="493">
        <f t="shared" si="194"/>
        <v>0</v>
      </c>
      <c r="X100" s="493">
        <f t="shared" si="194"/>
        <v>0</v>
      </c>
      <c r="Y100" s="493">
        <f t="shared" si="194"/>
        <v>0</v>
      </c>
      <c r="Z100" s="493">
        <f t="shared" si="194"/>
        <v>0</v>
      </c>
      <c r="AA100" s="493">
        <f t="shared" si="194"/>
        <v>0</v>
      </c>
      <c r="AB100" s="493">
        <f t="shared" si="194"/>
        <v>0</v>
      </c>
      <c r="AC100" s="493">
        <f t="shared" si="194"/>
        <v>0</v>
      </c>
      <c r="AD100" s="493">
        <f t="shared" si="194"/>
        <v>0</v>
      </c>
      <c r="AE100" s="366">
        <f t="shared" si="188"/>
        <v>0</v>
      </c>
      <c r="AF100" s="372"/>
      <c r="AG100" s="493">
        <f>AG98*P10ReturnRate</f>
        <v>0</v>
      </c>
      <c r="AH100" s="493">
        <f>AH98*P10ReturnRate</f>
        <v>0</v>
      </c>
      <c r="AI100" s="493">
        <f>AI98*P10ReturnRate</f>
        <v>0</v>
      </c>
      <c r="AJ100" s="493">
        <f>AJ98*P10ReturnRate</f>
        <v>0</v>
      </c>
      <c r="AK100" s="366">
        <f t="shared" si="189"/>
        <v>0</v>
      </c>
      <c r="AL100" s="372"/>
      <c r="AM100" s="493">
        <f>AM98*P10ReturnRate</f>
        <v>0</v>
      </c>
      <c r="AN100" s="493">
        <f>AN98*P10ReturnRate</f>
        <v>0</v>
      </c>
      <c r="AO100" s="493">
        <f>AO98*P10ReturnRate</f>
        <v>0</v>
      </c>
      <c r="AP100" s="507">
        <f>AP98*P10ReturnRate</f>
        <v>0</v>
      </c>
      <c r="AQ100" s="494">
        <f t="shared" si="190"/>
        <v>0</v>
      </c>
      <c r="AR100" s="372"/>
      <c r="AS100" s="366">
        <f>AS98*P10ReturnRate</f>
        <v>0</v>
      </c>
    </row>
    <row r="101" spans="1:45" ht="14.1" customHeight="1" thickBot="1">
      <c r="B101" s="495" t="s">
        <v>30</v>
      </c>
      <c r="C101" s="131"/>
      <c r="D101" s="728"/>
      <c r="E101" s="397">
        <f t="shared" ref="E101:P101" si="195">E98-E99-E100</f>
        <v>0</v>
      </c>
      <c r="F101" s="376">
        <f t="shared" si="195"/>
        <v>0</v>
      </c>
      <c r="G101" s="376">
        <f t="shared" si="195"/>
        <v>0</v>
      </c>
      <c r="H101" s="376">
        <f t="shared" si="195"/>
        <v>0</v>
      </c>
      <c r="I101" s="376">
        <f t="shared" si="195"/>
        <v>0</v>
      </c>
      <c r="J101" s="376">
        <f t="shared" si="195"/>
        <v>0</v>
      </c>
      <c r="K101" s="376">
        <f t="shared" si="195"/>
        <v>0</v>
      </c>
      <c r="L101" s="376">
        <f t="shared" si="195"/>
        <v>0</v>
      </c>
      <c r="M101" s="376">
        <f t="shared" si="195"/>
        <v>0</v>
      </c>
      <c r="N101" s="376">
        <f t="shared" si="195"/>
        <v>0</v>
      </c>
      <c r="O101" s="376">
        <f t="shared" si="195"/>
        <v>0</v>
      </c>
      <c r="P101" s="496">
        <f t="shared" si="195"/>
        <v>0</v>
      </c>
      <c r="Q101" s="377">
        <f t="shared" si="186"/>
        <v>0</v>
      </c>
      <c r="R101" s="750"/>
      <c r="S101" s="376">
        <f t="shared" ref="S101:AD101" si="196">S98-S99-S100</f>
        <v>0</v>
      </c>
      <c r="T101" s="376">
        <f t="shared" si="196"/>
        <v>0</v>
      </c>
      <c r="U101" s="376">
        <f t="shared" si="196"/>
        <v>0</v>
      </c>
      <c r="V101" s="376">
        <f t="shared" si="196"/>
        <v>0</v>
      </c>
      <c r="W101" s="376">
        <f t="shared" si="196"/>
        <v>0</v>
      </c>
      <c r="X101" s="376">
        <f t="shared" si="196"/>
        <v>0</v>
      </c>
      <c r="Y101" s="376">
        <f t="shared" si="196"/>
        <v>0</v>
      </c>
      <c r="Z101" s="376">
        <f t="shared" si="196"/>
        <v>0</v>
      </c>
      <c r="AA101" s="376">
        <f t="shared" si="196"/>
        <v>0</v>
      </c>
      <c r="AB101" s="376">
        <f t="shared" si="196"/>
        <v>0</v>
      </c>
      <c r="AC101" s="376">
        <f t="shared" si="196"/>
        <v>0</v>
      </c>
      <c r="AD101" s="496">
        <f t="shared" si="196"/>
        <v>0</v>
      </c>
      <c r="AE101" s="377">
        <f t="shared" si="188"/>
        <v>0</v>
      </c>
      <c r="AF101" s="368"/>
      <c r="AG101" s="676">
        <f>AG98-AG99-AG100</f>
        <v>0</v>
      </c>
      <c r="AH101" s="677">
        <f>AH98-AH99-AH100</f>
        <v>0</v>
      </c>
      <c r="AI101" s="677">
        <f>AI98-AI99-AI100</f>
        <v>0</v>
      </c>
      <c r="AJ101" s="678">
        <f>AJ98-AJ99-AJ100</f>
        <v>0</v>
      </c>
      <c r="AK101" s="679">
        <f t="shared" si="189"/>
        <v>0</v>
      </c>
      <c r="AL101" s="680"/>
      <c r="AM101" s="676">
        <f>AM98-AM99-AM100</f>
        <v>0</v>
      </c>
      <c r="AN101" s="677">
        <f>AN98-AN99-AN100</f>
        <v>0</v>
      </c>
      <c r="AO101" s="677">
        <f>AO98-AO99-AO100</f>
        <v>0</v>
      </c>
      <c r="AP101" s="681">
        <f>AP98-AP99-AP100</f>
        <v>0</v>
      </c>
      <c r="AQ101" s="682">
        <f t="shared" si="190"/>
        <v>0</v>
      </c>
      <c r="AR101" s="680"/>
      <c r="AS101" s="390">
        <f>AS98-AS99-AS100</f>
        <v>0</v>
      </c>
    </row>
    <row r="102" spans="1:45" ht="14.1" customHeight="1">
      <c r="B102" s="499" t="s">
        <v>181</v>
      </c>
      <c r="C102" s="133"/>
      <c r="D102" s="729">
        <v>0.5</v>
      </c>
      <c r="E102" s="740">
        <f t="shared" ref="E102:P102" si="197">E98*P10COG</f>
        <v>0</v>
      </c>
      <c r="F102" s="500">
        <f t="shared" si="197"/>
        <v>0</v>
      </c>
      <c r="G102" s="500">
        <f t="shared" si="197"/>
        <v>0</v>
      </c>
      <c r="H102" s="500">
        <f t="shared" si="197"/>
        <v>0</v>
      </c>
      <c r="I102" s="500">
        <f t="shared" si="197"/>
        <v>0</v>
      </c>
      <c r="J102" s="500">
        <f t="shared" si="197"/>
        <v>0</v>
      </c>
      <c r="K102" s="500">
        <f t="shared" si="197"/>
        <v>0</v>
      </c>
      <c r="L102" s="500">
        <f t="shared" si="197"/>
        <v>0</v>
      </c>
      <c r="M102" s="500">
        <f t="shared" si="197"/>
        <v>0</v>
      </c>
      <c r="N102" s="500">
        <f t="shared" si="197"/>
        <v>0</v>
      </c>
      <c r="O102" s="500">
        <f t="shared" si="197"/>
        <v>0</v>
      </c>
      <c r="P102" s="500">
        <f t="shared" si="197"/>
        <v>0</v>
      </c>
      <c r="Q102" s="501">
        <f t="shared" si="186"/>
        <v>0</v>
      </c>
      <c r="R102" s="750"/>
      <c r="S102" s="500">
        <f t="shared" ref="S102:AD102" si="198">S98*P10COG</f>
        <v>0</v>
      </c>
      <c r="T102" s="500">
        <f t="shared" si="198"/>
        <v>0</v>
      </c>
      <c r="U102" s="500">
        <f t="shared" si="198"/>
        <v>0</v>
      </c>
      <c r="V102" s="500">
        <f t="shared" si="198"/>
        <v>0</v>
      </c>
      <c r="W102" s="500">
        <f t="shared" si="198"/>
        <v>0</v>
      </c>
      <c r="X102" s="500">
        <f t="shared" si="198"/>
        <v>0</v>
      </c>
      <c r="Y102" s="500">
        <f t="shared" si="198"/>
        <v>0</v>
      </c>
      <c r="Z102" s="500">
        <f t="shared" si="198"/>
        <v>0</v>
      </c>
      <c r="AA102" s="500">
        <f t="shared" si="198"/>
        <v>0</v>
      </c>
      <c r="AB102" s="500">
        <f t="shared" si="198"/>
        <v>0</v>
      </c>
      <c r="AC102" s="500">
        <f t="shared" si="198"/>
        <v>0</v>
      </c>
      <c r="AD102" s="500">
        <f t="shared" si="198"/>
        <v>0</v>
      </c>
      <c r="AE102" s="501">
        <f t="shared" si="188"/>
        <v>0</v>
      </c>
      <c r="AF102" s="372"/>
      <c r="AG102" s="500">
        <f>AG98*P10COG</f>
        <v>0</v>
      </c>
      <c r="AH102" s="500">
        <f>AH98*P10COG</f>
        <v>0</v>
      </c>
      <c r="AI102" s="500">
        <f>AI98*P10COG</f>
        <v>0</v>
      </c>
      <c r="AJ102" s="500">
        <f>AJ98*P10COG</f>
        <v>0</v>
      </c>
      <c r="AK102" s="501">
        <f t="shared" si="189"/>
        <v>0</v>
      </c>
      <c r="AL102" s="372"/>
      <c r="AM102" s="500">
        <f>AM98*P10COG</f>
        <v>0</v>
      </c>
      <c r="AN102" s="500">
        <f>AN98*P10COG</f>
        <v>0</v>
      </c>
      <c r="AO102" s="500">
        <f>AO98*P10COG</f>
        <v>0</v>
      </c>
      <c r="AP102" s="509">
        <f>AP98*P10COG</f>
        <v>0</v>
      </c>
      <c r="AQ102" s="367">
        <f t="shared" si="190"/>
        <v>0</v>
      </c>
      <c r="AR102" s="372"/>
      <c r="AS102" s="501">
        <f>AS98*P10COG</f>
        <v>0</v>
      </c>
    </row>
    <row r="103" spans="1:45" ht="14.1" customHeight="1" thickBot="1">
      <c r="B103" s="379" t="s">
        <v>31</v>
      </c>
      <c r="C103" s="134"/>
      <c r="D103" s="730"/>
      <c r="E103" s="741">
        <f t="shared" ref="E103:P103" si="199">E101-E102</f>
        <v>0</v>
      </c>
      <c r="F103" s="503">
        <f t="shared" si="199"/>
        <v>0</v>
      </c>
      <c r="G103" s="503">
        <f t="shared" si="199"/>
        <v>0</v>
      </c>
      <c r="H103" s="503">
        <f t="shared" si="199"/>
        <v>0</v>
      </c>
      <c r="I103" s="503">
        <f t="shared" si="199"/>
        <v>0</v>
      </c>
      <c r="J103" s="503">
        <f t="shared" si="199"/>
        <v>0</v>
      </c>
      <c r="K103" s="503">
        <f t="shared" si="199"/>
        <v>0</v>
      </c>
      <c r="L103" s="503">
        <f t="shared" si="199"/>
        <v>0</v>
      </c>
      <c r="M103" s="503">
        <f t="shared" si="199"/>
        <v>0</v>
      </c>
      <c r="N103" s="503">
        <f t="shared" si="199"/>
        <v>0</v>
      </c>
      <c r="O103" s="503">
        <f t="shared" si="199"/>
        <v>0</v>
      </c>
      <c r="P103" s="503">
        <f t="shared" si="199"/>
        <v>0</v>
      </c>
      <c r="Q103" s="504">
        <f t="shared" si="186"/>
        <v>0</v>
      </c>
      <c r="R103" s="750"/>
      <c r="S103" s="503">
        <f t="shared" ref="S103:AD103" si="200">S101-S102</f>
        <v>0</v>
      </c>
      <c r="T103" s="503">
        <f t="shared" si="200"/>
        <v>0</v>
      </c>
      <c r="U103" s="503">
        <f t="shared" si="200"/>
        <v>0</v>
      </c>
      <c r="V103" s="503">
        <f t="shared" si="200"/>
        <v>0</v>
      </c>
      <c r="W103" s="503">
        <f t="shared" si="200"/>
        <v>0</v>
      </c>
      <c r="X103" s="503">
        <f t="shared" si="200"/>
        <v>0</v>
      </c>
      <c r="Y103" s="503">
        <f t="shared" si="200"/>
        <v>0</v>
      </c>
      <c r="Z103" s="503">
        <f t="shared" si="200"/>
        <v>0</v>
      </c>
      <c r="AA103" s="503">
        <f t="shared" si="200"/>
        <v>0</v>
      </c>
      <c r="AB103" s="503">
        <f t="shared" si="200"/>
        <v>0</v>
      </c>
      <c r="AC103" s="503">
        <f t="shared" si="200"/>
        <v>0</v>
      </c>
      <c r="AD103" s="503">
        <f t="shared" si="200"/>
        <v>0</v>
      </c>
      <c r="AE103" s="504">
        <f t="shared" si="188"/>
        <v>0</v>
      </c>
      <c r="AF103" s="372"/>
      <c r="AG103" s="503">
        <f>AG101-AG102</f>
        <v>0</v>
      </c>
      <c r="AH103" s="503">
        <f>AH101-AH102</f>
        <v>0</v>
      </c>
      <c r="AI103" s="503">
        <f>AI101-AI102</f>
        <v>0</v>
      </c>
      <c r="AJ103" s="503">
        <f>AJ101-AJ102</f>
        <v>0</v>
      </c>
      <c r="AK103" s="377">
        <f t="shared" si="189"/>
        <v>0</v>
      </c>
      <c r="AL103" s="372"/>
      <c r="AM103" s="503">
        <f>AM101-AM102</f>
        <v>0</v>
      </c>
      <c r="AN103" s="503">
        <f>AN101-AN102</f>
        <v>0</v>
      </c>
      <c r="AO103" s="503">
        <f>AO101-AO102</f>
        <v>0</v>
      </c>
      <c r="AP103" s="505">
        <f>AP101-AP102</f>
        <v>0</v>
      </c>
      <c r="AQ103" s="505">
        <f t="shared" si="190"/>
        <v>0</v>
      </c>
      <c r="AR103" s="372"/>
      <c r="AS103" s="504">
        <f>AS101-AS102</f>
        <v>0</v>
      </c>
    </row>
    <row r="104" spans="1:45" ht="14.1" customHeight="1">
      <c r="B104" s="510"/>
      <c r="C104" s="128"/>
      <c r="D104" s="732"/>
      <c r="E104" s="743"/>
      <c r="F104" s="511"/>
      <c r="G104" s="511"/>
      <c r="H104" s="511"/>
      <c r="I104" s="511"/>
      <c r="J104" s="511"/>
      <c r="K104" s="511"/>
      <c r="L104" s="511"/>
      <c r="M104" s="511"/>
      <c r="N104" s="511"/>
      <c r="O104" s="511"/>
      <c r="P104" s="512"/>
      <c r="Q104" s="513"/>
      <c r="R104" s="749"/>
      <c r="S104" s="511"/>
      <c r="T104" s="511"/>
      <c r="U104" s="511"/>
      <c r="V104" s="511"/>
      <c r="W104" s="511"/>
      <c r="X104" s="511"/>
      <c r="Y104" s="511"/>
      <c r="Z104" s="511"/>
      <c r="AA104" s="511"/>
      <c r="AB104" s="511"/>
      <c r="AC104" s="511"/>
      <c r="AD104" s="512"/>
      <c r="AE104" s="513"/>
      <c r="AG104" s="514"/>
      <c r="AH104" s="511"/>
      <c r="AI104" s="511"/>
      <c r="AJ104" s="512"/>
      <c r="AK104" s="513"/>
      <c r="AM104" s="514"/>
      <c r="AN104" s="511"/>
      <c r="AO104" s="511"/>
      <c r="AP104" s="515"/>
      <c r="AQ104" s="515"/>
      <c r="AS104" s="513"/>
    </row>
    <row r="105" spans="1:45" ht="14.1" customHeight="1">
      <c r="B105" s="775" t="s">
        <v>82</v>
      </c>
      <c r="C105" s="776"/>
      <c r="D105" s="777"/>
      <c r="E105" s="778"/>
      <c r="F105" s="778"/>
      <c r="G105" s="778"/>
      <c r="H105" s="778"/>
      <c r="I105" s="778"/>
      <c r="J105" s="778"/>
      <c r="K105" s="778"/>
      <c r="L105" s="778"/>
      <c r="M105" s="778"/>
      <c r="N105" s="778"/>
      <c r="O105" s="778"/>
      <c r="P105" s="779"/>
      <c r="Q105" s="780"/>
      <c r="R105" s="749"/>
      <c r="S105" s="781"/>
      <c r="T105" s="778"/>
      <c r="U105" s="778"/>
      <c r="V105" s="778"/>
      <c r="W105" s="778"/>
      <c r="X105" s="778"/>
      <c r="Y105" s="778"/>
      <c r="Z105" s="778"/>
      <c r="AA105" s="778"/>
      <c r="AB105" s="778"/>
      <c r="AC105" s="778"/>
      <c r="AD105" s="779"/>
      <c r="AE105" s="780"/>
      <c r="AG105" s="519"/>
      <c r="AH105" s="516"/>
      <c r="AI105" s="516"/>
      <c r="AJ105" s="517"/>
      <c r="AK105" s="518"/>
      <c r="AM105" s="519"/>
      <c r="AN105" s="516"/>
      <c r="AO105" s="516"/>
      <c r="AP105" s="520"/>
      <c r="AQ105" s="521"/>
      <c r="AS105" s="518"/>
    </row>
    <row r="106" spans="1:45" ht="14.1" customHeight="1">
      <c r="B106" s="480" t="s">
        <v>83</v>
      </c>
      <c r="C106" s="121"/>
      <c r="D106" s="733"/>
      <c r="E106" s="744">
        <f t="shared" ref="E106:P106" si="201">SUBTOTAL(109, E96,E86,E76,E66,E56,E46,E36,E26,E16,E6)</f>
        <v>0</v>
      </c>
      <c r="F106" s="522">
        <f t="shared" si="201"/>
        <v>0</v>
      </c>
      <c r="G106" s="522">
        <f t="shared" si="201"/>
        <v>0</v>
      </c>
      <c r="H106" s="522">
        <f t="shared" si="201"/>
        <v>0</v>
      </c>
      <c r="I106" s="522">
        <f t="shared" si="201"/>
        <v>0</v>
      </c>
      <c r="J106" s="522">
        <f t="shared" si="201"/>
        <v>0</v>
      </c>
      <c r="K106" s="522">
        <f t="shared" si="201"/>
        <v>0</v>
      </c>
      <c r="L106" s="522">
        <f t="shared" si="201"/>
        <v>0</v>
      </c>
      <c r="M106" s="522">
        <f t="shared" si="201"/>
        <v>0</v>
      </c>
      <c r="N106" s="522">
        <f t="shared" si="201"/>
        <v>0</v>
      </c>
      <c r="O106" s="522">
        <f t="shared" si="201"/>
        <v>0</v>
      </c>
      <c r="P106" s="522">
        <f t="shared" si="201"/>
        <v>0</v>
      </c>
      <c r="Q106" s="481">
        <f t="shared" ref="Q106:Q112" si="202">SUM(E106:P106)</f>
        <v>0</v>
      </c>
      <c r="R106" s="749"/>
      <c r="S106" s="522">
        <f t="shared" ref="S106:AD106" si="203">SUBTOTAL(109, S96,S86,S76,S66,S56,S46,S36,S26,S16,S6)</f>
        <v>0</v>
      </c>
      <c r="T106" s="522">
        <f t="shared" si="203"/>
        <v>0</v>
      </c>
      <c r="U106" s="522">
        <f t="shared" si="203"/>
        <v>0</v>
      </c>
      <c r="V106" s="522">
        <f t="shared" si="203"/>
        <v>0</v>
      </c>
      <c r="W106" s="522">
        <f t="shared" si="203"/>
        <v>0</v>
      </c>
      <c r="X106" s="522">
        <f t="shared" si="203"/>
        <v>0</v>
      </c>
      <c r="Y106" s="522">
        <f t="shared" si="203"/>
        <v>0</v>
      </c>
      <c r="Z106" s="522">
        <f t="shared" si="203"/>
        <v>0</v>
      </c>
      <c r="AA106" s="522">
        <f t="shared" si="203"/>
        <v>0</v>
      </c>
      <c r="AB106" s="522">
        <f t="shared" si="203"/>
        <v>0</v>
      </c>
      <c r="AC106" s="522">
        <f t="shared" si="203"/>
        <v>0</v>
      </c>
      <c r="AD106" s="522">
        <f t="shared" si="203"/>
        <v>0</v>
      </c>
      <c r="AE106" s="481">
        <f t="shared" ref="AE106:AE112" si="204">SUM(S106:AD106)</f>
        <v>0</v>
      </c>
      <c r="AF106" s="331"/>
      <c r="AG106" s="522">
        <f>SUBTOTAL(109, AG96,AG86,AG76,AG66,AG56,AG46,AG36,AG26,AG16,AG6)</f>
        <v>0</v>
      </c>
      <c r="AH106" s="522">
        <f>SUBTOTAL(109, AH96,AH86,AH76,AH66,AH56,AH46,AH36,AH26,AH16,AH6)</f>
        <v>0</v>
      </c>
      <c r="AI106" s="522">
        <f>SUBTOTAL(109, AI96,AI86,AI76,AI66,AI56,AI46,AI36,AI26,AI16,AI6)</f>
        <v>0</v>
      </c>
      <c r="AJ106" s="522">
        <f>SUBTOTAL(109, AJ96,AJ86,AJ76,AJ66,AJ56,AJ46,AJ36,AJ26,AJ16,AJ6)</f>
        <v>0</v>
      </c>
      <c r="AK106" s="481">
        <f t="shared" ref="AK106:AK112" si="205">SUM(AG106:AJ106)</f>
        <v>0</v>
      </c>
      <c r="AL106" s="331"/>
      <c r="AM106" s="522">
        <f>SUBTOTAL(109, AM96,AM86,AM76,AM66,AM56,AM46,AM36,AM26,AM16,AM6)</f>
        <v>0</v>
      </c>
      <c r="AN106" s="522">
        <f>SUBTOTAL(109, AN96,AN86,AN76,AN66,AN56,AN46,AN36,AN26,AN16,AN6)</f>
        <v>0</v>
      </c>
      <c r="AO106" s="522">
        <f>SUBTOTAL(109, AO96,AO86,AO76,AO66,AO56,AO46,AO36,AO26,AO16,AO6)</f>
        <v>0</v>
      </c>
      <c r="AP106" s="523">
        <f>SUBTOTAL(109, AP96,AP86,AP76,AP66,AP56,AP46,AP36,AP26,AP16,AP6)</f>
        <v>0</v>
      </c>
      <c r="AQ106" s="482">
        <f t="shared" ref="AQ106:AQ112" si="206">SUM(AM106:AP106)</f>
        <v>0</v>
      </c>
      <c r="AR106" s="331"/>
      <c r="AS106" s="523">
        <f>SUBTOTAL(109, AS96,AS86,AS76,AS66,AS56,AS46,AS36,AS26,AS16,AS6)</f>
        <v>0</v>
      </c>
    </row>
    <row r="107" spans="1:45" ht="14.1" customHeight="1">
      <c r="B107" s="483" t="s">
        <v>96</v>
      </c>
      <c r="C107" s="122"/>
      <c r="D107" s="734"/>
      <c r="E107" s="525">
        <f t="shared" ref="E107:P107" si="207">SUBTOTAL(109, E98,E88,E78,E68,E58,E48,E38,E28,E18,E8)</f>
        <v>0</v>
      </c>
      <c r="F107" s="493">
        <f t="shared" si="207"/>
        <v>0</v>
      </c>
      <c r="G107" s="493">
        <f t="shared" si="207"/>
        <v>0</v>
      </c>
      <c r="H107" s="493">
        <f t="shared" si="207"/>
        <v>0</v>
      </c>
      <c r="I107" s="493">
        <f t="shared" si="207"/>
        <v>0</v>
      </c>
      <c r="J107" s="493">
        <f t="shared" si="207"/>
        <v>0</v>
      </c>
      <c r="K107" s="493">
        <f t="shared" si="207"/>
        <v>0</v>
      </c>
      <c r="L107" s="493">
        <f t="shared" si="207"/>
        <v>0</v>
      </c>
      <c r="M107" s="493">
        <f t="shared" si="207"/>
        <v>0</v>
      </c>
      <c r="N107" s="493">
        <f t="shared" si="207"/>
        <v>0</v>
      </c>
      <c r="O107" s="493">
        <f t="shared" si="207"/>
        <v>0</v>
      </c>
      <c r="P107" s="493">
        <f t="shared" si="207"/>
        <v>0</v>
      </c>
      <c r="Q107" s="366">
        <f t="shared" si="202"/>
        <v>0</v>
      </c>
      <c r="R107" s="750"/>
      <c r="S107" s="493">
        <f t="shared" ref="S107:AD107" si="208">SUBTOTAL(109, S98,S88,S78,S68,S58,S48,S38,S28,S18,S8)</f>
        <v>0</v>
      </c>
      <c r="T107" s="493">
        <f t="shared" si="208"/>
        <v>0</v>
      </c>
      <c r="U107" s="493">
        <f t="shared" si="208"/>
        <v>0</v>
      </c>
      <c r="V107" s="493">
        <f t="shared" si="208"/>
        <v>0</v>
      </c>
      <c r="W107" s="493">
        <f t="shared" si="208"/>
        <v>0</v>
      </c>
      <c r="X107" s="493">
        <f t="shared" si="208"/>
        <v>0</v>
      </c>
      <c r="Y107" s="493">
        <f t="shared" si="208"/>
        <v>0</v>
      </c>
      <c r="Z107" s="493">
        <f t="shared" si="208"/>
        <v>0</v>
      </c>
      <c r="AA107" s="493">
        <f t="shared" si="208"/>
        <v>0</v>
      </c>
      <c r="AB107" s="493">
        <f t="shared" si="208"/>
        <v>0</v>
      </c>
      <c r="AC107" s="493">
        <f t="shared" si="208"/>
        <v>0</v>
      </c>
      <c r="AD107" s="493">
        <f t="shared" si="208"/>
        <v>0</v>
      </c>
      <c r="AE107" s="366">
        <f t="shared" si="204"/>
        <v>0</v>
      </c>
      <c r="AF107" s="372"/>
      <c r="AG107" s="493">
        <f t="shared" ref="AG107:AJ112" si="209">SUBTOTAL(109, AG98,AG88,AG78,AG68,AG58,AG48,AG38,AG28,AG18,AG8)</f>
        <v>0</v>
      </c>
      <c r="AH107" s="493">
        <f t="shared" si="209"/>
        <v>0</v>
      </c>
      <c r="AI107" s="493">
        <f t="shared" si="209"/>
        <v>0</v>
      </c>
      <c r="AJ107" s="493">
        <f t="shared" si="209"/>
        <v>0</v>
      </c>
      <c r="AK107" s="369">
        <f t="shared" si="205"/>
        <v>0</v>
      </c>
      <c r="AL107" s="372"/>
      <c r="AM107" s="493">
        <f t="shared" ref="AM107:AP112" si="210">SUBTOTAL(109, AM98,AM88,AM78,AM68,AM58,AM48,AM38,AM28,AM18,AM8)</f>
        <v>0</v>
      </c>
      <c r="AN107" s="493">
        <f t="shared" si="210"/>
        <v>0</v>
      </c>
      <c r="AO107" s="493">
        <f t="shared" si="210"/>
        <v>0</v>
      </c>
      <c r="AP107" s="507">
        <f t="shared" si="210"/>
        <v>0</v>
      </c>
      <c r="AQ107" s="370">
        <f t="shared" si="206"/>
        <v>0</v>
      </c>
      <c r="AR107" s="372"/>
      <c r="AS107" s="507">
        <f t="shared" ref="AS107:AS112" si="211">SUBTOTAL(109, AS98,AS88,AS78,AS68,AS58,AS48,AS38,AS28,AS18,AS8)</f>
        <v>0</v>
      </c>
    </row>
    <row r="108" spans="1:45" ht="14.1" customHeight="1">
      <c r="B108" s="524" t="s">
        <v>84</v>
      </c>
      <c r="C108" s="123"/>
      <c r="D108" s="735"/>
      <c r="E108" s="525">
        <f t="shared" ref="E108:P108" si="212">SUBTOTAL(109, E99,E89,E79,E69,E59,E49,E39,E29,E19,E9)</f>
        <v>0</v>
      </c>
      <c r="F108" s="493">
        <f t="shared" si="212"/>
        <v>0</v>
      </c>
      <c r="G108" s="493">
        <f t="shared" si="212"/>
        <v>0</v>
      </c>
      <c r="H108" s="493">
        <f t="shared" si="212"/>
        <v>0</v>
      </c>
      <c r="I108" s="493">
        <f t="shared" si="212"/>
        <v>0</v>
      </c>
      <c r="J108" s="493">
        <f t="shared" si="212"/>
        <v>0</v>
      </c>
      <c r="K108" s="493">
        <f t="shared" si="212"/>
        <v>0</v>
      </c>
      <c r="L108" s="493">
        <f t="shared" si="212"/>
        <v>0</v>
      </c>
      <c r="M108" s="493">
        <f t="shared" si="212"/>
        <v>0</v>
      </c>
      <c r="N108" s="493">
        <f t="shared" si="212"/>
        <v>0</v>
      </c>
      <c r="O108" s="493">
        <f t="shared" si="212"/>
        <v>0</v>
      </c>
      <c r="P108" s="493">
        <f t="shared" si="212"/>
        <v>0</v>
      </c>
      <c r="Q108" s="366">
        <f t="shared" si="202"/>
        <v>0</v>
      </c>
      <c r="R108" s="750"/>
      <c r="S108" s="493">
        <f t="shared" ref="S108:AD108" si="213">SUBTOTAL(109, S99,S89,S79,S69,S59,S49,S39,S29,S19,S9)</f>
        <v>0</v>
      </c>
      <c r="T108" s="493">
        <f t="shared" si="213"/>
        <v>0</v>
      </c>
      <c r="U108" s="493">
        <f t="shared" si="213"/>
        <v>0</v>
      </c>
      <c r="V108" s="493">
        <f t="shared" si="213"/>
        <v>0</v>
      </c>
      <c r="W108" s="493">
        <f t="shared" si="213"/>
        <v>0</v>
      </c>
      <c r="X108" s="493">
        <f t="shared" si="213"/>
        <v>0</v>
      </c>
      <c r="Y108" s="493">
        <f t="shared" si="213"/>
        <v>0</v>
      </c>
      <c r="Z108" s="493">
        <f t="shared" si="213"/>
        <v>0</v>
      </c>
      <c r="AA108" s="493">
        <f t="shared" si="213"/>
        <v>0</v>
      </c>
      <c r="AB108" s="493">
        <f t="shared" si="213"/>
        <v>0</v>
      </c>
      <c r="AC108" s="493">
        <f t="shared" si="213"/>
        <v>0</v>
      </c>
      <c r="AD108" s="493">
        <f t="shared" si="213"/>
        <v>0</v>
      </c>
      <c r="AE108" s="366">
        <f t="shared" si="204"/>
        <v>0</v>
      </c>
      <c r="AF108" s="372"/>
      <c r="AG108" s="493">
        <f t="shared" si="209"/>
        <v>0</v>
      </c>
      <c r="AH108" s="493">
        <f t="shared" si="209"/>
        <v>0</v>
      </c>
      <c r="AI108" s="493">
        <f t="shared" si="209"/>
        <v>0</v>
      </c>
      <c r="AJ108" s="493">
        <f t="shared" si="209"/>
        <v>0</v>
      </c>
      <c r="AK108" s="369">
        <f t="shared" si="205"/>
        <v>0</v>
      </c>
      <c r="AL108" s="372"/>
      <c r="AM108" s="493">
        <f t="shared" si="210"/>
        <v>0</v>
      </c>
      <c r="AN108" s="493">
        <f t="shared" si="210"/>
        <v>0</v>
      </c>
      <c r="AO108" s="493">
        <f t="shared" si="210"/>
        <v>0</v>
      </c>
      <c r="AP108" s="507">
        <f t="shared" si="210"/>
        <v>0</v>
      </c>
      <c r="AQ108" s="370">
        <f t="shared" si="206"/>
        <v>0</v>
      </c>
      <c r="AR108" s="372"/>
      <c r="AS108" s="507">
        <f t="shared" si="211"/>
        <v>0</v>
      </c>
    </row>
    <row r="109" spans="1:45" ht="14.1" customHeight="1">
      <c r="B109" s="492" t="s">
        <v>85</v>
      </c>
      <c r="C109" s="143"/>
      <c r="D109" s="733"/>
      <c r="E109" s="525">
        <f t="shared" ref="E109:P109" si="214">SUBTOTAL(109, E100,E90,E80,E70,E60,E50,E40,E30,E20,E10)</f>
        <v>0</v>
      </c>
      <c r="F109" s="525">
        <f t="shared" si="214"/>
        <v>0</v>
      </c>
      <c r="G109" s="525">
        <f t="shared" si="214"/>
        <v>0</v>
      </c>
      <c r="H109" s="525">
        <f t="shared" si="214"/>
        <v>0</v>
      </c>
      <c r="I109" s="525">
        <f t="shared" si="214"/>
        <v>0</v>
      </c>
      <c r="J109" s="525">
        <f t="shared" si="214"/>
        <v>0</v>
      </c>
      <c r="K109" s="525">
        <f t="shared" si="214"/>
        <v>0</v>
      </c>
      <c r="L109" s="525">
        <f t="shared" si="214"/>
        <v>0</v>
      </c>
      <c r="M109" s="525">
        <f t="shared" si="214"/>
        <v>0</v>
      </c>
      <c r="N109" s="525">
        <f t="shared" si="214"/>
        <v>0</v>
      </c>
      <c r="O109" s="525">
        <f t="shared" si="214"/>
        <v>0</v>
      </c>
      <c r="P109" s="525">
        <f t="shared" si="214"/>
        <v>0</v>
      </c>
      <c r="Q109" s="366">
        <f t="shared" si="202"/>
        <v>0</v>
      </c>
      <c r="R109" s="750"/>
      <c r="S109" s="493">
        <f t="shared" ref="S109:AD109" si="215">SUBTOTAL(109, S100,S90,S80,S70,S60,S50,S40,S30,S20,S10)</f>
        <v>0</v>
      </c>
      <c r="T109" s="525">
        <f t="shared" si="215"/>
        <v>0</v>
      </c>
      <c r="U109" s="525">
        <f t="shared" si="215"/>
        <v>0</v>
      </c>
      <c r="V109" s="525">
        <f t="shared" si="215"/>
        <v>0</v>
      </c>
      <c r="W109" s="525">
        <f t="shared" si="215"/>
        <v>0</v>
      </c>
      <c r="X109" s="525">
        <f t="shared" si="215"/>
        <v>0</v>
      </c>
      <c r="Y109" s="525">
        <f t="shared" si="215"/>
        <v>0</v>
      </c>
      <c r="Z109" s="525">
        <f t="shared" si="215"/>
        <v>0</v>
      </c>
      <c r="AA109" s="525">
        <f t="shared" si="215"/>
        <v>0</v>
      </c>
      <c r="AB109" s="525">
        <f t="shared" si="215"/>
        <v>0</v>
      </c>
      <c r="AC109" s="525">
        <f t="shared" si="215"/>
        <v>0</v>
      </c>
      <c r="AD109" s="525">
        <f t="shared" si="215"/>
        <v>0</v>
      </c>
      <c r="AE109" s="366">
        <f t="shared" si="204"/>
        <v>0</v>
      </c>
      <c r="AF109" s="372"/>
      <c r="AG109" s="525">
        <f t="shared" si="209"/>
        <v>0</v>
      </c>
      <c r="AH109" s="525">
        <f t="shared" si="209"/>
        <v>0</v>
      </c>
      <c r="AI109" s="525">
        <f t="shared" si="209"/>
        <v>0</v>
      </c>
      <c r="AJ109" s="525">
        <f t="shared" si="209"/>
        <v>0</v>
      </c>
      <c r="AK109" s="369">
        <f t="shared" si="205"/>
        <v>0</v>
      </c>
      <c r="AL109" s="372"/>
      <c r="AM109" s="525">
        <f t="shared" si="210"/>
        <v>0</v>
      </c>
      <c r="AN109" s="525">
        <f t="shared" si="210"/>
        <v>0</v>
      </c>
      <c r="AO109" s="525">
        <f t="shared" si="210"/>
        <v>0</v>
      </c>
      <c r="AP109" s="507">
        <f t="shared" si="210"/>
        <v>0</v>
      </c>
      <c r="AQ109" s="370">
        <f t="shared" si="206"/>
        <v>0</v>
      </c>
      <c r="AR109" s="372"/>
      <c r="AS109" s="507">
        <f t="shared" si="211"/>
        <v>0</v>
      </c>
    </row>
    <row r="110" spans="1:45" ht="14.1" customHeight="1" thickBot="1">
      <c r="B110" s="526" t="s">
        <v>183</v>
      </c>
      <c r="C110" s="144"/>
      <c r="D110" s="736"/>
      <c r="E110" s="397">
        <f t="shared" ref="E110:P110" si="216">SUBTOTAL(109, E101,E91,E81,E71,E61,E51,E41,E31,E21,E11)</f>
        <v>0</v>
      </c>
      <c r="F110" s="376">
        <f t="shared" si="216"/>
        <v>0</v>
      </c>
      <c r="G110" s="376">
        <f t="shared" si="216"/>
        <v>0</v>
      </c>
      <c r="H110" s="376">
        <f t="shared" si="216"/>
        <v>0</v>
      </c>
      <c r="I110" s="376">
        <f t="shared" si="216"/>
        <v>0</v>
      </c>
      <c r="J110" s="376">
        <f t="shared" si="216"/>
        <v>0</v>
      </c>
      <c r="K110" s="376">
        <f t="shared" si="216"/>
        <v>0</v>
      </c>
      <c r="L110" s="376">
        <f t="shared" si="216"/>
        <v>0</v>
      </c>
      <c r="M110" s="376">
        <f t="shared" si="216"/>
        <v>0</v>
      </c>
      <c r="N110" s="376">
        <f t="shared" si="216"/>
        <v>0</v>
      </c>
      <c r="O110" s="376">
        <f t="shared" si="216"/>
        <v>0</v>
      </c>
      <c r="P110" s="376">
        <f t="shared" si="216"/>
        <v>0</v>
      </c>
      <c r="Q110" s="527">
        <f t="shared" si="202"/>
        <v>0</v>
      </c>
      <c r="R110" s="750"/>
      <c r="S110" s="376">
        <f t="shared" ref="S110:AD110" si="217">SUBTOTAL(109, S101,S91,S81,S71,S61,S51,S41,S31,S21,S11)</f>
        <v>0</v>
      </c>
      <c r="T110" s="376">
        <f t="shared" si="217"/>
        <v>0</v>
      </c>
      <c r="U110" s="376">
        <f t="shared" si="217"/>
        <v>0</v>
      </c>
      <c r="V110" s="376">
        <f t="shared" si="217"/>
        <v>0</v>
      </c>
      <c r="W110" s="376">
        <f t="shared" si="217"/>
        <v>0</v>
      </c>
      <c r="X110" s="376">
        <f t="shared" si="217"/>
        <v>0</v>
      </c>
      <c r="Y110" s="376">
        <f t="shared" si="217"/>
        <v>0</v>
      </c>
      <c r="Z110" s="376">
        <f t="shared" si="217"/>
        <v>0</v>
      </c>
      <c r="AA110" s="376">
        <f t="shared" si="217"/>
        <v>0</v>
      </c>
      <c r="AB110" s="376">
        <f t="shared" si="217"/>
        <v>0</v>
      </c>
      <c r="AC110" s="376">
        <f t="shared" si="217"/>
        <v>0</v>
      </c>
      <c r="AD110" s="376">
        <f t="shared" si="217"/>
        <v>0</v>
      </c>
      <c r="AE110" s="504">
        <f t="shared" si="204"/>
        <v>0</v>
      </c>
      <c r="AF110" s="372"/>
      <c r="AG110" s="376">
        <f t="shared" si="209"/>
        <v>0</v>
      </c>
      <c r="AH110" s="376">
        <f t="shared" si="209"/>
        <v>0</v>
      </c>
      <c r="AI110" s="376">
        <f t="shared" si="209"/>
        <v>0</v>
      </c>
      <c r="AJ110" s="376">
        <f t="shared" si="209"/>
        <v>0</v>
      </c>
      <c r="AK110" s="504">
        <f t="shared" si="205"/>
        <v>0</v>
      </c>
      <c r="AL110" s="372"/>
      <c r="AM110" s="376">
        <f t="shared" si="210"/>
        <v>0</v>
      </c>
      <c r="AN110" s="376">
        <f t="shared" si="210"/>
        <v>0</v>
      </c>
      <c r="AO110" s="376">
        <f t="shared" si="210"/>
        <v>0</v>
      </c>
      <c r="AP110" s="376">
        <f t="shared" si="210"/>
        <v>0</v>
      </c>
      <c r="AQ110" s="504">
        <f t="shared" si="206"/>
        <v>0</v>
      </c>
      <c r="AR110" s="372"/>
      <c r="AS110" s="376">
        <f t="shared" si="211"/>
        <v>0</v>
      </c>
    </row>
    <row r="111" spans="1:45" ht="14.1" customHeight="1" thickBot="1">
      <c r="B111" s="528" t="s">
        <v>184</v>
      </c>
      <c r="C111" s="126"/>
      <c r="D111" s="722"/>
      <c r="E111" s="745">
        <f t="shared" ref="E111:P111" si="218">SUBTOTAL(109, E102,E92,E82,E72,E62,E52,E42,E32,E22,E12)</f>
        <v>0</v>
      </c>
      <c r="F111" s="497">
        <f t="shared" si="218"/>
        <v>0</v>
      </c>
      <c r="G111" s="497">
        <f t="shared" si="218"/>
        <v>0</v>
      </c>
      <c r="H111" s="497">
        <f t="shared" si="218"/>
        <v>0</v>
      </c>
      <c r="I111" s="497">
        <f t="shared" si="218"/>
        <v>0</v>
      </c>
      <c r="J111" s="497">
        <f t="shared" si="218"/>
        <v>0</v>
      </c>
      <c r="K111" s="497">
        <f t="shared" si="218"/>
        <v>0</v>
      </c>
      <c r="L111" s="497">
        <f t="shared" si="218"/>
        <v>0</v>
      </c>
      <c r="M111" s="497">
        <f t="shared" si="218"/>
        <v>0</v>
      </c>
      <c r="N111" s="497">
        <f t="shared" si="218"/>
        <v>0</v>
      </c>
      <c r="O111" s="497">
        <f t="shared" si="218"/>
        <v>0</v>
      </c>
      <c r="P111" s="497">
        <f t="shared" si="218"/>
        <v>0</v>
      </c>
      <c r="Q111" s="529">
        <f t="shared" si="202"/>
        <v>0</v>
      </c>
      <c r="R111" s="750"/>
      <c r="S111" s="497">
        <f t="shared" ref="S111:AD111" si="219">SUBTOTAL(109, S102,S92,S82,S72,S62,S52,S42,S32,S22,S12)</f>
        <v>0</v>
      </c>
      <c r="T111" s="497">
        <f t="shared" si="219"/>
        <v>0</v>
      </c>
      <c r="U111" s="497">
        <f t="shared" si="219"/>
        <v>0</v>
      </c>
      <c r="V111" s="497">
        <f t="shared" si="219"/>
        <v>0</v>
      </c>
      <c r="W111" s="497">
        <f t="shared" si="219"/>
        <v>0</v>
      </c>
      <c r="X111" s="497">
        <f t="shared" si="219"/>
        <v>0</v>
      </c>
      <c r="Y111" s="497">
        <f t="shared" si="219"/>
        <v>0</v>
      </c>
      <c r="Z111" s="497">
        <f t="shared" si="219"/>
        <v>0</v>
      </c>
      <c r="AA111" s="497">
        <f t="shared" si="219"/>
        <v>0</v>
      </c>
      <c r="AB111" s="497">
        <f t="shared" si="219"/>
        <v>0</v>
      </c>
      <c r="AC111" s="497">
        <f t="shared" si="219"/>
        <v>0</v>
      </c>
      <c r="AD111" s="497">
        <f t="shared" si="219"/>
        <v>0</v>
      </c>
      <c r="AE111" s="372">
        <f t="shared" si="204"/>
        <v>0</v>
      </c>
      <c r="AF111" s="372"/>
      <c r="AG111" s="497">
        <f t="shared" si="209"/>
        <v>0</v>
      </c>
      <c r="AH111" s="497">
        <f t="shared" si="209"/>
        <v>0</v>
      </c>
      <c r="AI111" s="497">
        <f t="shared" si="209"/>
        <v>0</v>
      </c>
      <c r="AJ111" s="497">
        <f t="shared" si="209"/>
        <v>0</v>
      </c>
      <c r="AK111" s="529">
        <f t="shared" si="205"/>
        <v>0</v>
      </c>
      <c r="AL111" s="372"/>
      <c r="AM111" s="497">
        <f t="shared" si="210"/>
        <v>0</v>
      </c>
      <c r="AN111" s="497">
        <f t="shared" si="210"/>
        <v>0</v>
      </c>
      <c r="AO111" s="497">
        <f t="shared" si="210"/>
        <v>0</v>
      </c>
      <c r="AP111" s="498">
        <f t="shared" si="210"/>
        <v>0</v>
      </c>
      <c r="AQ111" s="529">
        <f t="shared" si="206"/>
        <v>0</v>
      </c>
      <c r="AR111" s="372"/>
      <c r="AS111" s="508">
        <f t="shared" si="211"/>
        <v>0</v>
      </c>
    </row>
    <row r="112" spans="1:45" ht="14.1" customHeight="1" thickBot="1">
      <c r="B112" s="530" t="s">
        <v>185</v>
      </c>
      <c r="C112" s="125"/>
      <c r="D112" s="737"/>
      <c r="E112" s="746">
        <f t="shared" ref="E112:P112" si="220">SUBTOTAL(109, E103,E93,E83,E73,E63,E53,E43,E33,E23,E13)</f>
        <v>0</v>
      </c>
      <c r="F112" s="386">
        <f t="shared" si="220"/>
        <v>0</v>
      </c>
      <c r="G112" s="386">
        <f t="shared" si="220"/>
        <v>0</v>
      </c>
      <c r="H112" s="386">
        <f t="shared" si="220"/>
        <v>0</v>
      </c>
      <c r="I112" s="386">
        <f t="shared" si="220"/>
        <v>0</v>
      </c>
      <c r="J112" s="386">
        <f t="shared" si="220"/>
        <v>0</v>
      </c>
      <c r="K112" s="386">
        <f t="shared" si="220"/>
        <v>0</v>
      </c>
      <c r="L112" s="386">
        <f t="shared" si="220"/>
        <v>0</v>
      </c>
      <c r="M112" s="386">
        <f t="shared" si="220"/>
        <v>0</v>
      </c>
      <c r="N112" s="386">
        <f t="shared" si="220"/>
        <v>0</v>
      </c>
      <c r="O112" s="386">
        <f t="shared" si="220"/>
        <v>0</v>
      </c>
      <c r="P112" s="386">
        <f t="shared" si="220"/>
        <v>0</v>
      </c>
      <c r="Q112" s="387">
        <f t="shared" si="202"/>
        <v>0</v>
      </c>
      <c r="R112" s="751"/>
      <c r="S112" s="386">
        <f t="shared" ref="S112:AD112" si="221">SUBTOTAL(109, S103,S93,S83,S73,S63,S53,S43,S33,S23,S13)</f>
        <v>0</v>
      </c>
      <c r="T112" s="386">
        <f t="shared" si="221"/>
        <v>0</v>
      </c>
      <c r="U112" s="386">
        <f t="shared" si="221"/>
        <v>0</v>
      </c>
      <c r="V112" s="386">
        <f t="shared" si="221"/>
        <v>0</v>
      </c>
      <c r="W112" s="386">
        <f t="shared" si="221"/>
        <v>0</v>
      </c>
      <c r="X112" s="386">
        <f t="shared" si="221"/>
        <v>0</v>
      </c>
      <c r="Y112" s="386">
        <f t="shared" si="221"/>
        <v>0</v>
      </c>
      <c r="Z112" s="386">
        <f t="shared" si="221"/>
        <v>0</v>
      </c>
      <c r="AA112" s="386">
        <f t="shared" si="221"/>
        <v>0</v>
      </c>
      <c r="AB112" s="386">
        <f t="shared" si="221"/>
        <v>0</v>
      </c>
      <c r="AC112" s="386">
        <f t="shared" si="221"/>
        <v>0</v>
      </c>
      <c r="AD112" s="386">
        <f t="shared" si="221"/>
        <v>0</v>
      </c>
      <c r="AE112" s="387">
        <f t="shared" si="204"/>
        <v>0</v>
      </c>
      <c r="AF112" s="389"/>
      <c r="AG112" s="386">
        <f t="shared" si="209"/>
        <v>0</v>
      </c>
      <c r="AH112" s="386">
        <f t="shared" si="209"/>
        <v>0</v>
      </c>
      <c r="AI112" s="386">
        <f t="shared" si="209"/>
        <v>0</v>
      </c>
      <c r="AJ112" s="386">
        <f t="shared" si="209"/>
        <v>0</v>
      </c>
      <c r="AK112" s="390">
        <f t="shared" si="205"/>
        <v>0</v>
      </c>
      <c r="AL112" s="389"/>
      <c r="AM112" s="386">
        <f t="shared" si="210"/>
        <v>0</v>
      </c>
      <c r="AN112" s="386">
        <f t="shared" si="210"/>
        <v>0</v>
      </c>
      <c r="AO112" s="386">
        <f t="shared" si="210"/>
        <v>0</v>
      </c>
      <c r="AP112" s="386">
        <f t="shared" si="210"/>
        <v>0</v>
      </c>
      <c r="AQ112" s="387">
        <f t="shared" si="206"/>
        <v>0</v>
      </c>
      <c r="AR112" s="389"/>
      <c r="AS112" s="386">
        <f t="shared" si="211"/>
        <v>0</v>
      </c>
    </row>
  </sheetData>
  <sheetProtection sheet="1" objects="1" scenarios="1"/>
  <mergeCells count="1">
    <mergeCell ref="C3:D3"/>
  </mergeCells>
  <phoneticPr fontId="3" type="noConversion"/>
  <printOptions horizontalCentered="1"/>
  <pageMargins left="0.75" right="0.75" top="1.25" bottom="1" header="0.5" footer="0.5"/>
  <pageSetup scale="59" orientation="landscape" horizontalDpi="4000" verticalDpi="4000" r:id="rId1"/>
  <headerFooter alignWithMargins="0">
    <oddHeader>&amp;CSales Projections</oddHeader>
    <oddFooter>Page &amp;P of &amp;N</oddFooter>
  </headerFooter>
  <legacyDrawing r:id="rId2"/>
</worksheet>
</file>

<file path=xl/worksheets/sheet9.xml><?xml version="1.0" encoding="utf-8"?>
<worksheet xmlns="http://schemas.openxmlformats.org/spreadsheetml/2006/main" xmlns:r="http://schemas.openxmlformats.org/officeDocument/2006/relationships">
  <sheetPr codeName="SalesProj1">
    <pageSetUpPr autoPageBreaks="0"/>
  </sheetPr>
  <dimension ref="A1:AQ85"/>
  <sheetViews>
    <sheetView showGridLines="0" showOutlineSymbols="0" workbookViewId="0">
      <pane xSplit="2" topLeftCell="C1" activePane="topRight" state="frozen"/>
      <selection pane="topRight" activeCell="B7" sqref="B7"/>
    </sheetView>
  </sheetViews>
  <sheetFormatPr defaultColWidth="10.5703125" defaultRowHeight="12" customHeight="1"/>
  <cols>
    <col min="1" max="1" width="1.7109375" style="116" customWidth="1"/>
    <col min="2" max="2" width="32.5703125" style="116" customWidth="1"/>
    <col min="3" max="14" width="10.7109375" style="116" customWidth="1"/>
    <col min="15" max="15" width="12.7109375" style="116" customWidth="1"/>
    <col min="16" max="16" width="1.7109375" style="116" customWidth="1"/>
    <col min="17" max="28" width="10.7109375" style="116" customWidth="1"/>
    <col min="29" max="29" width="12.7109375" style="116" customWidth="1"/>
    <col min="30" max="30" width="1.7109375" style="116" customWidth="1"/>
    <col min="31" max="34" width="10.7109375" style="116" customWidth="1"/>
    <col min="35" max="35" width="12.7109375" style="116" customWidth="1"/>
    <col min="36" max="36" width="1.7109375" style="116" customWidth="1"/>
    <col min="37" max="40" width="10.7109375" style="116" customWidth="1"/>
    <col min="41" max="41" width="12.7109375" style="116" customWidth="1"/>
    <col min="42" max="42" width="1.7109375" style="116" customWidth="1"/>
    <col min="43" max="43" width="12.7109375" style="116" customWidth="1"/>
    <col min="44" max="16384" width="10.5703125" style="116"/>
  </cols>
  <sheetData>
    <row r="1" spans="1:43" ht="9.9499999999999993" customHeight="1"/>
    <row r="2" spans="1:43" s="341" customFormat="1" ht="24.95" customHeight="1">
      <c r="A2" s="336"/>
      <c r="B2" s="337" t="s">
        <v>126</v>
      </c>
      <c r="C2" s="107">
        <f>SalesProj!E2</f>
        <v>2008</v>
      </c>
      <c r="D2" s="338"/>
      <c r="E2" s="338"/>
      <c r="F2" s="338"/>
      <c r="G2" s="338"/>
      <c r="H2" s="338"/>
      <c r="I2" s="338"/>
      <c r="J2" s="338"/>
      <c r="K2" s="338"/>
      <c r="L2" s="338"/>
      <c r="M2" s="338"/>
      <c r="N2" s="338"/>
      <c r="O2" s="339"/>
      <c r="P2" s="340"/>
      <c r="Q2" s="107">
        <f>SalesProj!S2</f>
        <v>2009</v>
      </c>
      <c r="R2" s="338"/>
      <c r="S2" s="338"/>
      <c r="T2" s="338"/>
      <c r="U2" s="338"/>
      <c r="V2" s="338"/>
      <c r="W2" s="338"/>
      <c r="X2" s="338"/>
      <c r="Y2" s="338"/>
      <c r="Z2" s="338"/>
      <c r="AA2" s="338"/>
      <c r="AB2" s="338"/>
      <c r="AC2" s="339"/>
      <c r="AE2" s="342">
        <f>SalesProj!AG2</f>
        <v>2010</v>
      </c>
      <c r="AF2" s="338"/>
      <c r="AG2" s="338"/>
      <c r="AH2" s="338"/>
      <c r="AI2" s="339"/>
      <c r="AK2" s="342">
        <f>SalesProj!AM2</f>
        <v>2011</v>
      </c>
      <c r="AL2" s="338"/>
      <c r="AM2" s="338"/>
      <c r="AN2" s="343"/>
      <c r="AO2" s="338"/>
      <c r="AQ2" s="344">
        <f>SalesProj!AS2</f>
        <v>2012</v>
      </c>
    </row>
    <row r="3" spans="1:43" s="110" customFormat="1" ht="14.1" customHeight="1" thickBot="1">
      <c r="A3" s="108"/>
      <c r="B3" s="345"/>
      <c r="C3" s="109" t="str">
        <f>SalesProj!E3</f>
        <v>January</v>
      </c>
      <c r="D3" s="109" t="str">
        <f>SalesProj!F3</f>
        <v>February</v>
      </c>
      <c r="E3" s="109" t="str">
        <f>SalesProj!G3</f>
        <v>March</v>
      </c>
      <c r="F3" s="109" t="str">
        <f>SalesProj!H3</f>
        <v>April</v>
      </c>
      <c r="G3" s="109" t="str">
        <f>SalesProj!I3</f>
        <v>May</v>
      </c>
      <c r="H3" s="109" t="str">
        <f>SalesProj!J3</f>
        <v>June</v>
      </c>
      <c r="I3" s="109" t="str">
        <f>SalesProj!K3</f>
        <v>July</v>
      </c>
      <c r="J3" s="109" t="str">
        <f>SalesProj!L3</f>
        <v>August</v>
      </c>
      <c r="K3" s="109" t="str">
        <f>SalesProj!M3</f>
        <v>September</v>
      </c>
      <c r="L3" s="109" t="str">
        <f>SalesProj!N3</f>
        <v>October</v>
      </c>
      <c r="M3" s="109" t="str">
        <f>SalesProj!O3</f>
        <v>November</v>
      </c>
      <c r="N3" s="109" t="str">
        <f>SalesProj!P3</f>
        <v>December</v>
      </c>
      <c r="O3" s="346" t="s">
        <v>18</v>
      </c>
      <c r="P3" s="347"/>
      <c r="Q3" s="109" t="str">
        <f t="shared" ref="Q3:AB3" si="0">C3</f>
        <v>January</v>
      </c>
      <c r="R3" s="345" t="str">
        <f t="shared" si="0"/>
        <v>February</v>
      </c>
      <c r="S3" s="345" t="str">
        <f t="shared" si="0"/>
        <v>March</v>
      </c>
      <c r="T3" s="345" t="str">
        <f t="shared" si="0"/>
        <v>April</v>
      </c>
      <c r="U3" s="345" t="str">
        <f t="shared" si="0"/>
        <v>May</v>
      </c>
      <c r="V3" s="345" t="str">
        <f t="shared" si="0"/>
        <v>June</v>
      </c>
      <c r="W3" s="345" t="str">
        <f t="shared" si="0"/>
        <v>July</v>
      </c>
      <c r="X3" s="345" t="str">
        <f t="shared" si="0"/>
        <v>August</v>
      </c>
      <c r="Y3" s="345" t="str">
        <f t="shared" si="0"/>
        <v>September</v>
      </c>
      <c r="Z3" s="345" t="str">
        <f t="shared" si="0"/>
        <v>October</v>
      </c>
      <c r="AA3" s="345" t="str">
        <f t="shared" si="0"/>
        <v>November</v>
      </c>
      <c r="AB3" s="345" t="str">
        <f t="shared" si="0"/>
        <v>December</v>
      </c>
      <c r="AC3" s="346" t="s">
        <v>18</v>
      </c>
      <c r="AE3" s="348" t="s">
        <v>50</v>
      </c>
      <c r="AF3" s="349" t="s">
        <v>51</v>
      </c>
      <c r="AG3" s="349" t="s">
        <v>52</v>
      </c>
      <c r="AH3" s="350" t="s">
        <v>53</v>
      </c>
      <c r="AI3" s="351" t="s">
        <v>18</v>
      </c>
      <c r="AK3" s="348" t="s">
        <v>50</v>
      </c>
      <c r="AL3" s="349" t="s">
        <v>51</v>
      </c>
      <c r="AM3" s="349" t="s">
        <v>52</v>
      </c>
      <c r="AN3" s="352" t="s">
        <v>53</v>
      </c>
      <c r="AO3" s="353" t="s">
        <v>18</v>
      </c>
      <c r="AQ3" s="351"/>
    </row>
    <row r="4" spans="1:43" s="110" customFormat="1" ht="13.5" customHeight="1">
      <c r="A4" s="108"/>
      <c r="B4" s="354"/>
      <c r="C4" s="108"/>
      <c r="D4" s="108"/>
      <c r="E4" s="108"/>
      <c r="F4" s="108"/>
      <c r="G4" s="108"/>
      <c r="H4" s="108"/>
      <c r="I4" s="108"/>
      <c r="J4" s="108"/>
      <c r="K4" s="108"/>
      <c r="L4" s="108"/>
      <c r="M4" s="108"/>
      <c r="O4" s="355"/>
      <c r="P4" s="347"/>
      <c r="Q4" s="108"/>
      <c r="R4" s="108"/>
      <c r="S4" s="108"/>
      <c r="T4" s="108"/>
      <c r="U4" s="108"/>
      <c r="V4" s="108"/>
      <c r="W4" s="108"/>
      <c r="X4" s="108"/>
      <c r="Y4" s="108"/>
      <c r="Z4" s="108"/>
      <c r="AA4" s="108"/>
      <c r="AC4" s="355"/>
      <c r="AE4" s="356"/>
      <c r="AF4" s="108"/>
      <c r="AG4" s="108"/>
      <c r="AI4" s="355"/>
      <c r="AK4" s="356"/>
      <c r="AL4" s="108"/>
      <c r="AM4" s="108"/>
      <c r="AN4" s="347"/>
      <c r="AO4" s="347"/>
      <c r="AQ4" s="355"/>
    </row>
    <row r="5" spans="1:43" ht="14.1" customHeight="1">
      <c r="A5" s="357"/>
      <c r="B5" s="358" t="str">
        <f>SalesProj!B5</f>
        <v>Product Line 1</v>
      </c>
      <c r="C5" s="359"/>
      <c r="D5" s="359"/>
      <c r="E5" s="359"/>
      <c r="F5" s="359"/>
      <c r="G5" s="359"/>
      <c r="H5" s="360"/>
      <c r="I5" s="360"/>
      <c r="J5" s="360"/>
      <c r="K5" s="360"/>
      <c r="L5" s="360"/>
      <c r="M5" s="360"/>
      <c r="N5" s="361"/>
      <c r="O5" s="362"/>
      <c r="P5" s="325"/>
      <c r="Q5" s="359"/>
      <c r="R5" s="359"/>
      <c r="S5" s="359"/>
      <c r="T5" s="359"/>
      <c r="U5" s="359"/>
      <c r="V5" s="360"/>
      <c r="W5" s="360"/>
      <c r="X5" s="360"/>
      <c r="Y5" s="360"/>
      <c r="Z5" s="360"/>
      <c r="AA5" s="360"/>
      <c r="AB5" s="361"/>
      <c r="AC5" s="362"/>
      <c r="AE5" s="363"/>
      <c r="AF5" s="360"/>
      <c r="AG5" s="360"/>
      <c r="AH5" s="361"/>
      <c r="AI5" s="364"/>
      <c r="AK5" s="363"/>
      <c r="AL5" s="360"/>
      <c r="AM5" s="360"/>
      <c r="AN5" s="365"/>
      <c r="AO5" s="364"/>
      <c r="AQ5" s="362"/>
    </row>
    <row r="6" spans="1:43" ht="14.1" customHeight="1">
      <c r="B6" s="322" t="s">
        <v>256</v>
      </c>
      <c r="C6" s="323">
        <f>SalesProj!E12</f>
        <v>0</v>
      </c>
      <c r="D6" s="323">
        <f>SalesProj!F12</f>
        <v>0</v>
      </c>
      <c r="E6" s="323">
        <f>SalesProj!G12</f>
        <v>0</v>
      </c>
      <c r="F6" s="323">
        <f>SalesProj!H12</f>
        <v>0</v>
      </c>
      <c r="G6" s="323">
        <f>SalesProj!I12</f>
        <v>0</v>
      </c>
      <c r="H6" s="323">
        <f>SalesProj!J12</f>
        <v>0</v>
      </c>
      <c r="I6" s="323">
        <f>SalesProj!K12</f>
        <v>0</v>
      </c>
      <c r="J6" s="323">
        <f>SalesProj!L12</f>
        <v>0</v>
      </c>
      <c r="K6" s="323">
        <f>SalesProj!M12</f>
        <v>0</v>
      </c>
      <c r="L6" s="323">
        <f>SalesProj!N12</f>
        <v>0</v>
      </c>
      <c r="M6" s="323">
        <f>SalesProj!O12</f>
        <v>0</v>
      </c>
      <c r="N6" s="323">
        <f>SalesProj!P12</f>
        <v>0</v>
      </c>
      <c r="O6" s="324">
        <f>SUM(C6:N6)</f>
        <v>0</v>
      </c>
      <c r="P6" s="325"/>
      <c r="Q6" s="323">
        <f>SalesProj!S12</f>
        <v>0</v>
      </c>
      <c r="R6" s="323">
        <f>SalesProj!T12</f>
        <v>0</v>
      </c>
      <c r="S6" s="323">
        <f>SalesProj!U12</f>
        <v>0</v>
      </c>
      <c r="T6" s="323">
        <f>SalesProj!V12</f>
        <v>0</v>
      </c>
      <c r="U6" s="323">
        <f>SalesProj!W12</f>
        <v>0</v>
      </c>
      <c r="V6" s="323">
        <f>SalesProj!X12</f>
        <v>0</v>
      </c>
      <c r="W6" s="323">
        <f>SalesProj!Y12</f>
        <v>0</v>
      </c>
      <c r="X6" s="323">
        <f>SalesProj!Z12</f>
        <v>0</v>
      </c>
      <c r="Y6" s="323">
        <f>SalesProj!AA12</f>
        <v>0</v>
      </c>
      <c r="Z6" s="323">
        <f>SalesProj!AB12</f>
        <v>0</v>
      </c>
      <c r="AA6" s="323">
        <f>SalesProj!AC12</f>
        <v>0</v>
      </c>
      <c r="AB6" s="323">
        <f>SalesProj!AD12</f>
        <v>0</v>
      </c>
      <c r="AC6" s="324">
        <f>SUM(Q6:AB6)</f>
        <v>0</v>
      </c>
      <c r="AE6" s="326">
        <f>SalesProj!AG12</f>
        <v>0</v>
      </c>
      <c r="AF6" s="327">
        <f>SalesProj!AH12</f>
        <v>0</v>
      </c>
      <c r="AG6" s="328">
        <f>SalesProj!AI12</f>
        <v>0</v>
      </c>
      <c r="AH6" s="329">
        <f>SalesProj!AJ12</f>
        <v>0</v>
      </c>
      <c r="AI6" s="330">
        <f>SUM(AE6:AH6)</f>
        <v>0</v>
      </c>
      <c r="AJ6" s="331"/>
      <c r="AK6" s="326">
        <f>SalesProj!AM12</f>
        <v>0</v>
      </c>
      <c r="AL6" s="327">
        <f>SalesProj!AN12</f>
        <v>0</v>
      </c>
      <c r="AM6" s="328">
        <f>SalesProj!AO12</f>
        <v>0</v>
      </c>
      <c r="AN6" s="329">
        <f>SalesProj!AP12</f>
        <v>0</v>
      </c>
      <c r="AO6" s="332">
        <f>SUM(AK6:AN6)</f>
        <v>0</v>
      </c>
      <c r="AQ6" s="333">
        <f>SalesProj!AS12</f>
        <v>0</v>
      </c>
    </row>
    <row r="7" spans="1:43" ht="14.1" customHeight="1">
      <c r="A7" s="357"/>
      <c r="B7" s="334" t="s">
        <v>251</v>
      </c>
      <c r="C7" s="146">
        <v>0</v>
      </c>
      <c r="D7" s="146">
        <f>C7</f>
        <v>0</v>
      </c>
      <c r="E7" s="146">
        <f>D7</f>
        <v>0</v>
      </c>
      <c r="F7" s="146">
        <f>E7</f>
        <v>0</v>
      </c>
      <c r="G7" s="146">
        <f>F7</f>
        <v>0</v>
      </c>
      <c r="H7" s="146">
        <f>G7</f>
        <v>0</v>
      </c>
      <c r="I7" s="146">
        <f t="shared" ref="I7:N7" si="1">H7</f>
        <v>0</v>
      </c>
      <c r="J7" s="146">
        <f t="shared" si="1"/>
        <v>0</v>
      </c>
      <c r="K7" s="146">
        <f t="shared" si="1"/>
        <v>0</v>
      </c>
      <c r="L7" s="146">
        <f t="shared" si="1"/>
        <v>0</v>
      </c>
      <c r="M7" s="146">
        <f t="shared" si="1"/>
        <v>0</v>
      </c>
      <c r="N7" s="146">
        <f t="shared" si="1"/>
        <v>0</v>
      </c>
      <c r="O7" s="366">
        <f>SUM(C7:N7)</f>
        <v>0</v>
      </c>
      <c r="P7" s="367"/>
      <c r="Q7" s="146">
        <f>N7</f>
        <v>0</v>
      </c>
      <c r="R7" s="147">
        <f>Q7</f>
        <v>0</v>
      </c>
      <c r="S7" s="147">
        <f t="shared" ref="S7:AB7" si="2">R7</f>
        <v>0</v>
      </c>
      <c r="T7" s="147">
        <f t="shared" si="2"/>
        <v>0</v>
      </c>
      <c r="U7" s="147">
        <f t="shared" si="2"/>
        <v>0</v>
      </c>
      <c r="V7" s="147">
        <f t="shared" si="2"/>
        <v>0</v>
      </c>
      <c r="W7" s="147">
        <f t="shared" si="2"/>
        <v>0</v>
      </c>
      <c r="X7" s="147">
        <f t="shared" si="2"/>
        <v>0</v>
      </c>
      <c r="Y7" s="147">
        <f t="shared" si="2"/>
        <v>0</v>
      </c>
      <c r="Z7" s="147">
        <f t="shared" si="2"/>
        <v>0</v>
      </c>
      <c r="AA7" s="147">
        <f t="shared" si="2"/>
        <v>0</v>
      </c>
      <c r="AB7" s="147">
        <f t="shared" si="2"/>
        <v>0</v>
      </c>
      <c r="AC7" s="366">
        <f>SUM(Q7:AB7)</f>
        <v>0</v>
      </c>
      <c r="AD7" s="368"/>
      <c r="AE7" s="150">
        <f>AB7*3</f>
        <v>0</v>
      </c>
      <c r="AF7" s="147">
        <f>AE7</f>
        <v>0</v>
      </c>
      <c r="AG7" s="147">
        <f>AF7</f>
        <v>0</v>
      </c>
      <c r="AH7" s="147">
        <f>AG7</f>
        <v>0</v>
      </c>
      <c r="AI7" s="369">
        <f>SUM(AE7:AH7)</f>
        <v>0</v>
      </c>
      <c r="AJ7" s="368"/>
      <c r="AK7" s="151">
        <f>AH7</f>
        <v>0</v>
      </c>
      <c r="AL7" s="152">
        <f>AK7</f>
        <v>0</v>
      </c>
      <c r="AM7" s="152">
        <f>AL7</f>
        <v>0</v>
      </c>
      <c r="AN7" s="153">
        <f>AM7</f>
        <v>0</v>
      </c>
      <c r="AO7" s="370">
        <f>SUM(AK7:AN7)</f>
        <v>0</v>
      </c>
      <c r="AP7" s="368"/>
      <c r="AQ7" s="154">
        <f>AN7*4</f>
        <v>0</v>
      </c>
    </row>
    <row r="8" spans="1:43" ht="14.1" customHeight="1">
      <c r="A8" s="357"/>
      <c r="B8" s="334" t="s">
        <v>252</v>
      </c>
      <c r="C8" s="146">
        <v>0</v>
      </c>
      <c r="D8" s="146">
        <f t="shared" ref="D8:N10" si="3">C8</f>
        <v>0</v>
      </c>
      <c r="E8" s="146">
        <f t="shared" si="3"/>
        <v>0</v>
      </c>
      <c r="F8" s="146">
        <f t="shared" si="3"/>
        <v>0</v>
      </c>
      <c r="G8" s="146">
        <f t="shared" si="3"/>
        <v>0</v>
      </c>
      <c r="H8" s="146">
        <f t="shared" si="3"/>
        <v>0</v>
      </c>
      <c r="I8" s="146">
        <f t="shared" si="3"/>
        <v>0</v>
      </c>
      <c r="J8" s="146">
        <f t="shared" si="3"/>
        <v>0</v>
      </c>
      <c r="K8" s="146">
        <f t="shared" si="3"/>
        <v>0</v>
      </c>
      <c r="L8" s="146">
        <f t="shared" si="3"/>
        <v>0</v>
      </c>
      <c r="M8" s="146">
        <f t="shared" si="3"/>
        <v>0</v>
      </c>
      <c r="N8" s="146">
        <f t="shared" si="3"/>
        <v>0</v>
      </c>
      <c r="O8" s="371">
        <f>SUM(C8:N8)</f>
        <v>0</v>
      </c>
      <c r="P8" s="367"/>
      <c r="Q8" s="146">
        <f>N8</f>
        <v>0</v>
      </c>
      <c r="R8" s="147">
        <f t="shared" ref="R8:AB10" si="4">Q8</f>
        <v>0</v>
      </c>
      <c r="S8" s="147">
        <f t="shared" si="4"/>
        <v>0</v>
      </c>
      <c r="T8" s="147">
        <f t="shared" si="4"/>
        <v>0</v>
      </c>
      <c r="U8" s="147">
        <f t="shared" si="4"/>
        <v>0</v>
      </c>
      <c r="V8" s="147">
        <f t="shared" si="4"/>
        <v>0</v>
      </c>
      <c r="W8" s="147">
        <f t="shared" si="4"/>
        <v>0</v>
      </c>
      <c r="X8" s="147">
        <f t="shared" si="4"/>
        <v>0</v>
      </c>
      <c r="Y8" s="147">
        <f t="shared" si="4"/>
        <v>0</v>
      </c>
      <c r="Z8" s="147">
        <f t="shared" si="4"/>
        <v>0</v>
      </c>
      <c r="AA8" s="147">
        <f t="shared" si="4"/>
        <v>0</v>
      </c>
      <c r="AB8" s="147">
        <f t="shared" si="4"/>
        <v>0</v>
      </c>
      <c r="AC8" s="371">
        <f>SUM(Q8:AB8)</f>
        <v>0</v>
      </c>
      <c r="AD8" s="368"/>
      <c r="AE8" s="150">
        <f>AB8*3</f>
        <v>0</v>
      </c>
      <c r="AF8" s="147">
        <f t="shared" ref="AF8:AH10" si="5">AE8</f>
        <v>0</v>
      </c>
      <c r="AG8" s="147">
        <f t="shared" si="5"/>
        <v>0</v>
      </c>
      <c r="AH8" s="147">
        <f t="shared" si="5"/>
        <v>0</v>
      </c>
      <c r="AI8" s="369">
        <f>SUM(AE8:AH8)</f>
        <v>0</v>
      </c>
      <c r="AJ8" s="368"/>
      <c r="AK8" s="151">
        <f>AH8</f>
        <v>0</v>
      </c>
      <c r="AL8" s="152">
        <f t="shared" ref="AL8:AN10" si="6">AK8</f>
        <v>0</v>
      </c>
      <c r="AM8" s="152">
        <f t="shared" si="6"/>
        <v>0</v>
      </c>
      <c r="AN8" s="153">
        <f t="shared" si="6"/>
        <v>0</v>
      </c>
      <c r="AO8" s="370">
        <f>SUM(AK8:AN8)</f>
        <v>0</v>
      </c>
      <c r="AP8" s="368"/>
      <c r="AQ8" s="154">
        <f>AN8*4</f>
        <v>0</v>
      </c>
    </row>
    <row r="9" spans="1:43" ht="14.1" customHeight="1">
      <c r="A9" s="357"/>
      <c r="B9" s="334" t="s">
        <v>253</v>
      </c>
      <c r="C9" s="146">
        <v>0</v>
      </c>
      <c r="D9" s="146">
        <f t="shared" si="3"/>
        <v>0</v>
      </c>
      <c r="E9" s="146">
        <f t="shared" si="3"/>
        <v>0</v>
      </c>
      <c r="F9" s="146">
        <f t="shared" si="3"/>
        <v>0</v>
      </c>
      <c r="G9" s="146">
        <f t="shared" si="3"/>
        <v>0</v>
      </c>
      <c r="H9" s="146">
        <f t="shared" si="3"/>
        <v>0</v>
      </c>
      <c r="I9" s="146">
        <f t="shared" si="3"/>
        <v>0</v>
      </c>
      <c r="J9" s="146">
        <f t="shared" si="3"/>
        <v>0</v>
      </c>
      <c r="K9" s="146">
        <f t="shared" si="3"/>
        <v>0</v>
      </c>
      <c r="L9" s="146">
        <f t="shared" si="3"/>
        <v>0</v>
      </c>
      <c r="M9" s="146">
        <f t="shared" si="3"/>
        <v>0</v>
      </c>
      <c r="N9" s="146">
        <f t="shared" si="3"/>
        <v>0</v>
      </c>
      <c r="O9" s="366">
        <f>SUM(C9:N9)</f>
        <v>0</v>
      </c>
      <c r="P9" s="367"/>
      <c r="Q9" s="146">
        <f>N9</f>
        <v>0</v>
      </c>
      <c r="R9" s="147">
        <f t="shared" si="4"/>
        <v>0</v>
      </c>
      <c r="S9" s="147">
        <f t="shared" si="4"/>
        <v>0</v>
      </c>
      <c r="T9" s="147">
        <f t="shared" si="4"/>
        <v>0</v>
      </c>
      <c r="U9" s="147">
        <f t="shared" si="4"/>
        <v>0</v>
      </c>
      <c r="V9" s="147">
        <f t="shared" si="4"/>
        <v>0</v>
      </c>
      <c r="W9" s="147">
        <f t="shared" si="4"/>
        <v>0</v>
      </c>
      <c r="X9" s="147">
        <f t="shared" si="4"/>
        <v>0</v>
      </c>
      <c r="Y9" s="147">
        <f t="shared" si="4"/>
        <v>0</v>
      </c>
      <c r="Z9" s="147">
        <f t="shared" si="4"/>
        <v>0</v>
      </c>
      <c r="AA9" s="147">
        <f t="shared" si="4"/>
        <v>0</v>
      </c>
      <c r="AB9" s="147">
        <f t="shared" si="4"/>
        <v>0</v>
      </c>
      <c r="AC9" s="366">
        <f>SUM(Q9:AB9)</f>
        <v>0</v>
      </c>
      <c r="AD9" s="372"/>
      <c r="AE9" s="150">
        <f>AB9*3</f>
        <v>0</v>
      </c>
      <c r="AF9" s="147">
        <f t="shared" si="5"/>
        <v>0</v>
      </c>
      <c r="AG9" s="147">
        <f t="shared" si="5"/>
        <v>0</v>
      </c>
      <c r="AH9" s="147">
        <f t="shared" si="5"/>
        <v>0</v>
      </c>
      <c r="AI9" s="369">
        <f>SUM(AE9:AH9)</f>
        <v>0</v>
      </c>
      <c r="AJ9" s="372"/>
      <c r="AK9" s="151">
        <f>AH9</f>
        <v>0</v>
      </c>
      <c r="AL9" s="152">
        <f t="shared" si="6"/>
        <v>0</v>
      </c>
      <c r="AM9" s="152">
        <f t="shared" si="6"/>
        <v>0</v>
      </c>
      <c r="AN9" s="153">
        <f t="shared" si="6"/>
        <v>0</v>
      </c>
      <c r="AO9" s="370">
        <f>SUM(AK9:AN9)</f>
        <v>0</v>
      </c>
      <c r="AP9" s="372"/>
      <c r="AQ9" s="154">
        <f>AN9*4</f>
        <v>0</v>
      </c>
    </row>
    <row r="10" spans="1:43" ht="14.1" customHeight="1" thickBot="1">
      <c r="A10" s="357"/>
      <c r="B10" s="335" t="s">
        <v>254</v>
      </c>
      <c r="C10" s="315">
        <v>0</v>
      </c>
      <c r="D10" s="316">
        <f t="shared" si="3"/>
        <v>0</v>
      </c>
      <c r="E10" s="316">
        <f t="shared" si="3"/>
        <v>0</v>
      </c>
      <c r="F10" s="316">
        <f t="shared" si="3"/>
        <v>0</v>
      </c>
      <c r="G10" s="316">
        <f t="shared" si="3"/>
        <v>0</v>
      </c>
      <c r="H10" s="316">
        <f t="shared" si="3"/>
        <v>0</v>
      </c>
      <c r="I10" s="316">
        <f t="shared" si="3"/>
        <v>0</v>
      </c>
      <c r="J10" s="316">
        <f t="shared" si="3"/>
        <v>0</v>
      </c>
      <c r="K10" s="316">
        <f t="shared" si="3"/>
        <v>0</v>
      </c>
      <c r="L10" s="316">
        <f t="shared" si="3"/>
        <v>0</v>
      </c>
      <c r="M10" s="316">
        <f t="shared" si="3"/>
        <v>0</v>
      </c>
      <c r="N10" s="316">
        <f t="shared" si="3"/>
        <v>0</v>
      </c>
      <c r="O10" s="373">
        <f>SUM(C10:N10)</f>
        <v>0</v>
      </c>
      <c r="P10" s="367"/>
      <c r="Q10" s="317">
        <f>N10</f>
        <v>0</v>
      </c>
      <c r="R10" s="315">
        <f t="shared" si="4"/>
        <v>0</v>
      </c>
      <c r="S10" s="315">
        <f t="shared" si="4"/>
        <v>0</v>
      </c>
      <c r="T10" s="315">
        <f t="shared" si="4"/>
        <v>0</v>
      </c>
      <c r="U10" s="315">
        <f t="shared" si="4"/>
        <v>0</v>
      </c>
      <c r="V10" s="315">
        <f t="shared" si="4"/>
        <v>0</v>
      </c>
      <c r="W10" s="315">
        <f t="shared" si="4"/>
        <v>0</v>
      </c>
      <c r="X10" s="315">
        <f t="shared" si="4"/>
        <v>0</v>
      </c>
      <c r="Y10" s="315">
        <f t="shared" si="4"/>
        <v>0</v>
      </c>
      <c r="Z10" s="315">
        <f t="shared" si="4"/>
        <v>0</v>
      </c>
      <c r="AA10" s="315">
        <f t="shared" si="4"/>
        <v>0</v>
      </c>
      <c r="AB10" s="318">
        <f t="shared" si="4"/>
        <v>0</v>
      </c>
      <c r="AC10" s="373">
        <f>SUM(Q10:AB10)</f>
        <v>0</v>
      </c>
      <c r="AD10" s="372"/>
      <c r="AE10" s="317">
        <f>AB10*3</f>
        <v>0</v>
      </c>
      <c r="AF10" s="315">
        <f t="shared" si="5"/>
        <v>0</v>
      </c>
      <c r="AG10" s="315">
        <f t="shared" si="5"/>
        <v>0</v>
      </c>
      <c r="AH10" s="318">
        <f t="shared" si="5"/>
        <v>0</v>
      </c>
      <c r="AI10" s="373">
        <f>SUM(AE10:AH10)</f>
        <v>0</v>
      </c>
      <c r="AJ10" s="372"/>
      <c r="AK10" s="320">
        <f>AH10</f>
        <v>0</v>
      </c>
      <c r="AL10" s="315">
        <f t="shared" si="6"/>
        <v>0</v>
      </c>
      <c r="AM10" s="315">
        <f t="shared" si="6"/>
        <v>0</v>
      </c>
      <c r="AN10" s="321">
        <f t="shared" si="6"/>
        <v>0</v>
      </c>
      <c r="AO10" s="373">
        <f>SUM(AK10:AN10)</f>
        <v>0</v>
      </c>
      <c r="AP10" s="372"/>
      <c r="AQ10" s="319">
        <f>AN10*4</f>
        <v>0</v>
      </c>
    </row>
    <row r="11" spans="1:43" ht="14.1" customHeight="1" thickBot="1">
      <c r="B11" s="374" t="s">
        <v>255</v>
      </c>
      <c r="C11" s="375">
        <f>SUM(C7:C10)</f>
        <v>0</v>
      </c>
      <c r="D11" s="376">
        <f t="shared" ref="D11:N11" si="7">SUM(D7:D10)</f>
        <v>0</v>
      </c>
      <c r="E11" s="376">
        <f t="shared" si="7"/>
        <v>0</v>
      </c>
      <c r="F11" s="376">
        <f t="shared" si="7"/>
        <v>0</v>
      </c>
      <c r="G11" s="376">
        <f t="shared" si="7"/>
        <v>0</v>
      </c>
      <c r="H11" s="376">
        <f t="shared" si="7"/>
        <v>0</v>
      </c>
      <c r="I11" s="376">
        <f t="shared" si="7"/>
        <v>0</v>
      </c>
      <c r="J11" s="376">
        <f t="shared" si="7"/>
        <v>0</v>
      </c>
      <c r="K11" s="376">
        <f t="shared" si="7"/>
        <v>0</v>
      </c>
      <c r="L11" s="376">
        <f t="shared" si="7"/>
        <v>0</v>
      </c>
      <c r="M11" s="376">
        <f t="shared" si="7"/>
        <v>0</v>
      </c>
      <c r="N11" s="376">
        <f t="shared" si="7"/>
        <v>0</v>
      </c>
      <c r="O11" s="377">
        <f>SUM(O7:O10)</f>
        <v>0</v>
      </c>
      <c r="P11" s="367"/>
      <c r="Q11" s="376">
        <f>SUM(Q7:Q10)</f>
        <v>0</v>
      </c>
      <c r="R11" s="376">
        <f>SUM(R7:R10)</f>
        <v>0</v>
      </c>
      <c r="S11" s="376">
        <f t="shared" ref="S11:AB11" si="8">SUM(S7:S10)</f>
        <v>0</v>
      </c>
      <c r="T11" s="376">
        <f t="shared" si="8"/>
        <v>0</v>
      </c>
      <c r="U11" s="376">
        <f t="shared" si="8"/>
        <v>0</v>
      </c>
      <c r="V11" s="376">
        <f t="shared" si="8"/>
        <v>0</v>
      </c>
      <c r="W11" s="376">
        <f t="shared" si="8"/>
        <v>0</v>
      </c>
      <c r="X11" s="376">
        <f t="shared" si="8"/>
        <v>0</v>
      </c>
      <c r="Y11" s="376">
        <f t="shared" si="8"/>
        <v>0</v>
      </c>
      <c r="Z11" s="376">
        <f t="shared" si="8"/>
        <v>0</v>
      </c>
      <c r="AA11" s="376">
        <f t="shared" si="8"/>
        <v>0</v>
      </c>
      <c r="AB11" s="376">
        <f t="shared" si="8"/>
        <v>0</v>
      </c>
      <c r="AC11" s="377">
        <f>SUM(AC7:AC10)</f>
        <v>0</v>
      </c>
      <c r="AD11" s="372"/>
      <c r="AE11" s="376">
        <f>SUM(AE7:AE10)</f>
        <v>0</v>
      </c>
      <c r="AF11" s="376">
        <f>SUM(AF7:AF10)</f>
        <v>0</v>
      </c>
      <c r="AG11" s="376">
        <f>SUM(AG7:AG10)</f>
        <v>0</v>
      </c>
      <c r="AH11" s="376">
        <f>SUM(AH7:AH10)</f>
        <v>0</v>
      </c>
      <c r="AI11" s="377">
        <f>SUM(AI7:AI10)</f>
        <v>0</v>
      </c>
      <c r="AJ11" s="372"/>
      <c r="AK11" s="376">
        <f>SUM(AK7:AK10)</f>
        <v>0</v>
      </c>
      <c r="AL11" s="376">
        <f>SUM(AL7:AL10)</f>
        <v>0</v>
      </c>
      <c r="AM11" s="376">
        <f>SUM(AM7:AM10)</f>
        <v>0</v>
      </c>
      <c r="AN11" s="376">
        <f>SUM(AN7:AN10)</f>
        <v>0</v>
      </c>
      <c r="AO11" s="377">
        <f>SUM(AO7:AO10)</f>
        <v>0</v>
      </c>
      <c r="AP11" s="372"/>
      <c r="AQ11" s="377">
        <f>SUM(AQ7:AQ10)</f>
        <v>0</v>
      </c>
    </row>
    <row r="12" spans="1:43" s="110" customFormat="1" ht="13.5" customHeight="1">
      <c r="A12" s="108"/>
      <c r="B12" s="354"/>
      <c r="C12" s="108"/>
      <c r="D12" s="108"/>
      <c r="E12" s="108"/>
      <c r="F12" s="108"/>
      <c r="G12" s="108"/>
      <c r="H12" s="108"/>
      <c r="I12" s="108"/>
      <c r="J12" s="108"/>
      <c r="K12" s="108"/>
      <c r="L12" s="108"/>
      <c r="M12" s="108"/>
      <c r="O12" s="355"/>
      <c r="P12" s="347"/>
      <c r="Q12" s="108"/>
      <c r="R12" s="108"/>
      <c r="S12" s="108"/>
      <c r="T12" s="108"/>
      <c r="U12" s="108"/>
      <c r="V12" s="108"/>
      <c r="W12" s="108"/>
      <c r="X12" s="108"/>
      <c r="Y12" s="108"/>
      <c r="Z12" s="108"/>
      <c r="AA12" s="108"/>
      <c r="AC12" s="355"/>
      <c r="AE12" s="356"/>
      <c r="AF12" s="108"/>
      <c r="AG12" s="108"/>
      <c r="AI12" s="355"/>
      <c r="AK12" s="356"/>
      <c r="AL12" s="108"/>
      <c r="AM12" s="108"/>
      <c r="AN12" s="347"/>
      <c r="AO12" s="347"/>
      <c r="AQ12" s="355"/>
    </row>
    <row r="13" spans="1:43" ht="14.1" customHeight="1">
      <c r="A13" s="357"/>
      <c r="B13" s="358" t="str">
        <f>SalesProj!B15</f>
        <v>Product Line 2</v>
      </c>
      <c r="C13" s="359"/>
      <c r="D13" s="359"/>
      <c r="E13" s="359"/>
      <c r="F13" s="359"/>
      <c r="G13" s="359"/>
      <c r="H13" s="360"/>
      <c r="I13" s="360"/>
      <c r="J13" s="360"/>
      <c r="K13" s="360"/>
      <c r="L13" s="360"/>
      <c r="M13" s="360"/>
      <c r="N13" s="361"/>
      <c r="O13" s="362"/>
      <c r="P13" s="325"/>
      <c r="Q13" s="359"/>
      <c r="R13" s="359"/>
      <c r="S13" s="359"/>
      <c r="T13" s="359"/>
      <c r="U13" s="359"/>
      <c r="V13" s="360"/>
      <c r="W13" s="360"/>
      <c r="X13" s="360"/>
      <c r="Y13" s="360"/>
      <c r="Z13" s="360"/>
      <c r="AA13" s="360"/>
      <c r="AB13" s="361"/>
      <c r="AC13" s="362"/>
      <c r="AE13" s="393"/>
      <c r="AF13" s="360"/>
      <c r="AG13" s="360"/>
      <c r="AH13" s="361"/>
      <c r="AI13" s="364"/>
      <c r="AK13" s="363"/>
      <c r="AL13" s="360"/>
      <c r="AM13" s="360"/>
      <c r="AN13" s="365"/>
      <c r="AO13" s="364"/>
      <c r="AQ13" s="362"/>
    </row>
    <row r="14" spans="1:43" ht="14.1" customHeight="1">
      <c r="B14" s="322" t="s">
        <v>256</v>
      </c>
      <c r="C14" s="323">
        <f>SalesProj!E22</f>
        <v>0</v>
      </c>
      <c r="D14" s="323">
        <f>SalesProj!F22</f>
        <v>0</v>
      </c>
      <c r="E14" s="323">
        <f>SalesProj!G22</f>
        <v>0</v>
      </c>
      <c r="F14" s="323">
        <f>SalesProj!H22</f>
        <v>0</v>
      </c>
      <c r="G14" s="323">
        <f>SalesProj!I22</f>
        <v>0</v>
      </c>
      <c r="H14" s="323">
        <f>SalesProj!J22</f>
        <v>0</v>
      </c>
      <c r="I14" s="323">
        <f>SalesProj!K22</f>
        <v>0</v>
      </c>
      <c r="J14" s="323">
        <f>SalesProj!L22</f>
        <v>0</v>
      </c>
      <c r="K14" s="323">
        <f>SalesProj!M22</f>
        <v>0</v>
      </c>
      <c r="L14" s="323">
        <f>SalesProj!N22</f>
        <v>0</v>
      </c>
      <c r="M14" s="323">
        <f>SalesProj!O22</f>
        <v>0</v>
      </c>
      <c r="N14" s="323">
        <f>SalesProj!P22</f>
        <v>0</v>
      </c>
      <c r="O14" s="324">
        <f>SUM(C14:N14)</f>
        <v>0</v>
      </c>
      <c r="P14" s="325"/>
      <c r="Q14" s="323">
        <f>SalesProj!S22</f>
        <v>0</v>
      </c>
      <c r="R14" s="323">
        <f>SalesProj!T22</f>
        <v>0</v>
      </c>
      <c r="S14" s="323">
        <f>SalesProj!U22</f>
        <v>0</v>
      </c>
      <c r="T14" s="323">
        <f>SalesProj!V22</f>
        <v>0</v>
      </c>
      <c r="U14" s="323">
        <f>SalesProj!W22</f>
        <v>0</v>
      </c>
      <c r="V14" s="323">
        <f>SalesProj!X22</f>
        <v>0</v>
      </c>
      <c r="W14" s="323">
        <f>SalesProj!Y22</f>
        <v>0</v>
      </c>
      <c r="X14" s="323">
        <f>SalesProj!Z22</f>
        <v>0</v>
      </c>
      <c r="Y14" s="323">
        <f>SalesProj!AA22</f>
        <v>0</v>
      </c>
      <c r="Z14" s="323">
        <f>SalesProj!AB22</f>
        <v>0</v>
      </c>
      <c r="AA14" s="323">
        <f>SalesProj!AC22</f>
        <v>0</v>
      </c>
      <c r="AB14" s="323">
        <f>SalesProj!AD22</f>
        <v>0</v>
      </c>
      <c r="AC14" s="324">
        <f>SUM(Q14:AB14)</f>
        <v>0</v>
      </c>
      <c r="AE14" s="326">
        <f>SalesProj!AG22</f>
        <v>0</v>
      </c>
      <c r="AF14" s="323">
        <f>SalesProj!AH22</f>
        <v>0</v>
      </c>
      <c r="AG14" s="323">
        <f>SalesProj!AI22</f>
        <v>0</v>
      </c>
      <c r="AH14" s="323">
        <f>SalesProj!AJ22</f>
        <v>0</v>
      </c>
      <c r="AI14" s="330">
        <f>SUM(AE14:AH14)</f>
        <v>0</v>
      </c>
      <c r="AJ14" s="331"/>
      <c r="AK14" s="392">
        <f>SalesProj!AM22</f>
        <v>0</v>
      </c>
      <c r="AL14" s="391">
        <f>SalesProj!AN22</f>
        <v>0</v>
      </c>
      <c r="AM14" s="323">
        <f>SalesProj!AO22</f>
        <v>0</v>
      </c>
      <c r="AN14" s="329">
        <f>SalesProj!AP22</f>
        <v>0</v>
      </c>
      <c r="AO14" s="332">
        <f>SUM(AK14:AN14)</f>
        <v>0</v>
      </c>
      <c r="AQ14" s="333">
        <f>SalesProj!AS22</f>
        <v>0</v>
      </c>
    </row>
    <row r="15" spans="1:43" ht="14.1" customHeight="1">
      <c r="A15" s="357"/>
      <c r="B15" s="334" t="s">
        <v>251</v>
      </c>
      <c r="C15" s="146">
        <v>0</v>
      </c>
      <c r="D15" s="146">
        <f>C15</f>
        <v>0</v>
      </c>
      <c r="E15" s="146">
        <f t="shared" ref="E15:N15" si="9">D15</f>
        <v>0</v>
      </c>
      <c r="F15" s="146">
        <f t="shared" si="9"/>
        <v>0</v>
      </c>
      <c r="G15" s="146">
        <f t="shared" si="9"/>
        <v>0</v>
      </c>
      <c r="H15" s="146">
        <f t="shared" si="9"/>
        <v>0</v>
      </c>
      <c r="I15" s="146">
        <f t="shared" si="9"/>
        <v>0</v>
      </c>
      <c r="J15" s="146">
        <f t="shared" si="9"/>
        <v>0</v>
      </c>
      <c r="K15" s="146">
        <f t="shared" si="9"/>
        <v>0</v>
      </c>
      <c r="L15" s="146">
        <f t="shared" si="9"/>
        <v>0</v>
      </c>
      <c r="M15" s="146">
        <f t="shared" si="9"/>
        <v>0</v>
      </c>
      <c r="N15" s="146">
        <f t="shared" si="9"/>
        <v>0</v>
      </c>
      <c r="O15" s="366">
        <f>SUM(C15:N15)</f>
        <v>0</v>
      </c>
      <c r="P15" s="367"/>
      <c r="Q15" s="146">
        <f>N15</f>
        <v>0</v>
      </c>
      <c r="R15" s="147">
        <f>Q15</f>
        <v>0</v>
      </c>
      <c r="S15" s="147">
        <f t="shared" ref="S15:AB15" si="10">R15</f>
        <v>0</v>
      </c>
      <c r="T15" s="147">
        <f t="shared" si="10"/>
        <v>0</v>
      </c>
      <c r="U15" s="147">
        <f t="shared" si="10"/>
        <v>0</v>
      </c>
      <c r="V15" s="147">
        <f t="shared" si="10"/>
        <v>0</v>
      </c>
      <c r="W15" s="147">
        <f t="shared" si="10"/>
        <v>0</v>
      </c>
      <c r="X15" s="147">
        <f t="shared" si="10"/>
        <v>0</v>
      </c>
      <c r="Y15" s="147">
        <f t="shared" si="10"/>
        <v>0</v>
      </c>
      <c r="Z15" s="147">
        <f t="shared" si="10"/>
        <v>0</v>
      </c>
      <c r="AA15" s="147">
        <f t="shared" si="10"/>
        <v>0</v>
      </c>
      <c r="AB15" s="147">
        <f t="shared" si="10"/>
        <v>0</v>
      </c>
      <c r="AC15" s="366">
        <f>SUM(Q15:AB15)</f>
        <v>0</v>
      </c>
      <c r="AD15" s="368"/>
      <c r="AE15" s="150">
        <f>AB15*3</f>
        <v>0</v>
      </c>
      <c r="AF15" s="147">
        <f t="shared" ref="AF15:AH18" si="11">AE15</f>
        <v>0</v>
      </c>
      <c r="AG15" s="147">
        <f t="shared" si="11"/>
        <v>0</v>
      </c>
      <c r="AH15" s="147">
        <f t="shared" si="11"/>
        <v>0</v>
      </c>
      <c r="AI15" s="369">
        <f>SUM(AE15:AH15)</f>
        <v>0</v>
      </c>
      <c r="AJ15" s="368"/>
      <c r="AK15" s="151">
        <f>AH15</f>
        <v>0</v>
      </c>
      <c r="AL15" s="152">
        <f t="shared" ref="AL15:AN18" si="12">AK15</f>
        <v>0</v>
      </c>
      <c r="AM15" s="152">
        <f t="shared" si="12"/>
        <v>0</v>
      </c>
      <c r="AN15" s="153">
        <f t="shared" si="12"/>
        <v>0</v>
      </c>
      <c r="AO15" s="370">
        <f>SUM(AK15:AN15)</f>
        <v>0</v>
      </c>
      <c r="AP15" s="368"/>
      <c r="AQ15" s="154">
        <f>AN15*4</f>
        <v>0</v>
      </c>
    </row>
    <row r="16" spans="1:43" ht="14.1" customHeight="1">
      <c r="A16" s="357"/>
      <c r="B16" s="334" t="s">
        <v>252</v>
      </c>
      <c r="C16" s="146">
        <v>0</v>
      </c>
      <c r="D16" s="146">
        <f t="shared" ref="D16:N16" si="13">C16</f>
        <v>0</v>
      </c>
      <c r="E16" s="146">
        <f t="shared" si="13"/>
        <v>0</v>
      </c>
      <c r="F16" s="146">
        <f t="shared" si="13"/>
        <v>0</v>
      </c>
      <c r="G16" s="146">
        <f t="shared" si="13"/>
        <v>0</v>
      </c>
      <c r="H16" s="146">
        <f t="shared" si="13"/>
        <v>0</v>
      </c>
      <c r="I16" s="146">
        <f t="shared" si="13"/>
        <v>0</v>
      </c>
      <c r="J16" s="146">
        <f t="shared" si="13"/>
        <v>0</v>
      </c>
      <c r="K16" s="146">
        <f t="shared" si="13"/>
        <v>0</v>
      </c>
      <c r="L16" s="146">
        <f t="shared" si="13"/>
        <v>0</v>
      </c>
      <c r="M16" s="146">
        <f t="shared" si="13"/>
        <v>0</v>
      </c>
      <c r="N16" s="146">
        <f t="shared" si="13"/>
        <v>0</v>
      </c>
      <c r="O16" s="371">
        <f>SUM(C16:N16)</f>
        <v>0</v>
      </c>
      <c r="P16" s="367"/>
      <c r="Q16" s="146">
        <f>N16</f>
        <v>0</v>
      </c>
      <c r="R16" s="147">
        <f t="shared" ref="R16:AB16" si="14">Q16</f>
        <v>0</v>
      </c>
      <c r="S16" s="147">
        <f t="shared" si="14"/>
        <v>0</v>
      </c>
      <c r="T16" s="147">
        <f t="shared" si="14"/>
        <v>0</v>
      </c>
      <c r="U16" s="147">
        <f t="shared" si="14"/>
        <v>0</v>
      </c>
      <c r="V16" s="147">
        <f t="shared" si="14"/>
        <v>0</v>
      </c>
      <c r="W16" s="147">
        <f t="shared" si="14"/>
        <v>0</v>
      </c>
      <c r="X16" s="147">
        <f t="shared" si="14"/>
        <v>0</v>
      </c>
      <c r="Y16" s="147">
        <f t="shared" si="14"/>
        <v>0</v>
      </c>
      <c r="Z16" s="147">
        <f t="shared" si="14"/>
        <v>0</v>
      </c>
      <c r="AA16" s="147">
        <f t="shared" si="14"/>
        <v>0</v>
      </c>
      <c r="AB16" s="147">
        <f t="shared" si="14"/>
        <v>0</v>
      </c>
      <c r="AC16" s="371">
        <f>SUM(Q16:AB16)</f>
        <v>0</v>
      </c>
      <c r="AD16" s="368"/>
      <c r="AE16" s="150">
        <f>AB16*3</f>
        <v>0</v>
      </c>
      <c r="AF16" s="147">
        <f t="shared" si="11"/>
        <v>0</v>
      </c>
      <c r="AG16" s="147">
        <f t="shared" si="11"/>
        <v>0</v>
      </c>
      <c r="AH16" s="147">
        <f t="shared" si="11"/>
        <v>0</v>
      </c>
      <c r="AI16" s="369">
        <f>SUM(AE16:AH16)</f>
        <v>0</v>
      </c>
      <c r="AJ16" s="368"/>
      <c r="AK16" s="151">
        <f>AH16</f>
        <v>0</v>
      </c>
      <c r="AL16" s="152">
        <f t="shared" si="12"/>
        <v>0</v>
      </c>
      <c r="AM16" s="152">
        <f t="shared" si="12"/>
        <v>0</v>
      </c>
      <c r="AN16" s="153">
        <f t="shared" si="12"/>
        <v>0</v>
      </c>
      <c r="AO16" s="370">
        <f>SUM(AK16:AN16)</f>
        <v>0</v>
      </c>
      <c r="AP16" s="368"/>
      <c r="AQ16" s="154">
        <f>AN16*4</f>
        <v>0</v>
      </c>
    </row>
    <row r="17" spans="1:43" ht="14.1" customHeight="1">
      <c r="A17" s="357"/>
      <c r="B17" s="334" t="s">
        <v>253</v>
      </c>
      <c r="C17" s="146">
        <v>0</v>
      </c>
      <c r="D17" s="146">
        <f t="shared" ref="D17:N17" si="15">C17</f>
        <v>0</v>
      </c>
      <c r="E17" s="146">
        <f t="shared" si="15"/>
        <v>0</v>
      </c>
      <c r="F17" s="146">
        <f t="shared" si="15"/>
        <v>0</v>
      </c>
      <c r="G17" s="146">
        <f t="shared" si="15"/>
        <v>0</v>
      </c>
      <c r="H17" s="146">
        <f t="shared" si="15"/>
        <v>0</v>
      </c>
      <c r="I17" s="146">
        <f t="shared" si="15"/>
        <v>0</v>
      </c>
      <c r="J17" s="146">
        <f t="shared" si="15"/>
        <v>0</v>
      </c>
      <c r="K17" s="146">
        <f t="shared" si="15"/>
        <v>0</v>
      </c>
      <c r="L17" s="146">
        <f t="shared" si="15"/>
        <v>0</v>
      </c>
      <c r="M17" s="146">
        <f t="shared" si="15"/>
        <v>0</v>
      </c>
      <c r="N17" s="146">
        <f t="shared" si="15"/>
        <v>0</v>
      </c>
      <c r="O17" s="366">
        <f>SUM(C17:N17)</f>
        <v>0</v>
      </c>
      <c r="P17" s="367"/>
      <c r="Q17" s="146">
        <f>N17</f>
        <v>0</v>
      </c>
      <c r="R17" s="147">
        <f t="shared" ref="R17:AB17" si="16">Q17</f>
        <v>0</v>
      </c>
      <c r="S17" s="147">
        <f t="shared" si="16"/>
        <v>0</v>
      </c>
      <c r="T17" s="147">
        <f t="shared" si="16"/>
        <v>0</v>
      </c>
      <c r="U17" s="147">
        <f t="shared" si="16"/>
        <v>0</v>
      </c>
      <c r="V17" s="147">
        <f t="shared" si="16"/>
        <v>0</v>
      </c>
      <c r="W17" s="147">
        <f t="shared" si="16"/>
        <v>0</v>
      </c>
      <c r="X17" s="147">
        <f t="shared" si="16"/>
        <v>0</v>
      </c>
      <c r="Y17" s="147">
        <f t="shared" si="16"/>
        <v>0</v>
      </c>
      <c r="Z17" s="147">
        <f t="shared" si="16"/>
        <v>0</v>
      </c>
      <c r="AA17" s="147">
        <f t="shared" si="16"/>
        <v>0</v>
      </c>
      <c r="AB17" s="147">
        <f t="shared" si="16"/>
        <v>0</v>
      </c>
      <c r="AC17" s="366">
        <f>SUM(Q17:AB17)</f>
        <v>0</v>
      </c>
      <c r="AD17" s="372"/>
      <c r="AE17" s="150">
        <f>AB17*3</f>
        <v>0</v>
      </c>
      <c r="AF17" s="147">
        <f t="shared" si="11"/>
        <v>0</v>
      </c>
      <c r="AG17" s="147">
        <f t="shared" si="11"/>
        <v>0</v>
      </c>
      <c r="AH17" s="147">
        <f t="shared" si="11"/>
        <v>0</v>
      </c>
      <c r="AI17" s="369">
        <f>SUM(AE17:AH17)</f>
        <v>0</v>
      </c>
      <c r="AJ17" s="372"/>
      <c r="AK17" s="151">
        <f>AH17</f>
        <v>0</v>
      </c>
      <c r="AL17" s="152">
        <f t="shared" si="12"/>
        <v>0</v>
      </c>
      <c r="AM17" s="152">
        <f t="shared" si="12"/>
        <v>0</v>
      </c>
      <c r="AN17" s="153">
        <f t="shared" si="12"/>
        <v>0</v>
      </c>
      <c r="AO17" s="370">
        <f>SUM(AK17:AN17)</f>
        <v>0</v>
      </c>
      <c r="AP17" s="372"/>
      <c r="AQ17" s="154">
        <f>AN17*4</f>
        <v>0</v>
      </c>
    </row>
    <row r="18" spans="1:43" ht="14.1" customHeight="1" thickBot="1">
      <c r="A18" s="357"/>
      <c r="B18" s="335" t="s">
        <v>254</v>
      </c>
      <c r="C18" s="315">
        <v>0</v>
      </c>
      <c r="D18" s="316">
        <f t="shared" ref="D18:N18" si="17">C18</f>
        <v>0</v>
      </c>
      <c r="E18" s="316">
        <f t="shared" si="17"/>
        <v>0</v>
      </c>
      <c r="F18" s="316">
        <f t="shared" si="17"/>
        <v>0</v>
      </c>
      <c r="G18" s="316">
        <f t="shared" si="17"/>
        <v>0</v>
      </c>
      <c r="H18" s="316">
        <f t="shared" si="17"/>
        <v>0</v>
      </c>
      <c r="I18" s="316">
        <f t="shared" si="17"/>
        <v>0</v>
      </c>
      <c r="J18" s="316">
        <f t="shared" si="17"/>
        <v>0</v>
      </c>
      <c r="K18" s="316">
        <f t="shared" si="17"/>
        <v>0</v>
      </c>
      <c r="L18" s="316">
        <f t="shared" si="17"/>
        <v>0</v>
      </c>
      <c r="M18" s="316">
        <f t="shared" si="17"/>
        <v>0</v>
      </c>
      <c r="N18" s="316">
        <f t="shared" si="17"/>
        <v>0</v>
      </c>
      <c r="O18" s="373">
        <f>SUM(C18:N18)</f>
        <v>0</v>
      </c>
      <c r="P18" s="367"/>
      <c r="Q18" s="317">
        <f>N18</f>
        <v>0</v>
      </c>
      <c r="R18" s="315">
        <f t="shared" ref="R18:AB18" si="18">Q18</f>
        <v>0</v>
      </c>
      <c r="S18" s="315">
        <f t="shared" si="18"/>
        <v>0</v>
      </c>
      <c r="T18" s="315">
        <f t="shared" si="18"/>
        <v>0</v>
      </c>
      <c r="U18" s="315">
        <f t="shared" si="18"/>
        <v>0</v>
      </c>
      <c r="V18" s="315">
        <f t="shared" si="18"/>
        <v>0</v>
      </c>
      <c r="W18" s="315">
        <f t="shared" si="18"/>
        <v>0</v>
      </c>
      <c r="X18" s="315">
        <f t="shared" si="18"/>
        <v>0</v>
      </c>
      <c r="Y18" s="315">
        <f t="shared" si="18"/>
        <v>0</v>
      </c>
      <c r="Z18" s="315">
        <f t="shared" si="18"/>
        <v>0</v>
      </c>
      <c r="AA18" s="315">
        <f t="shared" si="18"/>
        <v>0</v>
      </c>
      <c r="AB18" s="318">
        <f t="shared" si="18"/>
        <v>0</v>
      </c>
      <c r="AC18" s="373">
        <f>SUM(Q18:AB18)</f>
        <v>0</v>
      </c>
      <c r="AD18" s="372"/>
      <c r="AE18" s="317">
        <f>AB18*3</f>
        <v>0</v>
      </c>
      <c r="AF18" s="315">
        <f t="shared" si="11"/>
        <v>0</v>
      </c>
      <c r="AG18" s="315">
        <f t="shared" si="11"/>
        <v>0</v>
      </c>
      <c r="AH18" s="318">
        <f t="shared" si="11"/>
        <v>0</v>
      </c>
      <c r="AI18" s="373">
        <f>SUM(AE18:AH18)</f>
        <v>0</v>
      </c>
      <c r="AJ18" s="372"/>
      <c r="AK18" s="320">
        <f>AH18</f>
        <v>0</v>
      </c>
      <c r="AL18" s="315">
        <f t="shared" si="12"/>
        <v>0</v>
      </c>
      <c r="AM18" s="315">
        <f t="shared" si="12"/>
        <v>0</v>
      </c>
      <c r="AN18" s="321">
        <f t="shared" si="12"/>
        <v>0</v>
      </c>
      <c r="AO18" s="373">
        <f>SUM(AK18:AN18)</f>
        <v>0</v>
      </c>
      <c r="AP18" s="372"/>
      <c r="AQ18" s="319">
        <f>AN18*4</f>
        <v>0</v>
      </c>
    </row>
    <row r="19" spans="1:43" ht="14.1" customHeight="1" thickBot="1">
      <c r="B19" s="374" t="s">
        <v>255</v>
      </c>
      <c r="C19" s="375">
        <f t="shared" ref="C19:O19" si="19">SUM(C15:C18)</f>
        <v>0</v>
      </c>
      <c r="D19" s="376">
        <f t="shared" si="19"/>
        <v>0</v>
      </c>
      <c r="E19" s="376">
        <f t="shared" si="19"/>
        <v>0</v>
      </c>
      <c r="F19" s="376">
        <f t="shared" si="19"/>
        <v>0</v>
      </c>
      <c r="G19" s="376">
        <f t="shared" si="19"/>
        <v>0</v>
      </c>
      <c r="H19" s="376">
        <f t="shared" si="19"/>
        <v>0</v>
      </c>
      <c r="I19" s="376">
        <f t="shared" si="19"/>
        <v>0</v>
      </c>
      <c r="J19" s="376">
        <f t="shared" si="19"/>
        <v>0</v>
      </c>
      <c r="K19" s="376">
        <f t="shared" si="19"/>
        <v>0</v>
      </c>
      <c r="L19" s="376">
        <f t="shared" si="19"/>
        <v>0</v>
      </c>
      <c r="M19" s="376">
        <f t="shared" si="19"/>
        <v>0</v>
      </c>
      <c r="N19" s="376">
        <f t="shared" si="19"/>
        <v>0</v>
      </c>
      <c r="O19" s="377">
        <f t="shared" si="19"/>
        <v>0</v>
      </c>
      <c r="P19" s="367"/>
      <c r="Q19" s="376">
        <f t="shared" ref="Q19:AC19" si="20">SUM(Q15:Q18)</f>
        <v>0</v>
      </c>
      <c r="R19" s="376">
        <f t="shared" si="20"/>
        <v>0</v>
      </c>
      <c r="S19" s="376">
        <f t="shared" si="20"/>
        <v>0</v>
      </c>
      <c r="T19" s="376">
        <f t="shared" si="20"/>
        <v>0</v>
      </c>
      <c r="U19" s="376">
        <f t="shared" si="20"/>
        <v>0</v>
      </c>
      <c r="V19" s="376">
        <f t="shared" si="20"/>
        <v>0</v>
      </c>
      <c r="W19" s="376">
        <f t="shared" si="20"/>
        <v>0</v>
      </c>
      <c r="X19" s="376">
        <f t="shared" si="20"/>
        <v>0</v>
      </c>
      <c r="Y19" s="376">
        <f t="shared" si="20"/>
        <v>0</v>
      </c>
      <c r="Z19" s="376">
        <f t="shared" si="20"/>
        <v>0</v>
      </c>
      <c r="AA19" s="376">
        <f t="shared" si="20"/>
        <v>0</v>
      </c>
      <c r="AB19" s="376">
        <f t="shared" si="20"/>
        <v>0</v>
      </c>
      <c r="AC19" s="377">
        <f t="shared" si="20"/>
        <v>0</v>
      </c>
      <c r="AD19" s="372"/>
      <c r="AE19" s="376">
        <f>SUM(AE15:AE18)</f>
        <v>0</v>
      </c>
      <c r="AF19" s="376">
        <f>SUM(AF15:AF18)</f>
        <v>0</v>
      </c>
      <c r="AG19" s="376">
        <f>SUM(AG15:AG18)</f>
        <v>0</v>
      </c>
      <c r="AH19" s="376">
        <f>SUM(AH15:AH18)</f>
        <v>0</v>
      </c>
      <c r="AI19" s="377">
        <f>SUM(AI15:AI18)</f>
        <v>0</v>
      </c>
      <c r="AJ19" s="372"/>
      <c r="AK19" s="376">
        <f>SUM(AK15:AK18)</f>
        <v>0</v>
      </c>
      <c r="AL19" s="376">
        <f>SUM(AL15:AL18)</f>
        <v>0</v>
      </c>
      <c r="AM19" s="376">
        <f>SUM(AM15:AM18)</f>
        <v>0</v>
      </c>
      <c r="AN19" s="376">
        <f>SUM(AN15:AN18)</f>
        <v>0</v>
      </c>
      <c r="AO19" s="377">
        <f>SUM(AO15:AO18)</f>
        <v>0</v>
      </c>
      <c r="AP19" s="372"/>
      <c r="AQ19" s="377">
        <f>SUM(AQ15:AQ18)</f>
        <v>0</v>
      </c>
    </row>
    <row r="20" spans="1:43" s="110" customFormat="1" ht="13.5" customHeight="1">
      <c r="A20" s="108"/>
      <c r="B20" s="354"/>
      <c r="C20" s="108"/>
      <c r="D20" s="108"/>
      <c r="E20" s="108"/>
      <c r="F20" s="108"/>
      <c r="G20" s="108"/>
      <c r="H20" s="108"/>
      <c r="I20" s="108"/>
      <c r="J20" s="108"/>
      <c r="K20" s="108"/>
      <c r="L20" s="108"/>
      <c r="M20" s="108"/>
      <c r="O20" s="355"/>
      <c r="P20" s="347"/>
      <c r="Q20" s="108"/>
      <c r="R20" s="108"/>
      <c r="S20" s="108"/>
      <c r="T20" s="108"/>
      <c r="U20" s="108"/>
      <c r="V20" s="108"/>
      <c r="W20" s="108"/>
      <c r="X20" s="108"/>
      <c r="Y20" s="108"/>
      <c r="Z20" s="108"/>
      <c r="AA20" s="108"/>
      <c r="AC20" s="355"/>
      <c r="AE20" s="356"/>
      <c r="AF20" s="108"/>
      <c r="AG20" s="108"/>
      <c r="AI20" s="355"/>
      <c r="AK20" s="356"/>
      <c r="AL20" s="108"/>
      <c r="AM20" s="108"/>
      <c r="AN20" s="347"/>
      <c r="AO20" s="347"/>
      <c r="AQ20" s="355"/>
    </row>
    <row r="21" spans="1:43" ht="14.1" customHeight="1">
      <c r="A21" s="357"/>
      <c r="B21" s="358" t="str">
        <f>SalesProj!B25</f>
        <v>Product Line 3</v>
      </c>
      <c r="C21" s="359"/>
      <c r="D21" s="359"/>
      <c r="E21" s="359"/>
      <c r="F21" s="359"/>
      <c r="G21" s="359"/>
      <c r="H21" s="360"/>
      <c r="I21" s="360"/>
      <c r="J21" s="360"/>
      <c r="K21" s="360"/>
      <c r="L21" s="360"/>
      <c r="M21" s="360"/>
      <c r="N21" s="361"/>
      <c r="O21" s="362"/>
      <c r="P21" s="325"/>
      <c r="Q21" s="359"/>
      <c r="R21" s="359"/>
      <c r="S21" s="359"/>
      <c r="T21" s="359"/>
      <c r="U21" s="359"/>
      <c r="V21" s="360"/>
      <c r="W21" s="360"/>
      <c r="X21" s="360"/>
      <c r="Y21" s="360"/>
      <c r="Z21" s="360"/>
      <c r="AA21" s="360"/>
      <c r="AB21" s="361"/>
      <c r="AC21" s="362"/>
      <c r="AE21" s="363"/>
      <c r="AF21" s="360"/>
      <c r="AG21" s="360"/>
      <c r="AH21" s="361"/>
      <c r="AI21" s="364"/>
      <c r="AK21" s="363"/>
      <c r="AL21" s="394"/>
      <c r="AM21" s="360"/>
      <c r="AN21" s="365"/>
      <c r="AO21" s="364"/>
      <c r="AQ21" s="362"/>
    </row>
    <row r="22" spans="1:43" ht="14.1" customHeight="1">
      <c r="B22" s="322" t="s">
        <v>256</v>
      </c>
      <c r="C22" s="323">
        <f>SalesProj!E32</f>
        <v>0</v>
      </c>
      <c r="D22" s="323">
        <f>SalesProj!F32</f>
        <v>0</v>
      </c>
      <c r="E22" s="323">
        <f>SalesProj!G32</f>
        <v>0</v>
      </c>
      <c r="F22" s="323">
        <f>SalesProj!H32</f>
        <v>0</v>
      </c>
      <c r="G22" s="323">
        <f>SalesProj!I32</f>
        <v>0</v>
      </c>
      <c r="H22" s="323">
        <f>SalesProj!J32</f>
        <v>0</v>
      </c>
      <c r="I22" s="323">
        <f>SalesProj!K32</f>
        <v>0</v>
      </c>
      <c r="J22" s="323">
        <f>SalesProj!L32</f>
        <v>0</v>
      </c>
      <c r="K22" s="323">
        <f>SalesProj!M32</f>
        <v>0</v>
      </c>
      <c r="L22" s="323">
        <f>SalesProj!N32</f>
        <v>0</v>
      </c>
      <c r="M22" s="323">
        <f>SalesProj!O32</f>
        <v>0</v>
      </c>
      <c r="N22" s="323">
        <f>SalesProj!P32</f>
        <v>0</v>
      </c>
      <c r="O22" s="324">
        <f>SUM(C22:N22)</f>
        <v>0</v>
      </c>
      <c r="P22" s="325"/>
      <c r="Q22" s="323">
        <f>SalesProj!S32</f>
        <v>0</v>
      </c>
      <c r="R22" s="323">
        <f>SalesProj!T32</f>
        <v>0</v>
      </c>
      <c r="S22" s="323">
        <f>SalesProj!U32</f>
        <v>0</v>
      </c>
      <c r="T22" s="323">
        <f>SalesProj!V32</f>
        <v>0</v>
      </c>
      <c r="U22" s="323">
        <f>SalesProj!W32</f>
        <v>0</v>
      </c>
      <c r="V22" s="323">
        <f>SalesProj!X32</f>
        <v>0</v>
      </c>
      <c r="W22" s="323">
        <f>SalesProj!Y32</f>
        <v>0</v>
      </c>
      <c r="X22" s="323">
        <f>SalesProj!Z32</f>
        <v>0</v>
      </c>
      <c r="Y22" s="323">
        <f>SalesProj!AA32</f>
        <v>0</v>
      </c>
      <c r="Z22" s="323">
        <f>SalesProj!AB32</f>
        <v>0</v>
      </c>
      <c r="AA22" s="323">
        <f>SalesProj!AC32</f>
        <v>0</v>
      </c>
      <c r="AB22" s="323">
        <f>SalesProj!AD32</f>
        <v>0</v>
      </c>
      <c r="AC22" s="324">
        <f>SUM(Q22:AB22)</f>
        <v>0</v>
      </c>
      <c r="AE22" s="326">
        <f>SalesProj!AG32</f>
        <v>0</v>
      </c>
      <c r="AF22" s="323">
        <f>SalesProj!AH32</f>
        <v>0</v>
      </c>
      <c r="AG22" s="323">
        <f>SalesProj!AI32</f>
        <v>0</v>
      </c>
      <c r="AH22" s="323">
        <f>SalesProj!AJ32</f>
        <v>0</v>
      </c>
      <c r="AI22" s="330">
        <f>SUM(AE22:AH22)</f>
        <v>0</v>
      </c>
      <c r="AJ22" s="331"/>
      <c r="AK22" s="326">
        <f>SalesProj!AM32</f>
        <v>0</v>
      </c>
      <c r="AL22" s="391">
        <f>SalesProj!AN32</f>
        <v>0</v>
      </c>
      <c r="AM22" s="391">
        <f>SalesProj!AO32</f>
        <v>0</v>
      </c>
      <c r="AN22" s="329">
        <f>SalesProj!AP32</f>
        <v>0</v>
      </c>
      <c r="AO22" s="332">
        <f>SUM(AK22:AN22)</f>
        <v>0</v>
      </c>
      <c r="AQ22" s="333">
        <f>SalesProj!AS32</f>
        <v>0</v>
      </c>
    </row>
    <row r="23" spans="1:43" ht="14.1" customHeight="1">
      <c r="A23" s="357"/>
      <c r="B23" s="334" t="s">
        <v>251</v>
      </c>
      <c r="C23" s="146">
        <v>0</v>
      </c>
      <c r="D23" s="146">
        <f>C23</f>
        <v>0</v>
      </c>
      <c r="E23" s="146">
        <f t="shared" ref="E23:N23" si="21">D23</f>
        <v>0</v>
      </c>
      <c r="F23" s="146">
        <f t="shared" si="21"/>
        <v>0</v>
      </c>
      <c r="G23" s="146">
        <f t="shared" si="21"/>
        <v>0</v>
      </c>
      <c r="H23" s="146">
        <f t="shared" si="21"/>
        <v>0</v>
      </c>
      <c r="I23" s="146">
        <f t="shared" si="21"/>
        <v>0</v>
      </c>
      <c r="J23" s="146">
        <f t="shared" si="21"/>
        <v>0</v>
      </c>
      <c r="K23" s="146">
        <f t="shared" si="21"/>
        <v>0</v>
      </c>
      <c r="L23" s="146">
        <f t="shared" si="21"/>
        <v>0</v>
      </c>
      <c r="M23" s="146">
        <f t="shared" si="21"/>
        <v>0</v>
      </c>
      <c r="N23" s="146">
        <f t="shared" si="21"/>
        <v>0</v>
      </c>
      <c r="O23" s="366">
        <f>SUM(C23:N23)</f>
        <v>0</v>
      </c>
      <c r="P23" s="367"/>
      <c r="Q23" s="146">
        <f>N23</f>
        <v>0</v>
      </c>
      <c r="R23" s="147">
        <f>Q23</f>
        <v>0</v>
      </c>
      <c r="S23" s="147">
        <f t="shared" ref="S23:AB23" si="22">R23</f>
        <v>0</v>
      </c>
      <c r="T23" s="147">
        <f t="shared" si="22"/>
        <v>0</v>
      </c>
      <c r="U23" s="147">
        <f t="shared" si="22"/>
        <v>0</v>
      </c>
      <c r="V23" s="147">
        <f t="shared" si="22"/>
        <v>0</v>
      </c>
      <c r="W23" s="147">
        <f t="shared" si="22"/>
        <v>0</v>
      </c>
      <c r="X23" s="147">
        <f t="shared" si="22"/>
        <v>0</v>
      </c>
      <c r="Y23" s="147">
        <f t="shared" si="22"/>
        <v>0</v>
      </c>
      <c r="Z23" s="147">
        <f t="shared" si="22"/>
        <v>0</v>
      </c>
      <c r="AA23" s="147">
        <f t="shared" si="22"/>
        <v>0</v>
      </c>
      <c r="AB23" s="147">
        <f t="shared" si="22"/>
        <v>0</v>
      </c>
      <c r="AC23" s="366">
        <f>SUM(Q23:AB23)</f>
        <v>0</v>
      </c>
      <c r="AD23" s="368"/>
      <c r="AE23" s="150">
        <f>AB23*3</f>
        <v>0</v>
      </c>
      <c r="AF23" s="147">
        <f t="shared" ref="AF23:AH26" si="23">AE23</f>
        <v>0</v>
      </c>
      <c r="AG23" s="147">
        <f t="shared" si="23"/>
        <v>0</v>
      </c>
      <c r="AH23" s="147">
        <f t="shared" si="23"/>
        <v>0</v>
      </c>
      <c r="AI23" s="369">
        <f>SUM(AE23:AH23)</f>
        <v>0</v>
      </c>
      <c r="AJ23" s="368"/>
      <c r="AK23" s="151">
        <f>AH23</f>
        <v>0</v>
      </c>
      <c r="AL23" s="152">
        <f t="shared" ref="AL23:AN26" si="24">AK23</f>
        <v>0</v>
      </c>
      <c r="AM23" s="152">
        <f t="shared" si="24"/>
        <v>0</v>
      </c>
      <c r="AN23" s="153">
        <f t="shared" si="24"/>
        <v>0</v>
      </c>
      <c r="AO23" s="370">
        <f>SUM(AK23:AN23)</f>
        <v>0</v>
      </c>
      <c r="AP23" s="368"/>
      <c r="AQ23" s="154">
        <f>AN23*4</f>
        <v>0</v>
      </c>
    </row>
    <row r="24" spans="1:43" ht="14.1" customHeight="1">
      <c r="A24" s="357"/>
      <c r="B24" s="334" t="s">
        <v>252</v>
      </c>
      <c r="C24" s="146">
        <v>0</v>
      </c>
      <c r="D24" s="146">
        <f t="shared" ref="D24:N24" si="25">C24</f>
        <v>0</v>
      </c>
      <c r="E24" s="146">
        <f t="shared" si="25"/>
        <v>0</v>
      </c>
      <c r="F24" s="146">
        <f t="shared" si="25"/>
        <v>0</v>
      </c>
      <c r="G24" s="146">
        <f t="shared" si="25"/>
        <v>0</v>
      </c>
      <c r="H24" s="146">
        <f t="shared" si="25"/>
        <v>0</v>
      </c>
      <c r="I24" s="146">
        <f t="shared" si="25"/>
        <v>0</v>
      </c>
      <c r="J24" s="146">
        <f t="shared" si="25"/>
        <v>0</v>
      </c>
      <c r="K24" s="146">
        <f t="shared" si="25"/>
        <v>0</v>
      </c>
      <c r="L24" s="146">
        <f t="shared" si="25"/>
        <v>0</v>
      </c>
      <c r="M24" s="146">
        <f t="shared" si="25"/>
        <v>0</v>
      </c>
      <c r="N24" s="146">
        <f t="shared" si="25"/>
        <v>0</v>
      </c>
      <c r="O24" s="371">
        <f>SUM(C24:N24)</f>
        <v>0</v>
      </c>
      <c r="P24" s="367"/>
      <c r="Q24" s="146">
        <f>N24</f>
        <v>0</v>
      </c>
      <c r="R24" s="147">
        <f t="shared" ref="R24:AB24" si="26">Q24</f>
        <v>0</v>
      </c>
      <c r="S24" s="147">
        <f t="shared" si="26"/>
        <v>0</v>
      </c>
      <c r="T24" s="147">
        <f t="shared" si="26"/>
        <v>0</v>
      </c>
      <c r="U24" s="147">
        <f t="shared" si="26"/>
        <v>0</v>
      </c>
      <c r="V24" s="147">
        <f t="shared" si="26"/>
        <v>0</v>
      </c>
      <c r="W24" s="147">
        <f t="shared" si="26"/>
        <v>0</v>
      </c>
      <c r="X24" s="147">
        <f t="shared" si="26"/>
        <v>0</v>
      </c>
      <c r="Y24" s="147">
        <f t="shared" si="26"/>
        <v>0</v>
      </c>
      <c r="Z24" s="147">
        <f t="shared" si="26"/>
        <v>0</v>
      </c>
      <c r="AA24" s="147">
        <f t="shared" si="26"/>
        <v>0</v>
      </c>
      <c r="AB24" s="147">
        <f t="shared" si="26"/>
        <v>0</v>
      </c>
      <c r="AC24" s="371">
        <f>SUM(Q24:AB24)</f>
        <v>0</v>
      </c>
      <c r="AD24" s="368"/>
      <c r="AE24" s="150">
        <f>AB24*3</f>
        <v>0</v>
      </c>
      <c r="AF24" s="147">
        <f t="shared" si="23"/>
        <v>0</v>
      </c>
      <c r="AG24" s="147">
        <f t="shared" si="23"/>
        <v>0</v>
      </c>
      <c r="AH24" s="147">
        <f t="shared" si="23"/>
        <v>0</v>
      </c>
      <c r="AI24" s="369">
        <f>SUM(AE24:AH24)</f>
        <v>0</v>
      </c>
      <c r="AJ24" s="368"/>
      <c r="AK24" s="151">
        <f>AH24</f>
        <v>0</v>
      </c>
      <c r="AL24" s="152">
        <f t="shared" si="24"/>
        <v>0</v>
      </c>
      <c r="AM24" s="152">
        <f t="shared" si="24"/>
        <v>0</v>
      </c>
      <c r="AN24" s="153">
        <f t="shared" si="24"/>
        <v>0</v>
      </c>
      <c r="AO24" s="370">
        <f>SUM(AK24:AN24)</f>
        <v>0</v>
      </c>
      <c r="AP24" s="368"/>
      <c r="AQ24" s="154">
        <f>AN24*4</f>
        <v>0</v>
      </c>
    </row>
    <row r="25" spans="1:43" ht="14.1" customHeight="1">
      <c r="A25" s="357"/>
      <c r="B25" s="334" t="s">
        <v>253</v>
      </c>
      <c r="C25" s="146">
        <v>0</v>
      </c>
      <c r="D25" s="146">
        <f t="shared" ref="D25:N25" si="27">C25</f>
        <v>0</v>
      </c>
      <c r="E25" s="146">
        <f t="shared" si="27"/>
        <v>0</v>
      </c>
      <c r="F25" s="146">
        <f t="shared" si="27"/>
        <v>0</v>
      </c>
      <c r="G25" s="146">
        <f t="shared" si="27"/>
        <v>0</v>
      </c>
      <c r="H25" s="146">
        <f t="shared" si="27"/>
        <v>0</v>
      </c>
      <c r="I25" s="146">
        <f t="shared" si="27"/>
        <v>0</v>
      </c>
      <c r="J25" s="146">
        <f t="shared" si="27"/>
        <v>0</v>
      </c>
      <c r="K25" s="146">
        <f t="shared" si="27"/>
        <v>0</v>
      </c>
      <c r="L25" s="146">
        <f t="shared" si="27"/>
        <v>0</v>
      </c>
      <c r="M25" s="146">
        <f t="shared" si="27"/>
        <v>0</v>
      </c>
      <c r="N25" s="146">
        <f t="shared" si="27"/>
        <v>0</v>
      </c>
      <c r="O25" s="366">
        <f>SUM(C25:N25)</f>
        <v>0</v>
      </c>
      <c r="P25" s="367"/>
      <c r="Q25" s="146">
        <f>N25</f>
        <v>0</v>
      </c>
      <c r="R25" s="147">
        <f t="shared" ref="R25:AB25" si="28">Q25</f>
        <v>0</v>
      </c>
      <c r="S25" s="147">
        <f t="shared" si="28"/>
        <v>0</v>
      </c>
      <c r="T25" s="147">
        <f t="shared" si="28"/>
        <v>0</v>
      </c>
      <c r="U25" s="147">
        <f t="shared" si="28"/>
        <v>0</v>
      </c>
      <c r="V25" s="147">
        <f t="shared" si="28"/>
        <v>0</v>
      </c>
      <c r="W25" s="147">
        <f t="shared" si="28"/>
        <v>0</v>
      </c>
      <c r="X25" s="147">
        <f t="shared" si="28"/>
        <v>0</v>
      </c>
      <c r="Y25" s="147">
        <f t="shared" si="28"/>
        <v>0</v>
      </c>
      <c r="Z25" s="147">
        <f t="shared" si="28"/>
        <v>0</v>
      </c>
      <c r="AA25" s="147">
        <f t="shared" si="28"/>
        <v>0</v>
      </c>
      <c r="AB25" s="147">
        <f t="shared" si="28"/>
        <v>0</v>
      </c>
      <c r="AC25" s="366">
        <f>SUM(Q25:AB25)</f>
        <v>0</v>
      </c>
      <c r="AD25" s="372"/>
      <c r="AE25" s="150">
        <f>AB25*3</f>
        <v>0</v>
      </c>
      <c r="AF25" s="147">
        <f t="shared" si="23"/>
        <v>0</v>
      </c>
      <c r="AG25" s="147">
        <f t="shared" si="23"/>
        <v>0</v>
      </c>
      <c r="AH25" s="147">
        <f t="shared" si="23"/>
        <v>0</v>
      </c>
      <c r="AI25" s="369">
        <f>SUM(AE25:AH25)</f>
        <v>0</v>
      </c>
      <c r="AJ25" s="372"/>
      <c r="AK25" s="151">
        <f>AH25</f>
        <v>0</v>
      </c>
      <c r="AL25" s="152">
        <f t="shared" si="24"/>
        <v>0</v>
      </c>
      <c r="AM25" s="152">
        <f t="shared" si="24"/>
        <v>0</v>
      </c>
      <c r="AN25" s="153">
        <f t="shared" si="24"/>
        <v>0</v>
      </c>
      <c r="AO25" s="370">
        <f>SUM(AK25:AN25)</f>
        <v>0</v>
      </c>
      <c r="AP25" s="372"/>
      <c r="AQ25" s="154">
        <f>AN25*4</f>
        <v>0</v>
      </c>
    </row>
    <row r="26" spans="1:43" ht="14.1" customHeight="1" thickBot="1">
      <c r="A26" s="357"/>
      <c r="B26" s="335" t="s">
        <v>254</v>
      </c>
      <c r="C26" s="315">
        <v>0</v>
      </c>
      <c r="D26" s="316">
        <f t="shared" ref="D26:N26" si="29">C26</f>
        <v>0</v>
      </c>
      <c r="E26" s="316">
        <f t="shared" si="29"/>
        <v>0</v>
      </c>
      <c r="F26" s="316">
        <f t="shared" si="29"/>
        <v>0</v>
      </c>
      <c r="G26" s="316">
        <f t="shared" si="29"/>
        <v>0</v>
      </c>
      <c r="H26" s="316">
        <f t="shared" si="29"/>
        <v>0</v>
      </c>
      <c r="I26" s="316">
        <f t="shared" si="29"/>
        <v>0</v>
      </c>
      <c r="J26" s="316">
        <f t="shared" si="29"/>
        <v>0</v>
      </c>
      <c r="K26" s="316">
        <f t="shared" si="29"/>
        <v>0</v>
      </c>
      <c r="L26" s="316">
        <f t="shared" si="29"/>
        <v>0</v>
      </c>
      <c r="M26" s="316">
        <f t="shared" si="29"/>
        <v>0</v>
      </c>
      <c r="N26" s="316">
        <f t="shared" si="29"/>
        <v>0</v>
      </c>
      <c r="O26" s="373">
        <f>SUM(C26:N26)</f>
        <v>0</v>
      </c>
      <c r="P26" s="367"/>
      <c r="Q26" s="317">
        <f>N26</f>
        <v>0</v>
      </c>
      <c r="R26" s="315">
        <f t="shared" ref="R26:AB26" si="30">Q26</f>
        <v>0</v>
      </c>
      <c r="S26" s="315">
        <f t="shared" si="30"/>
        <v>0</v>
      </c>
      <c r="T26" s="315">
        <f t="shared" si="30"/>
        <v>0</v>
      </c>
      <c r="U26" s="315">
        <f t="shared" si="30"/>
        <v>0</v>
      </c>
      <c r="V26" s="315">
        <f t="shared" si="30"/>
        <v>0</v>
      </c>
      <c r="W26" s="315">
        <f t="shared" si="30"/>
        <v>0</v>
      </c>
      <c r="X26" s="315">
        <f t="shared" si="30"/>
        <v>0</v>
      </c>
      <c r="Y26" s="315">
        <f t="shared" si="30"/>
        <v>0</v>
      </c>
      <c r="Z26" s="315">
        <f t="shared" si="30"/>
        <v>0</v>
      </c>
      <c r="AA26" s="315">
        <f t="shared" si="30"/>
        <v>0</v>
      </c>
      <c r="AB26" s="318">
        <f t="shared" si="30"/>
        <v>0</v>
      </c>
      <c r="AC26" s="373">
        <f>SUM(Q26:AB26)</f>
        <v>0</v>
      </c>
      <c r="AD26" s="372"/>
      <c r="AE26" s="317">
        <f>AB26*3</f>
        <v>0</v>
      </c>
      <c r="AF26" s="315">
        <f t="shared" si="23"/>
        <v>0</v>
      </c>
      <c r="AG26" s="315">
        <f t="shared" si="23"/>
        <v>0</v>
      </c>
      <c r="AH26" s="318">
        <f t="shared" si="23"/>
        <v>0</v>
      </c>
      <c r="AI26" s="373">
        <f>SUM(AE26:AH26)</f>
        <v>0</v>
      </c>
      <c r="AJ26" s="372"/>
      <c r="AK26" s="320">
        <f>AH26</f>
        <v>0</v>
      </c>
      <c r="AL26" s="315">
        <f t="shared" si="24"/>
        <v>0</v>
      </c>
      <c r="AM26" s="315">
        <f t="shared" si="24"/>
        <v>0</v>
      </c>
      <c r="AN26" s="321">
        <f t="shared" si="24"/>
        <v>0</v>
      </c>
      <c r="AO26" s="373">
        <f>SUM(AK26:AN26)</f>
        <v>0</v>
      </c>
      <c r="AP26" s="372"/>
      <c r="AQ26" s="319">
        <f>AN26*4</f>
        <v>0</v>
      </c>
    </row>
    <row r="27" spans="1:43" ht="14.1" customHeight="1" thickBot="1">
      <c r="B27" s="374" t="s">
        <v>255</v>
      </c>
      <c r="C27" s="375">
        <f t="shared" ref="C27:O27" si="31">SUM(C23:C26)</f>
        <v>0</v>
      </c>
      <c r="D27" s="376">
        <f t="shared" si="31"/>
        <v>0</v>
      </c>
      <c r="E27" s="376">
        <f t="shared" si="31"/>
        <v>0</v>
      </c>
      <c r="F27" s="376">
        <f t="shared" si="31"/>
        <v>0</v>
      </c>
      <c r="G27" s="376">
        <f t="shared" si="31"/>
        <v>0</v>
      </c>
      <c r="H27" s="376">
        <f t="shared" si="31"/>
        <v>0</v>
      </c>
      <c r="I27" s="376">
        <f t="shared" si="31"/>
        <v>0</v>
      </c>
      <c r="J27" s="376">
        <f t="shared" si="31"/>
        <v>0</v>
      </c>
      <c r="K27" s="376">
        <f t="shared" si="31"/>
        <v>0</v>
      </c>
      <c r="L27" s="376">
        <f t="shared" si="31"/>
        <v>0</v>
      </c>
      <c r="M27" s="376">
        <f t="shared" si="31"/>
        <v>0</v>
      </c>
      <c r="N27" s="376">
        <f t="shared" si="31"/>
        <v>0</v>
      </c>
      <c r="O27" s="377">
        <f t="shared" si="31"/>
        <v>0</v>
      </c>
      <c r="P27" s="367"/>
      <c r="Q27" s="376">
        <f t="shared" ref="Q27:AC27" si="32">SUM(Q23:Q26)</f>
        <v>0</v>
      </c>
      <c r="R27" s="376">
        <f t="shared" si="32"/>
        <v>0</v>
      </c>
      <c r="S27" s="376">
        <f t="shared" si="32"/>
        <v>0</v>
      </c>
      <c r="T27" s="376">
        <f t="shared" si="32"/>
        <v>0</v>
      </c>
      <c r="U27" s="376">
        <f t="shared" si="32"/>
        <v>0</v>
      </c>
      <c r="V27" s="376">
        <f t="shared" si="32"/>
        <v>0</v>
      </c>
      <c r="W27" s="376">
        <f t="shared" si="32"/>
        <v>0</v>
      </c>
      <c r="X27" s="376">
        <f t="shared" si="32"/>
        <v>0</v>
      </c>
      <c r="Y27" s="376">
        <f t="shared" si="32"/>
        <v>0</v>
      </c>
      <c r="Z27" s="376">
        <f t="shared" si="32"/>
        <v>0</v>
      </c>
      <c r="AA27" s="376">
        <f t="shared" si="32"/>
        <v>0</v>
      </c>
      <c r="AB27" s="376">
        <f t="shared" si="32"/>
        <v>0</v>
      </c>
      <c r="AC27" s="377">
        <f t="shared" si="32"/>
        <v>0</v>
      </c>
      <c r="AD27" s="372"/>
      <c r="AE27" s="376">
        <f>SUM(AE23:AE26)</f>
        <v>0</v>
      </c>
      <c r="AF27" s="376">
        <f>SUM(AF23:AF26)</f>
        <v>0</v>
      </c>
      <c r="AG27" s="376">
        <f>SUM(AG23:AG26)</f>
        <v>0</v>
      </c>
      <c r="AH27" s="376">
        <f>SUM(AH23:AH26)</f>
        <v>0</v>
      </c>
      <c r="AI27" s="377">
        <f>SUM(AI23:AI26)</f>
        <v>0</v>
      </c>
      <c r="AJ27" s="372"/>
      <c r="AK27" s="376">
        <f>SUM(AK23:AK26)</f>
        <v>0</v>
      </c>
      <c r="AL27" s="376">
        <f>SUM(AL23:AL26)</f>
        <v>0</v>
      </c>
      <c r="AM27" s="376">
        <f>SUM(AM23:AM26)</f>
        <v>0</v>
      </c>
      <c r="AN27" s="376">
        <f>SUM(AN23:AN26)</f>
        <v>0</v>
      </c>
      <c r="AO27" s="377">
        <f>SUM(AO23:AO26)</f>
        <v>0</v>
      </c>
      <c r="AP27" s="372"/>
      <c r="AQ27" s="377">
        <f>SUM(AQ23:AQ26)</f>
        <v>0</v>
      </c>
    </row>
    <row r="28" spans="1:43" s="110" customFormat="1" ht="13.5" customHeight="1">
      <c r="A28" s="108"/>
      <c r="B28" s="354"/>
      <c r="C28" s="108"/>
      <c r="D28" s="108"/>
      <c r="E28" s="108"/>
      <c r="F28" s="108"/>
      <c r="G28" s="108"/>
      <c r="H28" s="108"/>
      <c r="I28" s="108"/>
      <c r="J28" s="108"/>
      <c r="K28" s="108"/>
      <c r="L28" s="108"/>
      <c r="M28" s="108"/>
      <c r="O28" s="355"/>
      <c r="P28" s="347"/>
      <c r="Q28" s="108"/>
      <c r="R28" s="108"/>
      <c r="S28" s="108"/>
      <c r="T28" s="108"/>
      <c r="U28" s="108"/>
      <c r="V28" s="108"/>
      <c r="W28" s="108"/>
      <c r="X28" s="108"/>
      <c r="Y28" s="108"/>
      <c r="Z28" s="108"/>
      <c r="AA28" s="108"/>
      <c r="AC28" s="355"/>
      <c r="AE28" s="356"/>
      <c r="AF28" s="108"/>
      <c r="AG28" s="108"/>
      <c r="AI28" s="355"/>
      <c r="AK28" s="356"/>
      <c r="AL28" s="108"/>
      <c r="AM28" s="108"/>
      <c r="AN28" s="347"/>
      <c r="AO28" s="347"/>
      <c r="AQ28" s="355"/>
    </row>
    <row r="29" spans="1:43" ht="14.1" customHeight="1">
      <c r="A29" s="357"/>
      <c r="B29" s="358" t="str">
        <f>SalesProj!B35</f>
        <v>Product Line 4</v>
      </c>
      <c r="C29" s="359"/>
      <c r="D29" s="359"/>
      <c r="E29" s="359"/>
      <c r="F29" s="359"/>
      <c r="G29" s="359"/>
      <c r="H29" s="360"/>
      <c r="I29" s="360"/>
      <c r="J29" s="360"/>
      <c r="K29" s="360"/>
      <c r="L29" s="360"/>
      <c r="M29" s="360"/>
      <c r="N29" s="361"/>
      <c r="O29" s="362"/>
      <c r="P29" s="325"/>
      <c r="Q29" s="359"/>
      <c r="R29" s="359"/>
      <c r="S29" s="359"/>
      <c r="T29" s="359"/>
      <c r="U29" s="359"/>
      <c r="V29" s="360"/>
      <c r="W29" s="360"/>
      <c r="X29" s="360"/>
      <c r="Y29" s="360"/>
      <c r="Z29" s="360"/>
      <c r="AA29" s="360"/>
      <c r="AB29" s="361"/>
      <c r="AC29" s="362"/>
      <c r="AE29" s="363"/>
      <c r="AF29" s="360"/>
      <c r="AG29" s="360"/>
      <c r="AH29" s="361"/>
      <c r="AI29" s="364"/>
      <c r="AK29" s="363"/>
      <c r="AL29" s="360"/>
      <c r="AM29" s="360"/>
      <c r="AN29" s="365"/>
      <c r="AO29" s="364"/>
      <c r="AQ29" s="362"/>
    </row>
    <row r="30" spans="1:43" ht="14.1" customHeight="1">
      <c r="B30" s="322" t="s">
        <v>256</v>
      </c>
      <c r="C30" s="323">
        <f>SalesProj!E42</f>
        <v>0</v>
      </c>
      <c r="D30" s="323">
        <f>SalesProj!F42</f>
        <v>0</v>
      </c>
      <c r="E30" s="323">
        <f>SalesProj!G42</f>
        <v>0</v>
      </c>
      <c r="F30" s="323">
        <f>SalesProj!H42</f>
        <v>0</v>
      </c>
      <c r="G30" s="323">
        <f>SalesProj!I42</f>
        <v>0</v>
      </c>
      <c r="H30" s="323">
        <f>SalesProj!J42</f>
        <v>0</v>
      </c>
      <c r="I30" s="323">
        <f>SalesProj!K42</f>
        <v>0</v>
      </c>
      <c r="J30" s="323">
        <f>SalesProj!L42</f>
        <v>0</v>
      </c>
      <c r="K30" s="323">
        <f>SalesProj!M42</f>
        <v>0</v>
      </c>
      <c r="L30" s="323">
        <f>SalesProj!N42</f>
        <v>0</v>
      </c>
      <c r="M30" s="323">
        <f>SalesProj!O42</f>
        <v>0</v>
      </c>
      <c r="N30" s="323">
        <f>SalesProj!P42</f>
        <v>0</v>
      </c>
      <c r="O30" s="324">
        <f>SUM(C30:N30)</f>
        <v>0</v>
      </c>
      <c r="P30" s="325"/>
      <c r="Q30" s="323">
        <f>SalesProj!S42</f>
        <v>0</v>
      </c>
      <c r="R30" s="323">
        <f>SalesProj!T42</f>
        <v>0</v>
      </c>
      <c r="S30" s="323">
        <f>SalesProj!U42</f>
        <v>0</v>
      </c>
      <c r="T30" s="323">
        <f>SalesProj!V42</f>
        <v>0</v>
      </c>
      <c r="U30" s="323">
        <f>SalesProj!W42</f>
        <v>0</v>
      </c>
      <c r="V30" s="323">
        <f>SalesProj!X42</f>
        <v>0</v>
      </c>
      <c r="W30" s="323">
        <f>SalesProj!Y42</f>
        <v>0</v>
      </c>
      <c r="X30" s="323">
        <f>SalesProj!Z42</f>
        <v>0</v>
      </c>
      <c r="Y30" s="323">
        <f>SalesProj!AA42</f>
        <v>0</v>
      </c>
      <c r="Z30" s="323">
        <f>SalesProj!AB42</f>
        <v>0</v>
      </c>
      <c r="AA30" s="323">
        <f>SalesProj!AC42</f>
        <v>0</v>
      </c>
      <c r="AB30" s="323">
        <f>SalesProj!AD42</f>
        <v>0</v>
      </c>
      <c r="AC30" s="324">
        <f>SUM(Q30:AB30)</f>
        <v>0</v>
      </c>
      <c r="AE30" s="326">
        <f>SalesProj!AG42</f>
        <v>0</v>
      </c>
      <c r="AF30" s="391">
        <f>SalesProj!AH42</f>
        <v>0</v>
      </c>
      <c r="AG30" s="391">
        <f>SalesProj!AI42</f>
        <v>0</v>
      </c>
      <c r="AH30" s="323">
        <f>SalesProj!AJ42</f>
        <v>0</v>
      </c>
      <c r="AI30" s="330">
        <f>SUM(AE30:AH30)</f>
        <v>0</v>
      </c>
      <c r="AJ30" s="331"/>
      <c r="AK30" s="326">
        <f>SalesProj!AM42</f>
        <v>0</v>
      </c>
      <c r="AL30" s="323">
        <f>SalesProj!AN42</f>
        <v>0</v>
      </c>
      <c r="AM30" s="323">
        <f>SalesProj!AO42</f>
        <v>0</v>
      </c>
      <c r="AN30" s="329">
        <f>SalesProj!AP42</f>
        <v>0</v>
      </c>
      <c r="AO30" s="332">
        <f>SUM(AK30:AN30)</f>
        <v>0</v>
      </c>
      <c r="AQ30" s="333">
        <f>SalesProj!AS42</f>
        <v>0</v>
      </c>
    </row>
    <row r="31" spans="1:43" ht="14.1" customHeight="1">
      <c r="A31" s="357"/>
      <c r="B31" s="334" t="s">
        <v>251</v>
      </c>
      <c r="C31" s="146">
        <v>0</v>
      </c>
      <c r="D31" s="146">
        <f>C31</f>
        <v>0</v>
      </c>
      <c r="E31" s="146">
        <f t="shared" ref="E31:N31" si="33">D31</f>
        <v>0</v>
      </c>
      <c r="F31" s="146">
        <f t="shared" si="33"/>
        <v>0</v>
      </c>
      <c r="G31" s="146">
        <f t="shared" si="33"/>
        <v>0</v>
      </c>
      <c r="H31" s="146">
        <f t="shared" si="33"/>
        <v>0</v>
      </c>
      <c r="I31" s="146">
        <f t="shared" si="33"/>
        <v>0</v>
      </c>
      <c r="J31" s="146">
        <f t="shared" si="33"/>
        <v>0</v>
      </c>
      <c r="K31" s="146">
        <f t="shared" si="33"/>
        <v>0</v>
      </c>
      <c r="L31" s="146">
        <f t="shared" si="33"/>
        <v>0</v>
      </c>
      <c r="M31" s="146">
        <f t="shared" si="33"/>
        <v>0</v>
      </c>
      <c r="N31" s="146">
        <f t="shared" si="33"/>
        <v>0</v>
      </c>
      <c r="O31" s="366">
        <f>SUM(C31:N31)</f>
        <v>0</v>
      </c>
      <c r="P31" s="367"/>
      <c r="Q31" s="146">
        <f>N31</f>
        <v>0</v>
      </c>
      <c r="R31" s="147">
        <f>Q31</f>
        <v>0</v>
      </c>
      <c r="S31" s="147">
        <f t="shared" ref="S31:AB31" si="34">R31</f>
        <v>0</v>
      </c>
      <c r="T31" s="147">
        <f t="shared" si="34"/>
        <v>0</v>
      </c>
      <c r="U31" s="147">
        <f t="shared" si="34"/>
        <v>0</v>
      </c>
      <c r="V31" s="147">
        <f t="shared" si="34"/>
        <v>0</v>
      </c>
      <c r="W31" s="147">
        <f t="shared" si="34"/>
        <v>0</v>
      </c>
      <c r="X31" s="147">
        <f t="shared" si="34"/>
        <v>0</v>
      </c>
      <c r="Y31" s="147">
        <f t="shared" si="34"/>
        <v>0</v>
      </c>
      <c r="Z31" s="147">
        <f t="shared" si="34"/>
        <v>0</v>
      </c>
      <c r="AA31" s="147">
        <f t="shared" si="34"/>
        <v>0</v>
      </c>
      <c r="AB31" s="147">
        <f t="shared" si="34"/>
        <v>0</v>
      </c>
      <c r="AC31" s="366">
        <f>SUM(Q31:AB31)</f>
        <v>0</v>
      </c>
      <c r="AD31" s="368"/>
      <c r="AE31" s="150">
        <f>AB31*3</f>
        <v>0</v>
      </c>
      <c r="AF31" s="147">
        <f t="shared" ref="AF31:AH34" si="35">AE31</f>
        <v>0</v>
      </c>
      <c r="AG31" s="147">
        <f t="shared" si="35"/>
        <v>0</v>
      </c>
      <c r="AH31" s="147">
        <f t="shared" si="35"/>
        <v>0</v>
      </c>
      <c r="AI31" s="369">
        <f>SUM(AE31:AH31)</f>
        <v>0</v>
      </c>
      <c r="AJ31" s="368"/>
      <c r="AK31" s="151">
        <f>AH31</f>
        <v>0</v>
      </c>
      <c r="AL31" s="152">
        <f t="shared" ref="AL31:AN34" si="36">AK31</f>
        <v>0</v>
      </c>
      <c r="AM31" s="152">
        <f t="shared" si="36"/>
        <v>0</v>
      </c>
      <c r="AN31" s="153">
        <f t="shared" si="36"/>
        <v>0</v>
      </c>
      <c r="AO31" s="370">
        <f>SUM(AK31:AN31)</f>
        <v>0</v>
      </c>
      <c r="AP31" s="368"/>
      <c r="AQ31" s="154">
        <f>AN31*4</f>
        <v>0</v>
      </c>
    </row>
    <row r="32" spans="1:43" ht="14.1" customHeight="1">
      <c r="A32" s="357"/>
      <c r="B32" s="334" t="s">
        <v>252</v>
      </c>
      <c r="C32" s="146">
        <v>0</v>
      </c>
      <c r="D32" s="146">
        <f t="shared" ref="D32:N32" si="37">C32</f>
        <v>0</v>
      </c>
      <c r="E32" s="146">
        <f t="shared" si="37"/>
        <v>0</v>
      </c>
      <c r="F32" s="146">
        <f t="shared" si="37"/>
        <v>0</v>
      </c>
      <c r="G32" s="146">
        <f t="shared" si="37"/>
        <v>0</v>
      </c>
      <c r="H32" s="146">
        <f t="shared" si="37"/>
        <v>0</v>
      </c>
      <c r="I32" s="146">
        <f t="shared" si="37"/>
        <v>0</v>
      </c>
      <c r="J32" s="146">
        <f t="shared" si="37"/>
        <v>0</v>
      </c>
      <c r="K32" s="146">
        <f t="shared" si="37"/>
        <v>0</v>
      </c>
      <c r="L32" s="146">
        <f t="shared" si="37"/>
        <v>0</v>
      </c>
      <c r="M32" s="146">
        <f t="shared" si="37"/>
        <v>0</v>
      </c>
      <c r="N32" s="146">
        <f t="shared" si="37"/>
        <v>0</v>
      </c>
      <c r="O32" s="371">
        <f>SUM(C32:N32)</f>
        <v>0</v>
      </c>
      <c r="P32" s="367"/>
      <c r="Q32" s="146">
        <f>N32</f>
        <v>0</v>
      </c>
      <c r="R32" s="147">
        <f t="shared" ref="R32:AB32" si="38">Q32</f>
        <v>0</v>
      </c>
      <c r="S32" s="147">
        <f t="shared" si="38"/>
        <v>0</v>
      </c>
      <c r="T32" s="147">
        <f t="shared" si="38"/>
        <v>0</v>
      </c>
      <c r="U32" s="147">
        <f t="shared" si="38"/>
        <v>0</v>
      </c>
      <c r="V32" s="147">
        <f t="shared" si="38"/>
        <v>0</v>
      </c>
      <c r="W32" s="147">
        <f t="shared" si="38"/>
        <v>0</v>
      </c>
      <c r="X32" s="147">
        <f t="shared" si="38"/>
        <v>0</v>
      </c>
      <c r="Y32" s="147">
        <f t="shared" si="38"/>
        <v>0</v>
      </c>
      <c r="Z32" s="147">
        <f t="shared" si="38"/>
        <v>0</v>
      </c>
      <c r="AA32" s="147">
        <f t="shared" si="38"/>
        <v>0</v>
      </c>
      <c r="AB32" s="147">
        <f t="shared" si="38"/>
        <v>0</v>
      </c>
      <c r="AC32" s="371">
        <f>SUM(Q32:AB32)</f>
        <v>0</v>
      </c>
      <c r="AD32" s="368"/>
      <c r="AE32" s="150">
        <f>AB32*3</f>
        <v>0</v>
      </c>
      <c r="AF32" s="147">
        <f t="shared" si="35"/>
        <v>0</v>
      </c>
      <c r="AG32" s="147">
        <f t="shared" si="35"/>
        <v>0</v>
      </c>
      <c r="AH32" s="147">
        <f t="shared" si="35"/>
        <v>0</v>
      </c>
      <c r="AI32" s="369">
        <f>SUM(AE32:AH32)</f>
        <v>0</v>
      </c>
      <c r="AJ32" s="368"/>
      <c r="AK32" s="151">
        <f>AH32</f>
        <v>0</v>
      </c>
      <c r="AL32" s="152">
        <f t="shared" si="36"/>
        <v>0</v>
      </c>
      <c r="AM32" s="152">
        <f t="shared" si="36"/>
        <v>0</v>
      </c>
      <c r="AN32" s="153">
        <f t="shared" si="36"/>
        <v>0</v>
      </c>
      <c r="AO32" s="370">
        <f>SUM(AK32:AN32)</f>
        <v>0</v>
      </c>
      <c r="AP32" s="368"/>
      <c r="AQ32" s="154">
        <f>AN32*4</f>
        <v>0</v>
      </c>
    </row>
    <row r="33" spans="1:43" ht="14.1" customHeight="1">
      <c r="A33" s="357"/>
      <c r="B33" s="334" t="s">
        <v>253</v>
      </c>
      <c r="C33" s="146">
        <v>0</v>
      </c>
      <c r="D33" s="146">
        <f t="shared" ref="D33:N33" si="39">C33</f>
        <v>0</v>
      </c>
      <c r="E33" s="146">
        <f t="shared" si="39"/>
        <v>0</v>
      </c>
      <c r="F33" s="146">
        <f t="shared" si="39"/>
        <v>0</v>
      </c>
      <c r="G33" s="146">
        <f t="shared" si="39"/>
        <v>0</v>
      </c>
      <c r="H33" s="146">
        <f t="shared" si="39"/>
        <v>0</v>
      </c>
      <c r="I33" s="146">
        <f t="shared" si="39"/>
        <v>0</v>
      </c>
      <c r="J33" s="146">
        <f t="shared" si="39"/>
        <v>0</v>
      </c>
      <c r="K33" s="146">
        <f t="shared" si="39"/>
        <v>0</v>
      </c>
      <c r="L33" s="146">
        <f t="shared" si="39"/>
        <v>0</v>
      </c>
      <c r="M33" s="146">
        <f t="shared" si="39"/>
        <v>0</v>
      </c>
      <c r="N33" s="146">
        <f t="shared" si="39"/>
        <v>0</v>
      </c>
      <c r="O33" s="366">
        <f>SUM(C33:N33)</f>
        <v>0</v>
      </c>
      <c r="P33" s="367"/>
      <c r="Q33" s="146">
        <f>N33</f>
        <v>0</v>
      </c>
      <c r="R33" s="147">
        <f t="shared" ref="R33:AB33" si="40">Q33</f>
        <v>0</v>
      </c>
      <c r="S33" s="147">
        <f t="shared" si="40"/>
        <v>0</v>
      </c>
      <c r="T33" s="147">
        <f t="shared" si="40"/>
        <v>0</v>
      </c>
      <c r="U33" s="147">
        <f t="shared" si="40"/>
        <v>0</v>
      </c>
      <c r="V33" s="147">
        <f t="shared" si="40"/>
        <v>0</v>
      </c>
      <c r="W33" s="147">
        <f t="shared" si="40"/>
        <v>0</v>
      </c>
      <c r="X33" s="147">
        <f t="shared" si="40"/>
        <v>0</v>
      </c>
      <c r="Y33" s="147">
        <f t="shared" si="40"/>
        <v>0</v>
      </c>
      <c r="Z33" s="147">
        <f t="shared" si="40"/>
        <v>0</v>
      </c>
      <c r="AA33" s="147">
        <f t="shared" si="40"/>
        <v>0</v>
      </c>
      <c r="AB33" s="147">
        <f t="shared" si="40"/>
        <v>0</v>
      </c>
      <c r="AC33" s="366">
        <f>SUM(Q33:AB33)</f>
        <v>0</v>
      </c>
      <c r="AD33" s="372"/>
      <c r="AE33" s="150">
        <f>AB33*3</f>
        <v>0</v>
      </c>
      <c r="AF33" s="147">
        <f t="shared" si="35"/>
        <v>0</v>
      </c>
      <c r="AG33" s="147">
        <f t="shared" si="35"/>
        <v>0</v>
      </c>
      <c r="AH33" s="147">
        <f t="shared" si="35"/>
        <v>0</v>
      </c>
      <c r="AI33" s="369">
        <f>SUM(AE33:AH33)</f>
        <v>0</v>
      </c>
      <c r="AJ33" s="372"/>
      <c r="AK33" s="151">
        <f>AH33</f>
        <v>0</v>
      </c>
      <c r="AL33" s="152">
        <f t="shared" si="36"/>
        <v>0</v>
      </c>
      <c r="AM33" s="152">
        <f t="shared" si="36"/>
        <v>0</v>
      </c>
      <c r="AN33" s="153">
        <f t="shared" si="36"/>
        <v>0</v>
      </c>
      <c r="AO33" s="370">
        <f>SUM(AK33:AN33)</f>
        <v>0</v>
      </c>
      <c r="AP33" s="372"/>
      <c r="AQ33" s="154">
        <f>AN33*4</f>
        <v>0</v>
      </c>
    </row>
    <row r="34" spans="1:43" ht="14.1" customHeight="1" thickBot="1">
      <c r="A34" s="357"/>
      <c r="B34" s="335" t="s">
        <v>254</v>
      </c>
      <c r="C34" s="315">
        <v>0</v>
      </c>
      <c r="D34" s="316">
        <f t="shared" ref="D34:N34" si="41">C34</f>
        <v>0</v>
      </c>
      <c r="E34" s="316">
        <f t="shared" si="41"/>
        <v>0</v>
      </c>
      <c r="F34" s="316">
        <f t="shared" si="41"/>
        <v>0</v>
      </c>
      <c r="G34" s="316">
        <f t="shared" si="41"/>
        <v>0</v>
      </c>
      <c r="H34" s="316">
        <f t="shared" si="41"/>
        <v>0</v>
      </c>
      <c r="I34" s="316">
        <f t="shared" si="41"/>
        <v>0</v>
      </c>
      <c r="J34" s="316">
        <f t="shared" si="41"/>
        <v>0</v>
      </c>
      <c r="K34" s="316">
        <f t="shared" si="41"/>
        <v>0</v>
      </c>
      <c r="L34" s="316">
        <f t="shared" si="41"/>
        <v>0</v>
      </c>
      <c r="M34" s="316">
        <f t="shared" si="41"/>
        <v>0</v>
      </c>
      <c r="N34" s="316">
        <f t="shared" si="41"/>
        <v>0</v>
      </c>
      <c r="O34" s="373">
        <f>SUM(C34:N34)</f>
        <v>0</v>
      </c>
      <c r="P34" s="367"/>
      <c r="Q34" s="317">
        <f>N34</f>
        <v>0</v>
      </c>
      <c r="R34" s="315">
        <f t="shared" ref="R34:AB34" si="42">Q34</f>
        <v>0</v>
      </c>
      <c r="S34" s="315">
        <f t="shared" si="42"/>
        <v>0</v>
      </c>
      <c r="T34" s="315">
        <f t="shared" si="42"/>
        <v>0</v>
      </c>
      <c r="U34" s="315">
        <f t="shared" si="42"/>
        <v>0</v>
      </c>
      <c r="V34" s="315">
        <f t="shared" si="42"/>
        <v>0</v>
      </c>
      <c r="W34" s="315">
        <f t="shared" si="42"/>
        <v>0</v>
      </c>
      <c r="X34" s="315">
        <f t="shared" si="42"/>
        <v>0</v>
      </c>
      <c r="Y34" s="315">
        <f t="shared" si="42"/>
        <v>0</v>
      </c>
      <c r="Z34" s="315">
        <f t="shared" si="42"/>
        <v>0</v>
      </c>
      <c r="AA34" s="315">
        <f t="shared" si="42"/>
        <v>0</v>
      </c>
      <c r="AB34" s="318">
        <f t="shared" si="42"/>
        <v>0</v>
      </c>
      <c r="AC34" s="373">
        <f>SUM(Q34:AB34)</f>
        <v>0</v>
      </c>
      <c r="AD34" s="372"/>
      <c r="AE34" s="317">
        <f>AB34*3</f>
        <v>0</v>
      </c>
      <c r="AF34" s="315">
        <f t="shared" si="35"/>
        <v>0</v>
      </c>
      <c r="AG34" s="315">
        <f t="shared" si="35"/>
        <v>0</v>
      </c>
      <c r="AH34" s="318">
        <f t="shared" si="35"/>
        <v>0</v>
      </c>
      <c r="AI34" s="373">
        <f>SUM(AE34:AH34)</f>
        <v>0</v>
      </c>
      <c r="AJ34" s="372"/>
      <c r="AK34" s="320">
        <f>AH34</f>
        <v>0</v>
      </c>
      <c r="AL34" s="315">
        <f t="shared" si="36"/>
        <v>0</v>
      </c>
      <c r="AM34" s="315">
        <f t="shared" si="36"/>
        <v>0</v>
      </c>
      <c r="AN34" s="321">
        <f t="shared" si="36"/>
        <v>0</v>
      </c>
      <c r="AO34" s="373">
        <f>SUM(AK34:AN34)</f>
        <v>0</v>
      </c>
      <c r="AP34" s="372"/>
      <c r="AQ34" s="319">
        <f>AN34*4</f>
        <v>0</v>
      </c>
    </row>
    <row r="35" spans="1:43" ht="14.1" customHeight="1" thickBot="1">
      <c r="B35" s="374" t="s">
        <v>255</v>
      </c>
      <c r="C35" s="375">
        <f t="shared" ref="C35:O35" si="43">SUM(C31:C34)</f>
        <v>0</v>
      </c>
      <c r="D35" s="376">
        <f t="shared" si="43"/>
        <v>0</v>
      </c>
      <c r="E35" s="376">
        <f t="shared" si="43"/>
        <v>0</v>
      </c>
      <c r="F35" s="376">
        <f t="shared" si="43"/>
        <v>0</v>
      </c>
      <c r="G35" s="376">
        <f t="shared" si="43"/>
        <v>0</v>
      </c>
      <c r="H35" s="376">
        <f t="shared" si="43"/>
        <v>0</v>
      </c>
      <c r="I35" s="376">
        <f t="shared" si="43"/>
        <v>0</v>
      </c>
      <c r="J35" s="376">
        <f t="shared" si="43"/>
        <v>0</v>
      </c>
      <c r="K35" s="376">
        <f t="shared" si="43"/>
        <v>0</v>
      </c>
      <c r="L35" s="376">
        <f t="shared" si="43"/>
        <v>0</v>
      </c>
      <c r="M35" s="376">
        <f t="shared" si="43"/>
        <v>0</v>
      </c>
      <c r="N35" s="376">
        <f t="shared" si="43"/>
        <v>0</v>
      </c>
      <c r="O35" s="377">
        <f t="shared" si="43"/>
        <v>0</v>
      </c>
      <c r="P35" s="367"/>
      <c r="Q35" s="376">
        <f t="shared" ref="Q35:AC35" si="44">SUM(Q31:Q34)</f>
        <v>0</v>
      </c>
      <c r="R35" s="376">
        <f t="shared" si="44"/>
        <v>0</v>
      </c>
      <c r="S35" s="376">
        <f t="shared" si="44"/>
        <v>0</v>
      </c>
      <c r="T35" s="376">
        <f t="shared" si="44"/>
        <v>0</v>
      </c>
      <c r="U35" s="376">
        <f t="shared" si="44"/>
        <v>0</v>
      </c>
      <c r="V35" s="376">
        <f t="shared" si="44"/>
        <v>0</v>
      </c>
      <c r="W35" s="376">
        <f t="shared" si="44"/>
        <v>0</v>
      </c>
      <c r="X35" s="376">
        <f t="shared" si="44"/>
        <v>0</v>
      </c>
      <c r="Y35" s="376">
        <f t="shared" si="44"/>
        <v>0</v>
      </c>
      <c r="Z35" s="376">
        <f t="shared" si="44"/>
        <v>0</v>
      </c>
      <c r="AA35" s="376">
        <f t="shared" si="44"/>
        <v>0</v>
      </c>
      <c r="AB35" s="376">
        <f t="shared" si="44"/>
        <v>0</v>
      </c>
      <c r="AC35" s="377">
        <f t="shared" si="44"/>
        <v>0</v>
      </c>
      <c r="AD35" s="372"/>
      <c r="AE35" s="376">
        <f>SUM(AE31:AE34)</f>
        <v>0</v>
      </c>
      <c r="AF35" s="376">
        <f>SUM(AF31:AF34)</f>
        <v>0</v>
      </c>
      <c r="AG35" s="376">
        <f>SUM(AG31:AG34)</f>
        <v>0</v>
      </c>
      <c r="AH35" s="376">
        <f>SUM(AH31:AH34)</f>
        <v>0</v>
      </c>
      <c r="AI35" s="377">
        <f>SUM(AI31:AI34)</f>
        <v>0</v>
      </c>
      <c r="AJ35" s="372"/>
      <c r="AK35" s="376">
        <f>SUM(AK31:AK34)</f>
        <v>0</v>
      </c>
      <c r="AL35" s="376">
        <f>SUM(AL31:AL34)</f>
        <v>0</v>
      </c>
      <c r="AM35" s="376">
        <f>SUM(AM31:AM34)</f>
        <v>0</v>
      </c>
      <c r="AN35" s="376">
        <f>SUM(AN31:AN34)</f>
        <v>0</v>
      </c>
      <c r="AO35" s="377">
        <f>SUM(AO31:AO34)</f>
        <v>0</v>
      </c>
      <c r="AP35" s="372"/>
      <c r="AQ35" s="377">
        <f>SUM(AQ31:AQ34)</f>
        <v>0</v>
      </c>
    </row>
    <row r="36" spans="1:43" s="110" customFormat="1" ht="13.5" customHeight="1">
      <c r="A36" s="108"/>
      <c r="B36" s="354"/>
      <c r="C36" s="108"/>
      <c r="D36" s="108"/>
      <c r="E36" s="108"/>
      <c r="F36" s="108"/>
      <c r="G36" s="108"/>
      <c r="H36" s="108"/>
      <c r="I36" s="108"/>
      <c r="J36" s="108"/>
      <c r="K36" s="108"/>
      <c r="L36" s="108"/>
      <c r="M36" s="108"/>
      <c r="O36" s="355"/>
      <c r="P36" s="347"/>
      <c r="Q36" s="108"/>
      <c r="R36" s="108"/>
      <c r="S36" s="108"/>
      <c r="T36" s="108"/>
      <c r="U36" s="108"/>
      <c r="V36" s="108"/>
      <c r="W36" s="108"/>
      <c r="X36" s="108"/>
      <c r="Y36" s="108"/>
      <c r="Z36" s="108"/>
      <c r="AA36" s="108"/>
      <c r="AC36" s="355"/>
      <c r="AE36" s="356"/>
      <c r="AF36" s="108"/>
      <c r="AG36" s="108"/>
      <c r="AI36" s="355"/>
      <c r="AK36" s="356"/>
      <c r="AL36" s="108"/>
      <c r="AM36" s="108"/>
      <c r="AN36" s="347"/>
      <c r="AO36" s="347"/>
      <c r="AQ36" s="355"/>
    </row>
    <row r="37" spans="1:43" ht="14.1" customHeight="1">
      <c r="A37" s="357"/>
      <c r="B37" s="358" t="str">
        <f>SalesProj!B45</f>
        <v>Product Line 5</v>
      </c>
      <c r="C37" s="359"/>
      <c r="D37" s="359"/>
      <c r="E37" s="359"/>
      <c r="F37" s="359"/>
      <c r="G37" s="359"/>
      <c r="H37" s="360"/>
      <c r="I37" s="360"/>
      <c r="J37" s="360"/>
      <c r="K37" s="360"/>
      <c r="L37" s="360"/>
      <c r="M37" s="360"/>
      <c r="N37" s="361"/>
      <c r="O37" s="362"/>
      <c r="P37" s="325"/>
      <c r="Q37" s="359"/>
      <c r="R37" s="359"/>
      <c r="S37" s="359"/>
      <c r="T37" s="359"/>
      <c r="U37" s="359"/>
      <c r="V37" s="360"/>
      <c r="W37" s="360"/>
      <c r="X37" s="360"/>
      <c r="Y37" s="360"/>
      <c r="Z37" s="360"/>
      <c r="AA37" s="360"/>
      <c r="AB37" s="361"/>
      <c r="AC37" s="362"/>
      <c r="AE37" s="363"/>
      <c r="AF37" s="360"/>
      <c r="AG37" s="360"/>
      <c r="AH37" s="361"/>
      <c r="AI37" s="364"/>
      <c r="AK37" s="363"/>
      <c r="AL37" s="360"/>
      <c r="AM37" s="360"/>
      <c r="AN37" s="365"/>
      <c r="AO37" s="364"/>
      <c r="AQ37" s="362"/>
    </row>
    <row r="38" spans="1:43" ht="14.1" customHeight="1">
      <c r="B38" s="322" t="s">
        <v>256</v>
      </c>
      <c r="C38" s="323">
        <f>SalesProj!E52</f>
        <v>0</v>
      </c>
      <c r="D38" s="323">
        <f>SalesProj!F52</f>
        <v>0</v>
      </c>
      <c r="E38" s="323">
        <f>SalesProj!G52</f>
        <v>0</v>
      </c>
      <c r="F38" s="323">
        <f>SalesProj!H52</f>
        <v>0</v>
      </c>
      <c r="G38" s="323">
        <f>SalesProj!I52</f>
        <v>0</v>
      </c>
      <c r="H38" s="323">
        <f>SalesProj!J52</f>
        <v>0</v>
      </c>
      <c r="I38" s="323">
        <f>SalesProj!K52</f>
        <v>0</v>
      </c>
      <c r="J38" s="323">
        <f>SalesProj!L52</f>
        <v>0</v>
      </c>
      <c r="K38" s="323">
        <f>SalesProj!M52</f>
        <v>0</v>
      </c>
      <c r="L38" s="323">
        <f>SalesProj!N52</f>
        <v>0</v>
      </c>
      <c r="M38" s="323">
        <f>SalesProj!O52</f>
        <v>0</v>
      </c>
      <c r="N38" s="323">
        <f>SalesProj!P52</f>
        <v>0</v>
      </c>
      <c r="O38" s="324">
        <f>SUM(C38:N38)</f>
        <v>0</v>
      </c>
      <c r="P38" s="325"/>
      <c r="Q38" s="323">
        <f>SalesProj!S52</f>
        <v>0</v>
      </c>
      <c r="R38" s="323">
        <f>SalesProj!T52</f>
        <v>0</v>
      </c>
      <c r="S38" s="323">
        <f>SalesProj!U52</f>
        <v>0</v>
      </c>
      <c r="T38" s="323">
        <f>SalesProj!V52</f>
        <v>0</v>
      </c>
      <c r="U38" s="323">
        <f>SalesProj!W52</f>
        <v>0</v>
      </c>
      <c r="V38" s="323">
        <f>SalesProj!X52</f>
        <v>0</v>
      </c>
      <c r="W38" s="323">
        <f>SalesProj!Y52</f>
        <v>0</v>
      </c>
      <c r="X38" s="323">
        <f>SalesProj!Z52</f>
        <v>0</v>
      </c>
      <c r="Y38" s="323">
        <f>SalesProj!AA52</f>
        <v>0</v>
      </c>
      <c r="Z38" s="323">
        <f>SalesProj!AB52</f>
        <v>0</v>
      </c>
      <c r="AA38" s="323">
        <f>SalesProj!AC52</f>
        <v>0</v>
      </c>
      <c r="AB38" s="323">
        <f>SalesProj!AD52</f>
        <v>0</v>
      </c>
      <c r="AC38" s="324">
        <f>SUM(Q38:AB38)</f>
        <v>0</v>
      </c>
      <c r="AE38" s="326">
        <f>SalesProj!AG52</f>
        <v>0</v>
      </c>
      <c r="AF38" s="323">
        <f>SalesProj!AH52</f>
        <v>0</v>
      </c>
      <c r="AG38" s="323">
        <f>SalesProj!AI52</f>
        <v>0</v>
      </c>
      <c r="AH38" s="323">
        <f>SalesProj!AJ52</f>
        <v>0</v>
      </c>
      <c r="AI38" s="330">
        <f>SUM(AE38:AH38)</f>
        <v>0</v>
      </c>
      <c r="AJ38" s="331"/>
      <c r="AK38" s="392">
        <f>SalesProj!AM52</f>
        <v>0</v>
      </c>
      <c r="AL38" s="391">
        <f>SalesProj!AN52</f>
        <v>0</v>
      </c>
      <c r="AM38" s="323">
        <f>SalesProj!AO52</f>
        <v>0</v>
      </c>
      <c r="AN38" s="329">
        <f>SalesProj!AP52</f>
        <v>0</v>
      </c>
      <c r="AO38" s="332">
        <f>SUM(AK38:AN38)</f>
        <v>0</v>
      </c>
      <c r="AQ38" s="333">
        <f>SalesProj!AS52</f>
        <v>0</v>
      </c>
    </row>
    <row r="39" spans="1:43" ht="14.1" customHeight="1">
      <c r="A39" s="357"/>
      <c r="B39" s="334" t="s">
        <v>251</v>
      </c>
      <c r="C39" s="146">
        <v>0</v>
      </c>
      <c r="D39" s="146">
        <f>C39</f>
        <v>0</v>
      </c>
      <c r="E39" s="146">
        <f t="shared" ref="E39:N39" si="45">D39</f>
        <v>0</v>
      </c>
      <c r="F39" s="146">
        <f t="shared" si="45"/>
        <v>0</v>
      </c>
      <c r="G39" s="146">
        <f t="shared" si="45"/>
        <v>0</v>
      </c>
      <c r="H39" s="146">
        <f t="shared" si="45"/>
        <v>0</v>
      </c>
      <c r="I39" s="146">
        <f t="shared" si="45"/>
        <v>0</v>
      </c>
      <c r="J39" s="146">
        <f t="shared" si="45"/>
        <v>0</v>
      </c>
      <c r="K39" s="146">
        <f t="shared" si="45"/>
        <v>0</v>
      </c>
      <c r="L39" s="146">
        <f t="shared" si="45"/>
        <v>0</v>
      </c>
      <c r="M39" s="146">
        <f t="shared" si="45"/>
        <v>0</v>
      </c>
      <c r="N39" s="146">
        <f t="shared" si="45"/>
        <v>0</v>
      </c>
      <c r="O39" s="366">
        <f>SUM(C39:N39)</f>
        <v>0</v>
      </c>
      <c r="P39" s="367"/>
      <c r="Q39" s="146">
        <f>N39</f>
        <v>0</v>
      </c>
      <c r="R39" s="147">
        <f>Q39</f>
        <v>0</v>
      </c>
      <c r="S39" s="147">
        <f t="shared" ref="S39:AB39" si="46">R39</f>
        <v>0</v>
      </c>
      <c r="T39" s="147">
        <f t="shared" si="46"/>
        <v>0</v>
      </c>
      <c r="U39" s="147">
        <f t="shared" si="46"/>
        <v>0</v>
      </c>
      <c r="V39" s="147">
        <f t="shared" si="46"/>
        <v>0</v>
      </c>
      <c r="W39" s="147">
        <f t="shared" si="46"/>
        <v>0</v>
      </c>
      <c r="X39" s="147">
        <f t="shared" si="46"/>
        <v>0</v>
      </c>
      <c r="Y39" s="147">
        <f t="shared" si="46"/>
        <v>0</v>
      </c>
      <c r="Z39" s="147">
        <f t="shared" si="46"/>
        <v>0</v>
      </c>
      <c r="AA39" s="147">
        <f t="shared" si="46"/>
        <v>0</v>
      </c>
      <c r="AB39" s="147">
        <f t="shared" si="46"/>
        <v>0</v>
      </c>
      <c r="AC39" s="366">
        <f>SUM(Q39:AB39)</f>
        <v>0</v>
      </c>
      <c r="AD39" s="368"/>
      <c r="AE39" s="150">
        <f>AB39*3</f>
        <v>0</v>
      </c>
      <c r="AF39" s="147">
        <f t="shared" ref="AF39:AH42" si="47">AE39</f>
        <v>0</v>
      </c>
      <c r="AG39" s="147">
        <f t="shared" si="47"/>
        <v>0</v>
      </c>
      <c r="AH39" s="147">
        <f t="shared" si="47"/>
        <v>0</v>
      </c>
      <c r="AI39" s="369">
        <f>SUM(AE39:AH39)</f>
        <v>0</v>
      </c>
      <c r="AJ39" s="368"/>
      <c r="AK39" s="151">
        <f>AH39</f>
        <v>0</v>
      </c>
      <c r="AL39" s="152">
        <f t="shared" ref="AL39:AN42" si="48">AK39</f>
        <v>0</v>
      </c>
      <c r="AM39" s="152">
        <f t="shared" si="48"/>
        <v>0</v>
      </c>
      <c r="AN39" s="153">
        <f t="shared" si="48"/>
        <v>0</v>
      </c>
      <c r="AO39" s="370">
        <f>SUM(AK39:AN39)</f>
        <v>0</v>
      </c>
      <c r="AP39" s="368"/>
      <c r="AQ39" s="154">
        <f>AN39*4</f>
        <v>0</v>
      </c>
    </row>
    <row r="40" spans="1:43" ht="14.1" customHeight="1">
      <c r="A40" s="357"/>
      <c r="B40" s="334" t="s">
        <v>252</v>
      </c>
      <c r="C40" s="146">
        <v>0</v>
      </c>
      <c r="D40" s="146">
        <f t="shared" ref="D40:N40" si="49">C40</f>
        <v>0</v>
      </c>
      <c r="E40" s="146">
        <f t="shared" si="49"/>
        <v>0</v>
      </c>
      <c r="F40" s="146">
        <f t="shared" si="49"/>
        <v>0</v>
      </c>
      <c r="G40" s="146">
        <f t="shared" si="49"/>
        <v>0</v>
      </c>
      <c r="H40" s="146">
        <f t="shared" si="49"/>
        <v>0</v>
      </c>
      <c r="I40" s="146">
        <f t="shared" si="49"/>
        <v>0</v>
      </c>
      <c r="J40" s="146">
        <f t="shared" si="49"/>
        <v>0</v>
      </c>
      <c r="K40" s="146">
        <f t="shared" si="49"/>
        <v>0</v>
      </c>
      <c r="L40" s="146">
        <f t="shared" si="49"/>
        <v>0</v>
      </c>
      <c r="M40" s="146">
        <f t="shared" si="49"/>
        <v>0</v>
      </c>
      <c r="N40" s="146">
        <f t="shared" si="49"/>
        <v>0</v>
      </c>
      <c r="O40" s="371">
        <f>SUM(C40:N40)</f>
        <v>0</v>
      </c>
      <c r="P40" s="367"/>
      <c r="Q40" s="146">
        <f>N40</f>
        <v>0</v>
      </c>
      <c r="R40" s="147">
        <f t="shared" ref="R40:AB40" si="50">Q40</f>
        <v>0</v>
      </c>
      <c r="S40" s="147">
        <f t="shared" si="50"/>
        <v>0</v>
      </c>
      <c r="T40" s="147">
        <f t="shared" si="50"/>
        <v>0</v>
      </c>
      <c r="U40" s="147">
        <f t="shared" si="50"/>
        <v>0</v>
      </c>
      <c r="V40" s="147">
        <f t="shared" si="50"/>
        <v>0</v>
      </c>
      <c r="W40" s="147">
        <f t="shared" si="50"/>
        <v>0</v>
      </c>
      <c r="X40" s="147">
        <f t="shared" si="50"/>
        <v>0</v>
      </c>
      <c r="Y40" s="147">
        <f t="shared" si="50"/>
        <v>0</v>
      </c>
      <c r="Z40" s="147">
        <f t="shared" si="50"/>
        <v>0</v>
      </c>
      <c r="AA40" s="147">
        <f t="shared" si="50"/>
        <v>0</v>
      </c>
      <c r="AB40" s="147">
        <f t="shared" si="50"/>
        <v>0</v>
      </c>
      <c r="AC40" s="371">
        <f>SUM(Q40:AB40)</f>
        <v>0</v>
      </c>
      <c r="AD40" s="368"/>
      <c r="AE40" s="150">
        <f>AB40*3</f>
        <v>0</v>
      </c>
      <c r="AF40" s="147">
        <f t="shared" si="47"/>
        <v>0</v>
      </c>
      <c r="AG40" s="147">
        <f t="shared" si="47"/>
        <v>0</v>
      </c>
      <c r="AH40" s="147">
        <f t="shared" si="47"/>
        <v>0</v>
      </c>
      <c r="AI40" s="369">
        <f>SUM(AE40:AH40)</f>
        <v>0</v>
      </c>
      <c r="AJ40" s="368"/>
      <c r="AK40" s="151">
        <f>AH40</f>
        <v>0</v>
      </c>
      <c r="AL40" s="152">
        <f t="shared" si="48"/>
        <v>0</v>
      </c>
      <c r="AM40" s="152">
        <f t="shared" si="48"/>
        <v>0</v>
      </c>
      <c r="AN40" s="153">
        <f t="shared" si="48"/>
        <v>0</v>
      </c>
      <c r="AO40" s="370">
        <f>SUM(AK40:AN40)</f>
        <v>0</v>
      </c>
      <c r="AP40" s="368"/>
      <c r="AQ40" s="154">
        <f>AN40*4</f>
        <v>0</v>
      </c>
    </row>
    <row r="41" spans="1:43" ht="14.1" customHeight="1">
      <c r="A41" s="357"/>
      <c r="B41" s="334" t="s">
        <v>253</v>
      </c>
      <c r="C41" s="146">
        <v>0</v>
      </c>
      <c r="D41" s="146">
        <f t="shared" ref="D41:N41" si="51">C41</f>
        <v>0</v>
      </c>
      <c r="E41" s="146">
        <f t="shared" si="51"/>
        <v>0</v>
      </c>
      <c r="F41" s="146">
        <f t="shared" si="51"/>
        <v>0</v>
      </c>
      <c r="G41" s="146">
        <f t="shared" si="51"/>
        <v>0</v>
      </c>
      <c r="H41" s="146">
        <f t="shared" si="51"/>
        <v>0</v>
      </c>
      <c r="I41" s="146">
        <f t="shared" si="51"/>
        <v>0</v>
      </c>
      <c r="J41" s="146">
        <f t="shared" si="51"/>
        <v>0</v>
      </c>
      <c r="K41" s="146">
        <f t="shared" si="51"/>
        <v>0</v>
      </c>
      <c r="L41" s="146">
        <f t="shared" si="51"/>
        <v>0</v>
      </c>
      <c r="M41" s="146">
        <f t="shared" si="51"/>
        <v>0</v>
      </c>
      <c r="N41" s="146">
        <f t="shared" si="51"/>
        <v>0</v>
      </c>
      <c r="O41" s="366">
        <f>SUM(C41:N41)</f>
        <v>0</v>
      </c>
      <c r="P41" s="367"/>
      <c r="Q41" s="146">
        <f>N41</f>
        <v>0</v>
      </c>
      <c r="R41" s="147">
        <f t="shared" ref="R41:AB41" si="52">Q41</f>
        <v>0</v>
      </c>
      <c r="S41" s="147">
        <f t="shared" si="52"/>
        <v>0</v>
      </c>
      <c r="T41" s="147">
        <f t="shared" si="52"/>
        <v>0</v>
      </c>
      <c r="U41" s="147">
        <f t="shared" si="52"/>
        <v>0</v>
      </c>
      <c r="V41" s="147">
        <f t="shared" si="52"/>
        <v>0</v>
      </c>
      <c r="W41" s="147">
        <f t="shared" si="52"/>
        <v>0</v>
      </c>
      <c r="X41" s="147">
        <f t="shared" si="52"/>
        <v>0</v>
      </c>
      <c r="Y41" s="147">
        <f t="shared" si="52"/>
        <v>0</v>
      </c>
      <c r="Z41" s="147">
        <f t="shared" si="52"/>
        <v>0</v>
      </c>
      <c r="AA41" s="147">
        <f t="shared" si="52"/>
        <v>0</v>
      </c>
      <c r="AB41" s="147">
        <f t="shared" si="52"/>
        <v>0</v>
      </c>
      <c r="AC41" s="366">
        <f>SUM(Q41:AB41)</f>
        <v>0</v>
      </c>
      <c r="AD41" s="372"/>
      <c r="AE41" s="150">
        <f>AB41*3</f>
        <v>0</v>
      </c>
      <c r="AF41" s="147">
        <f t="shared" si="47"/>
        <v>0</v>
      </c>
      <c r="AG41" s="147">
        <f t="shared" si="47"/>
        <v>0</v>
      </c>
      <c r="AH41" s="147">
        <f t="shared" si="47"/>
        <v>0</v>
      </c>
      <c r="AI41" s="369">
        <f>SUM(AE41:AH41)</f>
        <v>0</v>
      </c>
      <c r="AJ41" s="372"/>
      <c r="AK41" s="151">
        <f>AH41</f>
        <v>0</v>
      </c>
      <c r="AL41" s="152">
        <f t="shared" si="48"/>
        <v>0</v>
      </c>
      <c r="AM41" s="152">
        <f t="shared" si="48"/>
        <v>0</v>
      </c>
      <c r="AN41" s="153">
        <f t="shared" si="48"/>
        <v>0</v>
      </c>
      <c r="AO41" s="370">
        <f>SUM(AK41:AN41)</f>
        <v>0</v>
      </c>
      <c r="AP41" s="372"/>
      <c r="AQ41" s="154">
        <f>AN41*4</f>
        <v>0</v>
      </c>
    </row>
    <row r="42" spans="1:43" ht="14.1" customHeight="1" thickBot="1">
      <c r="A42" s="357"/>
      <c r="B42" s="335" t="s">
        <v>254</v>
      </c>
      <c r="C42" s="315">
        <v>0</v>
      </c>
      <c r="D42" s="316">
        <f t="shared" ref="D42:N42" si="53">C42</f>
        <v>0</v>
      </c>
      <c r="E42" s="316">
        <f t="shared" si="53"/>
        <v>0</v>
      </c>
      <c r="F42" s="316">
        <f t="shared" si="53"/>
        <v>0</v>
      </c>
      <c r="G42" s="316">
        <f t="shared" si="53"/>
        <v>0</v>
      </c>
      <c r="H42" s="316">
        <f t="shared" si="53"/>
        <v>0</v>
      </c>
      <c r="I42" s="316">
        <f t="shared" si="53"/>
        <v>0</v>
      </c>
      <c r="J42" s="316">
        <f t="shared" si="53"/>
        <v>0</v>
      </c>
      <c r="K42" s="316">
        <f t="shared" si="53"/>
        <v>0</v>
      </c>
      <c r="L42" s="316">
        <f t="shared" si="53"/>
        <v>0</v>
      </c>
      <c r="M42" s="316">
        <f t="shared" si="53"/>
        <v>0</v>
      </c>
      <c r="N42" s="316">
        <f t="shared" si="53"/>
        <v>0</v>
      </c>
      <c r="O42" s="373">
        <f>SUM(C42:N42)</f>
        <v>0</v>
      </c>
      <c r="P42" s="367"/>
      <c r="Q42" s="317">
        <f>N42</f>
        <v>0</v>
      </c>
      <c r="R42" s="315">
        <f t="shared" ref="R42:AB42" si="54">Q42</f>
        <v>0</v>
      </c>
      <c r="S42" s="315">
        <f t="shared" si="54"/>
        <v>0</v>
      </c>
      <c r="T42" s="315">
        <f t="shared" si="54"/>
        <v>0</v>
      </c>
      <c r="U42" s="315">
        <f t="shared" si="54"/>
        <v>0</v>
      </c>
      <c r="V42" s="315">
        <f t="shared" si="54"/>
        <v>0</v>
      </c>
      <c r="W42" s="315">
        <f t="shared" si="54"/>
        <v>0</v>
      </c>
      <c r="X42" s="315">
        <f t="shared" si="54"/>
        <v>0</v>
      </c>
      <c r="Y42" s="315">
        <f t="shared" si="54"/>
        <v>0</v>
      </c>
      <c r="Z42" s="315">
        <f t="shared" si="54"/>
        <v>0</v>
      </c>
      <c r="AA42" s="315">
        <f t="shared" si="54"/>
        <v>0</v>
      </c>
      <c r="AB42" s="318">
        <f t="shared" si="54"/>
        <v>0</v>
      </c>
      <c r="AC42" s="373">
        <f>SUM(Q42:AB42)</f>
        <v>0</v>
      </c>
      <c r="AD42" s="372"/>
      <c r="AE42" s="317">
        <f>AB42*3</f>
        <v>0</v>
      </c>
      <c r="AF42" s="315">
        <f t="shared" si="47"/>
        <v>0</v>
      </c>
      <c r="AG42" s="315">
        <f t="shared" si="47"/>
        <v>0</v>
      </c>
      <c r="AH42" s="318">
        <f t="shared" si="47"/>
        <v>0</v>
      </c>
      <c r="AI42" s="373">
        <f>SUM(AE42:AH42)</f>
        <v>0</v>
      </c>
      <c r="AJ42" s="372"/>
      <c r="AK42" s="320">
        <f>AH42</f>
        <v>0</v>
      </c>
      <c r="AL42" s="315">
        <f t="shared" si="48"/>
        <v>0</v>
      </c>
      <c r="AM42" s="315">
        <f t="shared" si="48"/>
        <v>0</v>
      </c>
      <c r="AN42" s="321">
        <f t="shared" si="48"/>
        <v>0</v>
      </c>
      <c r="AO42" s="373">
        <f>SUM(AK42:AN42)</f>
        <v>0</v>
      </c>
      <c r="AP42" s="372"/>
      <c r="AQ42" s="319">
        <f>AN42*4</f>
        <v>0</v>
      </c>
    </row>
    <row r="43" spans="1:43" ht="14.1" customHeight="1" thickBot="1">
      <c r="B43" s="374" t="s">
        <v>255</v>
      </c>
      <c r="C43" s="375">
        <f t="shared" ref="C43:O43" si="55">SUM(C39:C42)</f>
        <v>0</v>
      </c>
      <c r="D43" s="376">
        <f t="shared" si="55"/>
        <v>0</v>
      </c>
      <c r="E43" s="376">
        <f t="shared" si="55"/>
        <v>0</v>
      </c>
      <c r="F43" s="376">
        <f t="shared" si="55"/>
        <v>0</v>
      </c>
      <c r="G43" s="376">
        <f t="shared" si="55"/>
        <v>0</v>
      </c>
      <c r="H43" s="376">
        <f t="shared" si="55"/>
        <v>0</v>
      </c>
      <c r="I43" s="376">
        <f t="shared" si="55"/>
        <v>0</v>
      </c>
      <c r="J43" s="376">
        <f t="shared" si="55"/>
        <v>0</v>
      </c>
      <c r="K43" s="376">
        <f t="shared" si="55"/>
        <v>0</v>
      </c>
      <c r="L43" s="376">
        <f t="shared" si="55"/>
        <v>0</v>
      </c>
      <c r="M43" s="376">
        <f t="shared" si="55"/>
        <v>0</v>
      </c>
      <c r="N43" s="376">
        <f t="shared" si="55"/>
        <v>0</v>
      </c>
      <c r="O43" s="377">
        <f t="shared" si="55"/>
        <v>0</v>
      </c>
      <c r="P43" s="367"/>
      <c r="Q43" s="376">
        <f t="shared" ref="Q43:AC43" si="56">SUM(Q39:Q42)</f>
        <v>0</v>
      </c>
      <c r="R43" s="376">
        <f t="shared" si="56"/>
        <v>0</v>
      </c>
      <c r="S43" s="376">
        <f t="shared" si="56"/>
        <v>0</v>
      </c>
      <c r="T43" s="376">
        <f t="shared" si="56"/>
        <v>0</v>
      </c>
      <c r="U43" s="376">
        <f t="shared" si="56"/>
        <v>0</v>
      </c>
      <c r="V43" s="376">
        <f t="shared" si="56"/>
        <v>0</v>
      </c>
      <c r="W43" s="376">
        <f t="shared" si="56"/>
        <v>0</v>
      </c>
      <c r="X43" s="376">
        <f t="shared" si="56"/>
        <v>0</v>
      </c>
      <c r="Y43" s="376">
        <f t="shared" si="56"/>
        <v>0</v>
      </c>
      <c r="Z43" s="376">
        <f t="shared" si="56"/>
        <v>0</v>
      </c>
      <c r="AA43" s="376">
        <f t="shared" si="56"/>
        <v>0</v>
      </c>
      <c r="AB43" s="376">
        <f t="shared" si="56"/>
        <v>0</v>
      </c>
      <c r="AC43" s="377">
        <f t="shared" si="56"/>
        <v>0</v>
      </c>
      <c r="AD43" s="372"/>
      <c r="AE43" s="376">
        <f>SUM(AE39:AE42)</f>
        <v>0</v>
      </c>
      <c r="AF43" s="376">
        <f>SUM(AF39:AF42)</f>
        <v>0</v>
      </c>
      <c r="AG43" s="376">
        <f>SUM(AG39:AG42)</f>
        <v>0</v>
      </c>
      <c r="AH43" s="376">
        <f>SUM(AH39:AH42)</f>
        <v>0</v>
      </c>
      <c r="AI43" s="377">
        <f>SUM(AI39:AI42)</f>
        <v>0</v>
      </c>
      <c r="AJ43" s="372"/>
      <c r="AK43" s="376">
        <f>SUM(AK39:AK42)</f>
        <v>0</v>
      </c>
      <c r="AL43" s="376">
        <f>SUM(AL39:AL42)</f>
        <v>0</v>
      </c>
      <c r="AM43" s="376">
        <f>SUM(AM39:AM42)</f>
        <v>0</v>
      </c>
      <c r="AN43" s="376">
        <f>SUM(AN39:AN42)</f>
        <v>0</v>
      </c>
      <c r="AO43" s="377">
        <f>SUM(AO39:AO42)</f>
        <v>0</v>
      </c>
      <c r="AP43" s="372"/>
      <c r="AQ43" s="377">
        <f>SUM(AQ39:AQ42)</f>
        <v>0</v>
      </c>
    </row>
    <row r="44" spans="1:43" s="110" customFormat="1" ht="13.5" customHeight="1">
      <c r="A44" s="108"/>
      <c r="B44" s="354"/>
      <c r="C44" s="108"/>
      <c r="D44" s="108"/>
      <c r="E44" s="108"/>
      <c r="F44" s="108"/>
      <c r="G44" s="108"/>
      <c r="H44" s="108"/>
      <c r="I44" s="108"/>
      <c r="J44" s="108"/>
      <c r="K44" s="108"/>
      <c r="L44" s="108"/>
      <c r="M44" s="108"/>
      <c r="O44" s="355"/>
      <c r="P44" s="347"/>
      <c r="Q44" s="108"/>
      <c r="R44" s="108"/>
      <c r="S44" s="108"/>
      <c r="T44" s="108"/>
      <c r="U44" s="108"/>
      <c r="V44" s="108"/>
      <c r="W44" s="108"/>
      <c r="X44" s="108"/>
      <c r="Y44" s="108"/>
      <c r="Z44" s="108"/>
      <c r="AA44" s="108"/>
      <c r="AC44" s="355"/>
      <c r="AE44" s="356"/>
      <c r="AF44" s="108"/>
      <c r="AG44" s="108"/>
      <c r="AI44" s="355"/>
      <c r="AK44" s="356"/>
      <c r="AL44" s="108"/>
      <c r="AM44" s="108"/>
      <c r="AN44" s="347"/>
      <c r="AO44" s="347"/>
      <c r="AQ44" s="355"/>
    </row>
    <row r="45" spans="1:43" ht="14.1" customHeight="1">
      <c r="A45" s="357"/>
      <c r="B45" s="358" t="str">
        <f>SalesProj!B55</f>
        <v>Product Line 6</v>
      </c>
      <c r="C45" s="359"/>
      <c r="D45" s="359"/>
      <c r="E45" s="359"/>
      <c r="F45" s="359"/>
      <c r="G45" s="359"/>
      <c r="H45" s="360"/>
      <c r="I45" s="360"/>
      <c r="J45" s="360"/>
      <c r="K45" s="360"/>
      <c r="L45" s="360"/>
      <c r="M45" s="360"/>
      <c r="N45" s="361"/>
      <c r="O45" s="362"/>
      <c r="P45" s="325"/>
      <c r="Q45" s="359"/>
      <c r="R45" s="359"/>
      <c r="S45" s="359"/>
      <c r="T45" s="359"/>
      <c r="U45" s="359"/>
      <c r="V45" s="360"/>
      <c r="W45" s="360"/>
      <c r="X45" s="360"/>
      <c r="Y45" s="360"/>
      <c r="Z45" s="360"/>
      <c r="AA45" s="360"/>
      <c r="AB45" s="361"/>
      <c r="AC45" s="362"/>
      <c r="AE45" s="363"/>
      <c r="AF45" s="360"/>
      <c r="AG45" s="360"/>
      <c r="AH45" s="361"/>
      <c r="AI45" s="364"/>
      <c r="AK45" s="363"/>
      <c r="AL45" s="360"/>
      <c r="AM45" s="360"/>
      <c r="AN45" s="365"/>
      <c r="AO45" s="364"/>
      <c r="AQ45" s="362"/>
    </row>
    <row r="46" spans="1:43" ht="14.1" customHeight="1">
      <c r="B46" s="322" t="s">
        <v>256</v>
      </c>
      <c r="C46" s="323">
        <f>SalesProj!E62</f>
        <v>0</v>
      </c>
      <c r="D46" s="323">
        <f>SalesProj!F62</f>
        <v>0</v>
      </c>
      <c r="E46" s="323">
        <f>SalesProj!G62</f>
        <v>0</v>
      </c>
      <c r="F46" s="323">
        <f>SalesProj!H62</f>
        <v>0</v>
      </c>
      <c r="G46" s="323">
        <f>SalesProj!I62</f>
        <v>0</v>
      </c>
      <c r="H46" s="323">
        <f>SalesProj!J62</f>
        <v>0</v>
      </c>
      <c r="I46" s="323">
        <f>SalesProj!K62</f>
        <v>0</v>
      </c>
      <c r="J46" s="323">
        <f>SalesProj!L62</f>
        <v>0</v>
      </c>
      <c r="K46" s="323">
        <f>SalesProj!M62</f>
        <v>0</v>
      </c>
      <c r="L46" s="323">
        <f>SalesProj!N62</f>
        <v>0</v>
      </c>
      <c r="M46" s="323">
        <f>SalesProj!O62</f>
        <v>0</v>
      </c>
      <c r="N46" s="323">
        <f>SalesProj!P62</f>
        <v>0</v>
      </c>
      <c r="O46" s="324">
        <f>SUM(C46:N46)</f>
        <v>0</v>
      </c>
      <c r="P46" s="325"/>
      <c r="Q46" s="323">
        <f>SalesProj!S62</f>
        <v>0</v>
      </c>
      <c r="R46" s="323">
        <f>SalesProj!T62</f>
        <v>0</v>
      </c>
      <c r="S46" s="323">
        <f>SalesProj!U62</f>
        <v>0</v>
      </c>
      <c r="T46" s="323">
        <f>SalesProj!V62</f>
        <v>0</v>
      </c>
      <c r="U46" s="323">
        <f>SalesProj!W62</f>
        <v>0</v>
      </c>
      <c r="V46" s="323">
        <f>SalesProj!X62</f>
        <v>0</v>
      </c>
      <c r="W46" s="323">
        <f>SalesProj!Y62</f>
        <v>0</v>
      </c>
      <c r="X46" s="323">
        <f>SalesProj!Z62</f>
        <v>0</v>
      </c>
      <c r="Y46" s="323">
        <f>SalesProj!AA62</f>
        <v>0</v>
      </c>
      <c r="Z46" s="323">
        <f>SalesProj!AB62</f>
        <v>0</v>
      </c>
      <c r="AA46" s="323">
        <f>SalesProj!AC62</f>
        <v>0</v>
      </c>
      <c r="AB46" s="323">
        <f>SalesProj!AD62</f>
        <v>0</v>
      </c>
      <c r="AC46" s="324">
        <f>SUM(Q46:AB46)</f>
        <v>0</v>
      </c>
      <c r="AE46" s="326">
        <f>SalesProj!AG62</f>
        <v>0</v>
      </c>
      <c r="AF46" s="323">
        <f>SalesProj!AH62</f>
        <v>0</v>
      </c>
      <c r="AG46" s="323">
        <f>SalesProj!AI62</f>
        <v>0</v>
      </c>
      <c r="AH46" s="323">
        <f>SalesProj!AJ62</f>
        <v>0</v>
      </c>
      <c r="AI46" s="330">
        <f>SUM(AE46:AH46)</f>
        <v>0</v>
      </c>
      <c r="AJ46" s="331"/>
      <c r="AK46" s="326">
        <f>SalesProj!AM62</f>
        <v>0</v>
      </c>
      <c r="AL46" s="391">
        <f>SalesProj!AN62</f>
        <v>0</v>
      </c>
      <c r="AM46" s="391">
        <f>SalesProj!AO62</f>
        <v>0</v>
      </c>
      <c r="AN46" s="329">
        <f>SalesProj!AP62</f>
        <v>0</v>
      </c>
      <c r="AO46" s="332">
        <f>SUM(AK46:AN46)</f>
        <v>0</v>
      </c>
      <c r="AQ46" s="333">
        <f>SalesProj!AS62</f>
        <v>0</v>
      </c>
    </row>
    <row r="47" spans="1:43" ht="14.1" customHeight="1">
      <c r="A47" s="357"/>
      <c r="B47" s="334" t="s">
        <v>251</v>
      </c>
      <c r="C47" s="146">
        <v>0</v>
      </c>
      <c r="D47" s="146">
        <f>C47</f>
        <v>0</v>
      </c>
      <c r="E47" s="146">
        <f t="shared" ref="E47:N47" si="57">D47</f>
        <v>0</v>
      </c>
      <c r="F47" s="146">
        <f t="shared" si="57"/>
        <v>0</v>
      </c>
      <c r="G47" s="146">
        <f t="shared" si="57"/>
        <v>0</v>
      </c>
      <c r="H47" s="146">
        <f t="shared" si="57"/>
        <v>0</v>
      </c>
      <c r="I47" s="146">
        <f t="shared" si="57"/>
        <v>0</v>
      </c>
      <c r="J47" s="146">
        <f t="shared" si="57"/>
        <v>0</v>
      </c>
      <c r="K47" s="146">
        <f t="shared" si="57"/>
        <v>0</v>
      </c>
      <c r="L47" s="146">
        <f t="shared" si="57"/>
        <v>0</v>
      </c>
      <c r="M47" s="146">
        <f t="shared" si="57"/>
        <v>0</v>
      </c>
      <c r="N47" s="146">
        <f t="shared" si="57"/>
        <v>0</v>
      </c>
      <c r="O47" s="366">
        <f>SUM(C47:N47)</f>
        <v>0</v>
      </c>
      <c r="P47" s="367"/>
      <c r="Q47" s="146">
        <f>N47</f>
        <v>0</v>
      </c>
      <c r="R47" s="147">
        <f>Q47</f>
        <v>0</v>
      </c>
      <c r="S47" s="147">
        <f t="shared" ref="S47:AB47" si="58">R47</f>
        <v>0</v>
      </c>
      <c r="T47" s="147">
        <f t="shared" si="58"/>
        <v>0</v>
      </c>
      <c r="U47" s="147">
        <f t="shared" si="58"/>
        <v>0</v>
      </c>
      <c r="V47" s="147">
        <f t="shared" si="58"/>
        <v>0</v>
      </c>
      <c r="W47" s="147">
        <f t="shared" si="58"/>
        <v>0</v>
      </c>
      <c r="X47" s="147">
        <f t="shared" si="58"/>
        <v>0</v>
      </c>
      <c r="Y47" s="147">
        <f t="shared" si="58"/>
        <v>0</v>
      </c>
      <c r="Z47" s="147">
        <f t="shared" si="58"/>
        <v>0</v>
      </c>
      <c r="AA47" s="147">
        <f t="shared" si="58"/>
        <v>0</v>
      </c>
      <c r="AB47" s="147">
        <f t="shared" si="58"/>
        <v>0</v>
      </c>
      <c r="AC47" s="366">
        <f>SUM(Q47:AB47)</f>
        <v>0</v>
      </c>
      <c r="AD47" s="368"/>
      <c r="AE47" s="150">
        <f>AB47*3</f>
        <v>0</v>
      </c>
      <c r="AF47" s="147">
        <f t="shared" ref="AF47:AH50" si="59">AE47</f>
        <v>0</v>
      </c>
      <c r="AG47" s="147">
        <f t="shared" si="59"/>
        <v>0</v>
      </c>
      <c r="AH47" s="147">
        <f t="shared" si="59"/>
        <v>0</v>
      </c>
      <c r="AI47" s="369">
        <f>SUM(AE47:AH47)</f>
        <v>0</v>
      </c>
      <c r="AJ47" s="368"/>
      <c r="AK47" s="172">
        <f>AH47</f>
        <v>0</v>
      </c>
      <c r="AL47" s="152">
        <f t="shared" ref="AL47:AN50" si="60">AK47</f>
        <v>0</v>
      </c>
      <c r="AM47" s="152">
        <f t="shared" si="60"/>
        <v>0</v>
      </c>
      <c r="AN47" s="262">
        <f t="shared" si="60"/>
        <v>0</v>
      </c>
      <c r="AO47" s="370">
        <f>SUM(AK47:AN47)</f>
        <v>0</v>
      </c>
      <c r="AP47" s="368"/>
      <c r="AQ47" s="154">
        <f>AN47*4</f>
        <v>0</v>
      </c>
    </row>
    <row r="48" spans="1:43" ht="14.1" customHeight="1">
      <c r="A48" s="357"/>
      <c r="B48" s="334" t="s">
        <v>252</v>
      </c>
      <c r="C48" s="146">
        <v>0</v>
      </c>
      <c r="D48" s="146">
        <f t="shared" ref="D48:N48" si="61">C48</f>
        <v>0</v>
      </c>
      <c r="E48" s="146">
        <f t="shared" si="61"/>
        <v>0</v>
      </c>
      <c r="F48" s="146">
        <f t="shared" si="61"/>
        <v>0</v>
      </c>
      <c r="G48" s="146">
        <f t="shared" si="61"/>
        <v>0</v>
      </c>
      <c r="H48" s="146">
        <f t="shared" si="61"/>
        <v>0</v>
      </c>
      <c r="I48" s="146">
        <f t="shared" si="61"/>
        <v>0</v>
      </c>
      <c r="J48" s="146">
        <f t="shared" si="61"/>
        <v>0</v>
      </c>
      <c r="K48" s="146">
        <f t="shared" si="61"/>
        <v>0</v>
      </c>
      <c r="L48" s="146">
        <f t="shared" si="61"/>
        <v>0</v>
      </c>
      <c r="M48" s="146">
        <f t="shared" si="61"/>
        <v>0</v>
      </c>
      <c r="N48" s="146">
        <f t="shared" si="61"/>
        <v>0</v>
      </c>
      <c r="O48" s="371">
        <f>SUM(C48:N48)</f>
        <v>0</v>
      </c>
      <c r="P48" s="367"/>
      <c r="Q48" s="146">
        <f>N48</f>
        <v>0</v>
      </c>
      <c r="R48" s="147">
        <f t="shared" ref="R48:AB48" si="62">Q48</f>
        <v>0</v>
      </c>
      <c r="S48" s="147">
        <f t="shared" si="62"/>
        <v>0</v>
      </c>
      <c r="T48" s="147">
        <f t="shared" si="62"/>
        <v>0</v>
      </c>
      <c r="U48" s="147">
        <f t="shared" si="62"/>
        <v>0</v>
      </c>
      <c r="V48" s="147">
        <f t="shared" si="62"/>
        <v>0</v>
      </c>
      <c r="W48" s="147">
        <f t="shared" si="62"/>
        <v>0</v>
      </c>
      <c r="X48" s="147">
        <f t="shared" si="62"/>
        <v>0</v>
      </c>
      <c r="Y48" s="147">
        <f t="shared" si="62"/>
        <v>0</v>
      </c>
      <c r="Z48" s="147">
        <f t="shared" si="62"/>
        <v>0</v>
      </c>
      <c r="AA48" s="147">
        <f t="shared" si="62"/>
        <v>0</v>
      </c>
      <c r="AB48" s="147">
        <f t="shared" si="62"/>
        <v>0</v>
      </c>
      <c r="AC48" s="371">
        <f>SUM(Q48:AB48)</f>
        <v>0</v>
      </c>
      <c r="AD48" s="368"/>
      <c r="AE48" s="150">
        <f>AB48*3</f>
        <v>0</v>
      </c>
      <c r="AF48" s="147">
        <f t="shared" si="59"/>
        <v>0</v>
      </c>
      <c r="AG48" s="147">
        <f t="shared" si="59"/>
        <v>0</v>
      </c>
      <c r="AH48" s="147">
        <f t="shared" si="59"/>
        <v>0</v>
      </c>
      <c r="AI48" s="369">
        <f>SUM(AE48:AH48)</f>
        <v>0</v>
      </c>
      <c r="AJ48" s="368"/>
      <c r="AK48" s="172">
        <f>AH48</f>
        <v>0</v>
      </c>
      <c r="AL48" s="152">
        <f t="shared" si="60"/>
        <v>0</v>
      </c>
      <c r="AM48" s="152">
        <f t="shared" si="60"/>
        <v>0</v>
      </c>
      <c r="AN48" s="262">
        <f t="shared" si="60"/>
        <v>0</v>
      </c>
      <c r="AO48" s="370">
        <f>SUM(AK48:AN48)</f>
        <v>0</v>
      </c>
      <c r="AP48" s="368"/>
      <c r="AQ48" s="154">
        <f>AN48*4</f>
        <v>0</v>
      </c>
    </row>
    <row r="49" spans="1:43" ht="14.1" customHeight="1">
      <c r="A49" s="357"/>
      <c r="B49" s="334" t="s">
        <v>253</v>
      </c>
      <c r="C49" s="146">
        <v>0</v>
      </c>
      <c r="D49" s="146">
        <f t="shared" ref="D49:N49" si="63">C49</f>
        <v>0</v>
      </c>
      <c r="E49" s="146">
        <f t="shared" si="63"/>
        <v>0</v>
      </c>
      <c r="F49" s="146">
        <f t="shared" si="63"/>
        <v>0</v>
      </c>
      <c r="G49" s="146">
        <f t="shared" si="63"/>
        <v>0</v>
      </c>
      <c r="H49" s="146">
        <f t="shared" si="63"/>
        <v>0</v>
      </c>
      <c r="I49" s="146">
        <f t="shared" si="63"/>
        <v>0</v>
      </c>
      <c r="J49" s="146">
        <f t="shared" si="63"/>
        <v>0</v>
      </c>
      <c r="K49" s="146">
        <f t="shared" si="63"/>
        <v>0</v>
      </c>
      <c r="L49" s="146">
        <f t="shared" si="63"/>
        <v>0</v>
      </c>
      <c r="M49" s="146">
        <f t="shared" si="63"/>
        <v>0</v>
      </c>
      <c r="N49" s="146">
        <f t="shared" si="63"/>
        <v>0</v>
      </c>
      <c r="O49" s="366">
        <f>SUM(C49:N49)</f>
        <v>0</v>
      </c>
      <c r="P49" s="367"/>
      <c r="Q49" s="146">
        <f>N49</f>
        <v>0</v>
      </c>
      <c r="R49" s="147">
        <f t="shared" ref="R49:AB49" si="64">Q49</f>
        <v>0</v>
      </c>
      <c r="S49" s="147">
        <f t="shared" si="64"/>
        <v>0</v>
      </c>
      <c r="T49" s="147">
        <f t="shared" si="64"/>
        <v>0</v>
      </c>
      <c r="U49" s="147">
        <f t="shared" si="64"/>
        <v>0</v>
      </c>
      <c r="V49" s="147">
        <f t="shared" si="64"/>
        <v>0</v>
      </c>
      <c r="W49" s="147">
        <f t="shared" si="64"/>
        <v>0</v>
      </c>
      <c r="X49" s="147">
        <f t="shared" si="64"/>
        <v>0</v>
      </c>
      <c r="Y49" s="147">
        <f t="shared" si="64"/>
        <v>0</v>
      </c>
      <c r="Z49" s="147">
        <f t="shared" si="64"/>
        <v>0</v>
      </c>
      <c r="AA49" s="147">
        <f t="shared" si="64"/>
        <v>0</v>
      </c>
      <c r="AB49" s="147">
        <f t="shared" si="64"/>
        <v>0</v>
      </c>
      <c r="AC49" s="366">
        <f>SUM(Q49:AB49)</f>
        <v>0</v>
      </c>
      <c r="AD49" s="372"/>
      <c r="AE49" s="150">
        <f>AB49*3</f>
        <v>0</v>
      </c>
      <c r="AF49" s="147">
        <f t="shared" si="59"/>
        <v>0</v>
      </c>
      <c r="AG49" s="147">
        <f t="shared" si="59"/>
        <v>0</v>
      </c>
      <c r="AH49" s="147">
        <f t="shared" si="59"/>
        <v>0</v>
      </c>
      <c r="AI49" s="369">
        <f>SUM(AE49:AH49)</f>
        <v>0</v>
      </c>
      <c r="AJ49" s="372"/>
      <c r="AK49" s="172">
        <f>AH49</f>
        <v>0</v>
      </c>
      <c r="AL49" s="152">
        <f t="shared" si="60"/>
        <v>0</v>
      </c>
      <c r="AM49" s="152">
        <f t="shared" si="60"/>
        <v>0</v>
      </c>
      <c r="AN49" s="262">
        <f t="shared" si="60"/>
        <v>0</v>
      </c>
      <c r="AO49" s="370">
        <f>SUM(AK49:AN49)</f>
        <v>0</v>
      </c>
      <c r="AP49" s="372"/>
      <c r="AQ49" s="154">
        <f>AN49*4</f>
        <v>0</v>
      </c>
    </row>
    <row r="50" spans="1:43" ht="14.1" customHeight="1" thickBot="1">
      <c r="A50" s="357"/>
      <c r="B50" s="335" t="s">
        <v>254</v>
      </c>
      <c r="C50" s="315">
        <v>0</v>
      </c>
      <c r="D50" s="316">
        <f t="shared" ref="D50:N50" si="65">C50</f>
        <v>0</v>
      </c>
      <c r="E50" s="316">
        <f t="shared" si="65"/>
        <v>0</v>
      </c>
      <c r="F50" s="316">
        <f t="shared" si="65"/>
        <v>0</v>
      </c>
      <c r="G50" s="316">
        <f t="shared" si="65"/>
        <v>0</v>
      </c>
      <c r="H50" s="316">
        <f t="shared" si="65"/>
        <v>0</v>
      </c>
      <c r="I50" s="316">
        <f t="shared" si="65"/>
        <v>0</v>
      </c>
      <c r="J50" s="316">
        <f t="shared" si="65"/>
        <v>0</v>
      </c>
      <c r="K50" s="316">
        <f t="shared" si="65"/>
        <v>0</v>
      </c>
      <c r="L50" s="316">
        <f t="shared" si="65"/>
        <v>0</v>
      </c>
      <c r="M50" s="316">
        <f t="shared" si="65"/>
        <v>0</v>
      </c>
      <c r="N50" s="316">
        <f t="shared" si="65"/>
        <v>0</v>
      </c>
      <c r="O50" s="373">
        <f>SUM(C50:N50)</f>
        <v>0</v>
      </c>
      <c r="P50" s="367"/>
      <c r="Q50" s="317">
        <f>N50</f>
        <v>0</v>
      </c>
      <c r="R50" s="315">
        <f t="shared" ref="R50:AB50" si="66">Q50</f>
        <v>0</v>
      </c>
      <c r="S50" s="315">
        <f t="shared" si="66"/>
        <v>0</v>
      </c>
      <c r="T50" s="315">
        <f t="shared" si="66"/>
        <v>0</v>
      </c>
      <c r="U50" s="315">
        <f t="shared" si="66"/>
        <v>0</v>
      </c>
      <c r="V50" s="315">
        <f t="shared" si="66"/>
        <v>0</v>
      </c>
      <c r="W50" s="315">
        <f t="shared" si="66"/>
        <v>0</v>
      </c>
      <c r="X50" s="315">
        <f t="shared" si="66"/>
        <v>0</v>
      </c>
      <c r="Y50" s="315">
        <f t="shared" si="66"/>
        <v>0</v>
      </c>
      <c r="Z50" s="315">
        <f t="shared" si="66"/>
        <v>0</v>
      </c>
      <c r="AA50" s="315">
        <f t="shared" si="66"/>
        <v>0</v>
      </c>
      <c r="AB50" s="318">
        <f t="shared" si="66"/>
        <v>0</v>
      </c>
      <c r="AC50" s="373">
        <f>SUM(Q50:AB50)</f>
        <v>0</v>
      </c>
      <c r="AD50" s="372"/>
      <c r="AE50" s="317">
        <f>AB50*3</f>
        <v>0</v>
      </c>
      <c r="AF50" s="315">
        <f t="shared" si="59"/>
        <v>0</v>
      </c>
      <c r="AG50" s="315">
        <f t="shared" si="59"/>
        <v>0</v>
      </c>
      <c r="AH50" s="318">
        <f t="shared" si="59"/>
        <v>0</v>
      </c>
      <c r="AI50" s="373">
        <f>SUM(AE50:AH50)</f>
        <v>0</v>
      </c>
      <c r="AJ50" s="372"/>
      <c r="AK50" s="317">
        <f>AH50</f>
        <v>0</v>
      </c>
      <c r="AL50" s="315">
        <f t="shared" si="60"/>
        <v>0</v>
      </c>
      <c r="AM50" s="315">
        <f t="shared" si="60"/>
        <v>0</v>
      </c>
      <c r="AN50" s="318">
        <f t="shared" si="60"/>
        <v>0</v>
      </c>
      <c r="AO50" s="399">
        <f>SUM(AK50:AN50)</f>
        <v>0</v>
      </c>
      <c r="AP50" s="372"/>
      <c r="AQ50" s="319">
        <f>AN50*4</f>
        <v>0</v>
      </c>
    </row>
    <row r="51" spans="1:43" ht="14.1" customHeight="1" thickBot="1">
      <c r="B51" s="374" t="s">
        <v>255</v>
      </c>
      <c r="C51" s="375">
        <f t="shared" ref="C51:O51" si="67">SUM(C47:C50)</f>
        <v>0</v>
      </c>
      <c r="D51" s="376">
        <f t="shared" si="67"/>
        <v>0</v>
      </c>
      <c r="E51" s="376">
        <f t="shared" si="67"/>
        <v>0</v>
      </c>
      <c r="F51" s="376">
        <f t="shared" si="67"/>
        <v>0</v>
      </c>
      <c r="G51" s="376">
        <f t="shared" si="67"/>
        <v>0</v>
      </c>
      <c r="H51" s="376">
        <f t="shared" si="67"/>
        <v>0</v>
      </c>
      <c r="I51" s="376">
        <f t="shared" si="67"/>
        <v>0</v>
      </c>
      <c r="J51" s="376">
        <f t="shared" si="67"/>
        <v>0</v>
      </c>
      <c r="K51" s="376">
        <f t="shared" si="67"/>
        <v>0</v>
      </c>
      <c r="L51" s="376">
        <f t="shared" si="67"/>
        <v>0</v>
      </c>
      <c r="M51" s="376">
        <f t="shared" si="67"/>
        <v>0</v>
      </c>
      <c r="N51" s="376">
        <f t="shared" si="67"/>
        <v>0</v>
      </c>
      <c r="O51" s="377">
        <f t="shared" si="67"/>
        <v>0</v>
      </c>
      <c r="P51" s="367"/>
      <c r="Q51" s="376">
        <f t="shared" ref="Q51:AC51" si="68">SUM(Q47:Q50)</f>
        <v>0</v>
      </c>
      <c r="R51" s="376">
        <f t="shared" si="68"/>
        <v>0</v>
      </c>
      <c r="S51" s="376">
        <f t="shared" si="68"/>
        <v>0</v>
      </c>
      <c r="T51" s="376">
        <f t="shared" si="68"/>
        <v>0</v>
      </c>
      <c r="U51" s="376">
        <f t="shared" si="68"/>
        <v>0</v>
      </c>
      <c r="V51" s="376">
        <f t="shared" si="68"/>
        <v>0</v>
      </c>
      <c r="W51" s="376">
        <f t="shared" si="68"/>
        <v>0</v>
      </c>
      <c r="X51" s="376">
        <f t="shared" si="68"/>
        <v>0</v>
      </c>
      <c r="Y51" s="376">
        <f t="shared" si="68"/>
        <v>0</v>
      </c>
      <c r="Z51" s="376">
        <f t="shared" si="68"/>
        <v>0</v>
      </c>
      <c r="AA51" s="376">
        <f t="shared" si="68"/>
        <v>0</v>
      </c>
      <c r="AB51" s="376">
        <f t="shared" si="68"/>
        <v>0</v>
      </c>
      <c r="AC51" s="377">
        <f t="shared" si="68"/>
        <v>0</v>
      </c>
      <c r="AD51" s="372"/>
      <c r="AE51" s="376">
        <f>SUM(AE47:AE50)</f>
        <v>0</v>
      </c>
      <c r="AF51" s="376">
        <f>SUM(AF47:AF50)</f>
        <v>0</v>
      </c>
      <c r="AG51" s="376">
        <f>SUM(AG47:AG50)</f>
        <v>0</v>
      </c>
      <c r="AH51" s="376">
        <f>SUM(AH47:AH50)</f>
        <v>0</v>
      </c>
      <c r="AI51" s="377">
        <f>SUM(AI47:AI50)</f>
        <v>0</v>
      </c>
      <c r="AJ51" s="372"/>
      <c r="AK51" s="396">
        <f>SUM(AK47:AK50)</f>
        <v>0</v>
      </c>
      <c r="AL51" s="397">
        <f>SUM(AL47:AL50)</f>
        <v>0</v>
      </c>
      <c r="AM51" s="397">
        <f>SUM(AM47:AM50)</f>
        <v>0</v>
      </c>
      <c r="AN51" s="385">
        <f>SUM(AN47:AN50)</f>
        <v>0</v>
      </c>
      <c r="AO51" s="400">
        <f>SUM(AO47:AO50)</f>
        <v>0</v>
      </c>
      <c r="AP51" s="372"/>
      <c r="AQ51" s="377">
        <f>SUM(AQ47:AQ50)</f>
        <v>0</v>
      </c>
    </row>
    <row r="52" spans="1:43" s="110" customFormat="1" ht="13.5" customHeight="1">
      <c r="A52" s="108"/>
      <c r="B52" s="354"/>
      <c r="C52" s="108"/>
      <c r="D52" s="108"/>
      <c r="E52" s="108"/>
      <c r="F52" s="108"/>
      <c r="G52" s="108"/>
      <c r="H52" s="108"/>
      <c r="I52" s="108"/>
      <c r="J52" s="108"/>
      <c r="K52" s="108"/>
      <c r="L52" s="108"/>
      <c r="M52" s="108"/>
      <c r="O52" s="355"/>
      <c r="P52" s="347"/>
      <c r="Q52" s="108"/>
      <c r="R52" s="108"/>
      <c r="S52" s="108"/>
      <c r="T52" s="108"/>
      <c r="U52" s="108"/>
      <c r="V52" s="108"/>
      <c r="W52" s="108"/>
      <c r="X52" s="108"/>
      <c r="Y52" s="108"/>
      <c r="Z52" s="108"/>
      <c r="AA52" s="108"/>
      <c r="AC52" s="355"/>
      <c r="AE52" s="356"/>
      <c r="AF52" s="108"/>
      <c r="AG52" s="108"/>
      <c r="AI52" s="355"/>
      <c r="AK52" s="356"/>
      <c r="AL52" s="378"/>
      <c r="AM52" s="378"/>
      <c r="AN52" s="402"/>
      <c r="AO52" s="347"/>
      <c r="AQ52" s="355"/>
    </row>
    <row r="53" spans="1:43" ht="14.1" customHeight="1">
      <c r="A53" s="357"/>
      <c r="B53" s="358" t="str">
        <f>SalesProj!B65</f>
        <v>Product Line 7</v>
      </c>
      <c r="C53" s="359"/>
      <c r="D53" s="359"/>
      <c r="E53" s="359"/>
      <c r="F53" s="359"/>
      <c r="G53" s="359"/>
      <c r="H53" s="360"/>
      <c r="I53" s="360"/>
      <c r="J53" s="360"/>
      <c r="K53" s="360"/>
      <c r="L53" s="360"/>
      <c r="M53" s="360"/>
      <c r="N53" s="361"/>
      <c r="O53" s="362"/>
      <c r="P53" s="325"/>
      <c r="Q53" s="359"/>
      <c r="R53" s="359"/>
      <c r="S53" s="359"/>
      <c r="T53" s="359"/>
      <c r="U53" s="359"/>
      <c r="V53" s="360"/>
      <c r="W53" s="360"/>
      <c r="X53" s="360"/>
      <c r="Y53" s="360"/>
      <c r="Z53" s="360"/>
      <c r="AA53" s="360"/>
      <c r="AB53" s="361"/>
      <c r="AC53" s="362"/>
      <c r="AE53" s="393"/>
      <c r="AF53" s="360"/>
      <c r="AG53" s="360"/>
      <c r="AH53" s="361"/>
      <c r="AI53" s="364"/>
      <c r="AK53" s="363"/>
      <c r="AL53" s="398"/>
      <c r="AM53" s="398"/>
      <c r="AN53" s="403"/>
      <c r="AO53" s="401"/>
      <c r="AQ53" s="362"/>
    </row>
    <row r="54" spans="1:43" ht="14.1" customHeight="1">
      <c r="B54" s="322" t="s">
        <v>256</v>
      </c>
      <c r="C54" s="323">
        <f>SalesProj!E72</f>
        <v>0</v>
      </c>
      <c r="D54" s="323">
        <f>SalesProj!F72</f>
        <v>0</v>
      </c>
      <c r="E54" s="323">
        <f>SalesProj!G72</f>
        <v>0</v>
      </c>
      <c r="F54" s="323">
        <f>SalesProj!H72</f>
        <v>0</v>
      </c>
      <c r="G54" s="323">
        <f>SalesProj!I72</f>
        <v>0</v>
      </c>
      <c r="H54" s="323">
        <f>SalesProj!J72</f>
        <v>0</v>
      </c>
      <c r="I54" s="323">
        <f>SalesProj!K72</f>
        <v>0</v>
      </c>
      <c r="J54" s="323">
        <f>SalesProj!L72</f>
        <v>0</v>
      </c>
      <c r="K54" s="323">
        <f>SalesProj!M72</f>
        <v>0</v>
      </c>
      <c r="L54" s="323">
        <f>SalesProj!N72</f>
        <v>0</v>
      </c>
      <c r="M54" s="323">
        <f>SalesProj!O72</f>
        <v>0</v>
      </c>
      <c r="N54" s="323">
        <f>SalesProj!P72</f>
        <v>0</v>
      </c>
      <c r="O54" s="324">
        <f>SUM(C54:N54)</f>
        <v>0</v>
      </c>
      <c r="P54" s="325"/>
      <c r="Q54" s="323">
        <f>SalesProj!S72</f>
        <v>0</v>
      </c>
      <c r="R54" s="323">
        <f>SalesProj!T72</f>
        <v>0</v>
      </c>
      <c r="S54" s="323">
        <f>SalesProj!U72</f>
        <v>0</v>
      </c>
      <c r="T54" s="323">
        <f>SalesProj!V72</f>
        <v>0</v>
      </c>
      <c r="U54" s="323">
        <f>SalesProj!W72</f>
        <v>0</v>
      </c>
      <c r="V54" s="323">
        <f>SalesProj!X72</f>
        <v>0</v>
      </c>
      <c r="W54" s="323">
        <f>SalesProj!Y72</f>
        <v>0</v>
      </c>
      <c r="X54" s="323">
        <f>SalesProj!Z72</f>
        <v>0</v>
      </c>
      <c r="Y54" s="323">
        <f>SalesProj!AA72</f>
        <v>0</v>
      </c>
      <c r="Z54" s="323">
        <f>SalesProj!AB72</f>
        <v>0</v>
      </c>
      <c r="AA54" s="323">
        <f>SalesProj!AC72</f>
        <v>0</v>
      </c>
      <c r="AB54" s="323">
        <f>SalesProj!AD72</f>
        <v>0</v>
      </c>
      <c r="AC54" s="324">
        <f>SUM(Q54:AB54)</f>
        <v>0</v>
      </c>
      <c r="AE54" s="326">
        <f>SalesProj!AG72</f>
        <v>0</v>
      </c>
      <c r="AF54" s="391">
        <f>SalesProj!AH72</f>
        <v>0</v>
      </c>
      <c r="AG54" s="391">
        <f>SalesProj!AI72</f>
        <v>0</v>
      </c>
      <c r="AH54" s="323">
        <f>SalesProj!AJ72</f>
        <v>0</v>
      </c>
      <c r="AI54" s="330">
        <f>SUM(AE54:AH54)</f>
        <v>0</v>
      </c>
      <c r="AJ54" s="331"/>
      <c r="AK54" s="326">
        <f>SalesProj!AM72</f>
        <v>0</v>
      </c>
      <c r="AL54" s="391">
        <f>SalesProj!AN72</f>
        <v>0</v>
      </c>
      <c r="AM54" s="391">
        <f>SalesProj!AO72</f>
        <v>0</v>
      </c>
      <c r="AN54" s="329">
        <f>SalesProj!AP72</f>
        <v>0</v>
      </c>
      <c r="AO54" s="332">
        <f>SUM(AK54:AN54)</f>
        <v>0</v>
      </c>
      <c r="AQ54" s="333">
        <f>SalesProj!AS72</f>
        <v>0</v>
      </c>
    </row>
    <row r="55" spans="1:43" ht="14.1" customHeight="1">
      <c r="A55" s="357"/>
      <c r="B55" s="334" t="s">
        <v>251</v>
      </c>
      <c r="C55" s="146">
        <v>0</v>
      </c>
      <c r="D55" s="146">
        <f>C55</f>
        <v>0</v>
      </c>
      <c r="E55" s="146">
        <f t="shared" ref="E55:N55" si="69">D55</f>
        <v>0</v>
      </c>
      <c r="F55" s="146">
        <f t="shared" si="69"/>
        <v>0</v>
      </c>
      <c r="G55" s="146">
        <f t="shared" si="69"/>
        <v>0</v>
      </c>
      <c r="H55" s="146">
        <f t="shared" si="69"/>
        <v>0</v>
      </c>
      <c r="I55" s="146">
        <f t="shared" si="69"/>
        <v>0</v>
      </c>
      <c r="J55" s="146">
        <f t="shared" si="69"/>
        <v>0</v>
      </c>
      <c r="K55" s="146">
        <f t="shared" si="69"/>
        <v>0</v>
      </c>
      <c r="L55" s="146">
        <f t="shared" si="69"/>
        <v>0</v>
      </c>
      <c r="M55" s="146">
        <f t="shared" si="69"/>
        <v>0</v>
      </c>
      <c r="N55" s="146">
        <f t="shared" si="69"/>
        <v>0</v>
      </c>
      <c r="O55" s="366">
        <f>SUM(C55:N55)</f>
        <v>0</v>
      </c>
      <c r="P55" s="367"/>
      <c r="Q55" s="146">
        <f>N55</f>
        <v>0</v>
      </c>
      <c r="R55" s="147">
        <f>Q55</f>
        <v>0</v>
      </c>
      <c r="S55" s="147">
        <f t="shared" ref="S55:AB55" si="70">R55</f>
        <v>0</v>
      </c>
      <c r="T55" s="147">
        <f t="shared" si="70"/>
        <v>0</v>
      </c>
      <c r="U55" s="147">
        <f t="shared" si="70"/>
        <v>0</v>
      </c>
      <c r="V55" s="147">
        <f t="shared" si="70"/>
        <v>0</v>
      </c>
      <c r="W55" s="147">
        <f t="shared" si="70"/>
        <v>0</v>
      </c>
      <c r="X55" s="147">
        <f t="shared" si="70"/>
        <v>0</v>
      </c>
      <c r="Y55" s="147">
        <f t="shared" si="70"/>
        <v>0</v>
      </c>
      <c r="Z55" s="147">
        <f t="shared" si="70"/>
        <v>0</v>
      </c>
      <c r="AA55" s="147">
        <f t="shared" si="70"/>
        <v>0</v>
      </c>
      <c r="AB55" s="147">
        <f t="shared" si="70"/>
        <v>0</v>
      </c>
      <c r="AC55" s="366">
        <f>SUM(Q55:AB55)</f>
        <v>0</v>
      </c>
      <c r="AD55" s="368"/>
      <c r="AE55" s="150">
        <f>AB55*3</f>
        <v>0</v>
      </c>
      <c r="AF55" s="147">
        <f t="shared" ref="AF55:AH58" si="71">AE55</f>
        <v>0</v>
      </c>
      <c r="AG55" s="147">
        <f t="shared" si="71"/>
        <v>0</v>
      </c>
      <c r="AH55" s="147">
        <f t="shared" si="71"/>
        <v>0</v>
      </c>
      <c r="AI55" s="369">
        <f>SUM(AE55:AH55)</f>
        <v>0</v>
      </c>
      <c r="AJ55" s="368"/>
      <c r="AK55" s="172">
        <f>AH55</f>
        <v>0</v>
      </c>
      <c r="AL55" s="152">
        <f t="shared" ref="AL55:AN58" si="72">AK55</f>
        <v>0</v>
      </c>
      <c r="AM55" s="152">
        <f t="shared" si="72"/>
        <v>0</v>
      </c>
      <c r="AN55" s="262">
        <f t="shared" si="72"/>
        <v>0</v>
      </c>
      <c r="AO55" s="370">
        <f>SUM(AK55:AN55)</f>
        <v>0</v>
      </c>
      <c r="AP55" s="368"/>
      <c r="AQ55" s="154">
        <f>AN55*4</f>
        <v>0</v>
      </c>
    </row>
    <row r="56" spans="1:43" ht="14.1" customHeight="1">
      <c r="A56" s="357"/>
      <c r="B56" s="334" t="s">
        <v>252</v>
      </c>
      <c r="C56" s="146">
        <v>0</v>
      </c>
      <c r="D56" s="146">
        <f t="shared" ref="D56:N56" si="73">C56</f>
        <v>0</v>
      </c>
      <c r="E56" s="146">
        <f t="shared" si="73"/>
        <v>0</v>
      </c>
      <c r="F56" s="146">
        <f t="shared" si="73"/>
        <v>0</v>
      </c>
      <c r="G56" s="146">
        <f t="shared" si="73"/>
        <v>0</v>
      </c>
      <c r="H56" s="146">
        <f t="shared" si="73"/>
        <v>0</v>
      </c>
      <c r="I56" s="146">
        <f t="shared" si="73"/>
        <v>0</v>
      </c>
      <c r="J56" s="146">
        <f t="shared" si="73"/>
        <v>0</v>
      </c>
      <c r="K56" s="146">
        <f t="shared" si="73"/>
        <v>0</v>
      </c>
      <c r="L56" s="146">
        <f t="shared" si="73"/>
        <v>0</v>
      </c>
      <c r="M56" s="146">
        <f t="shared" si="73"/>
        <v>0</v>
      </c>
      <c r="N56" s="146">
        <f t="shared" si="73"/>
        <v>0</v>
      </c>
      <c r="O56" s="371">
        <f>SUM(C56:N56)</f>
        <v>0</v>
      </c>
      <c r="P56" s="367"/>
      <c r="Q56" s="146">
        <f>N56</f>
        <v>0</v>
      </c>
      <c r="R56" s="147">
        <f t="shared" ref="R56:AB56" si="74">Q56</f>
        <v>0</v>
      </c>
      <c r="S56" s="147">
        <f t="shared" si="74"/>
        <v>0</v>
      </c>
      <c r="T56" s="147">
        <f t="shared" si="74"/>
        <v>0</v>
      </c>
      <c r="U56" s="147">
        <f t="shared" si="74"/>
        <v>0</v>
      </c>
      <c r="V56" s="147">
        <f t="shared" si="74"/>
        <v>0</v>
      </c>
      <c r="W56" s="147">
        <f t="shared" si="74"/>
        <v>0</v>
      </c>
      <c r="X56" s="147">
        <f t="shared" si="74"/>
        <v>0</v>
      </c>
      <c r="Y56" s="147">
        <f t="shared" si="74"/>
        <v>0</v>
      </c>
      <c r="Z56" s="147">
        <f t="shared" si="74"/>
        <v>0</v>
      </c>
      <c r="AA56" s="147">
        <f t="shared" si="74"/>
        <v>0</v>
      </c>
      <c r="AB56" s="147">
        <f t="shared" si="74"/>
        <v>0</v>
      </c>
      <c r="AC56" s="371">
        <f>SUM(Q56:AB56)</f>
        <v>0</v>
      </c>
      <c r="AD56" s="368"/>
      <c r="AE56" s="150">
        <f>AB56*3</f>
        <v>0</v>
      </c>
      <c r="AF56" s="147">
        <f t="shared" si="71"/>
        <v>0</v>
      </c>
      <c r="AG56" s="147">
        <f t="shared" si="71"/>
        <v>0</v>
      </c>
      <c r="AH56" s="147">
        <f t="shared" si="71"/>
        <v>0</v>
      </c>
      <c r="AI56" s="369">
        <f>SUM(AE56:AH56)</f>
        <v>0</v>
      </c>
      <c r="AJ56" s="368"/>
      <c r="AK56" s="172">
        <f>AH56</f>
        <v>0</v>
      </c>
      <c r="AL56" s="152">
        <f t="shared" si="72"/>
        <v>0</v>
      </c>
      <c r="AM56" s="152">
        <f t="shared" si="72"/>
        <v>0</v>
      </c>
      <c r="AN56" s="262">
        <f t="shared" si="72"/>
        <v>0</v>
      </c>
      <c r="AO56" s="370">
        <f>SUM(AK56:AN56)</f>
        <v>0</v>
      </c>
      <c r="AP56" s="368"/>
      <c r="AQ56" s="154">
        <f>AN56*4</f>
        <v>0</v>
      </c>
    </row>
    <row r="57" spans="1:43" ht="14.1" customHeight="1">
      <c r="A57" s="357"/>
      <c r="B57" s="334" t="s">
        <v>253</v>
      </c>
      <c r="C57" s="146">
        <v>0</v>
      </c>
      <c r="D57" s="146">
        <f t="shared" ref="D57:N57" si="75">C57</f>
        <v>0</v>
      </c>
      <c r="E57" s="146">
        <f t="shared" si="75"/>
        <v>0</v>
      </c>
      <c r="F57" s="146">
        <f t="shared" si="75"/>
        <v>0</v>
      </c>
      <c r="G57" s="146">
        <f t="shared" si="75"/>
        <v>0</v>
      </c>
      <c r="H57" s="146">
        <f t="shared" si="75"/>
        <v>0</v>
      </c>
      <c r="I57" s="146">
        <f t="shared" si="75"/>
        <v>0</v>
      </c>
      <c r="J57" s="146">
        <f t="shared" si="75"/>
        <v>0</v>
      </c>
      <c r="K57" s="146">
        <f t="shared" si="75"/>
        <v>0</v>
      </c>
      <c r="L57" s="146">
        <f t="shared" si="75"/>
        <v>0</v>
      </c>
      <c r="M57" s="146">
        <f t="shared" si="75"/>
        <v>0</v>
      </c>
      <c r="N57" s="146">
        <f t="shared" si="75"/>
        <v>0</v>
      </c>
      <c r="O57" s="366">
        <f>SUM(C57:N57)</f>
        <v>0</v>
      </c>
      <c r="P57" s="367"/>
      <c r="Q57" s="146">
        <f>N57</f>
        <v>0</v>
      </c>
      <c r="R57" s="147">
        <f t="shared" ref="R57:AB57" si="76">Q57</f>
        <v>0</v>
      </c>
      <c r="S57" s="147">
        <f t="shared" si="76"/>
        <v>0</v>
      </c>
      <c r="T57" s="147">
        <f t="shared" si="76"/>
        <v>0</v>
      </c>
      <c r="U57" s="147">
        <f t="shared" si="76"/>
        <v>0</v>
      </c>
      <c r="V57" s="147">
        <f t="shared" si="76"/>
        <v>0</v>
      </c>
      <c r="W57" s="147">
        <f t="shared" si="76"/>
        <v>0</v>
      </c>
      <c r="X57" s="147">
        <f t="shared" si="76"/>
        <v>0</v>
      </c>
      <c r="Y57" s="147">
        <f t="shared" si="76"/>
        <v>0</v>
      </c>
      <c r="Z57" s="147">
        <f t="shared" si="76"/>
        <v>0</v>
      </c>
      <c r="AA57" s="147">
        <f t="shared" si="76"/>
        <v>0</v>
      </c>
      <c r="AB57" s="147">
        <f t="shared" si="76"/>
        <v>0</v>
      </c>
      <c r="AC57" s="366">
        <f>SUM(Q57:AB57)</f>
        <v>0</v>
      </c>
      <c r="AD57" s="372"/>
      <c r="AE57" s="150">
        <f>AB57*3</f>
        <v>0</v>
      </c>
      <c r="AF57" s="147">
        <f t="shared" si="71"/>
        <v>0</v>
      </c>
      <c r="AG57" s="147">
        <f t="shared" si="71"/>
        <v>0</v>
      </c>
      <c r="AH57" s="147">
        <f t="shared" si="71"/>
        <v>0</v>
      </c>
      <c r="AI57" s="369">
        <f>SUM(AE57:AH57)</f>
        <v>0</v>
      </c>
      <c r="AJ57" s="372"/>
      <c r="AK57" s="172">
        <f>AH57</f>
        <v>0</v>
      </c>
      <c r="AL57" s="152">
        <f t="shared" si="72"/>
        <v>0</v>
      </c>
      <c r="AM57" s="152">
        <f t="shared" si="72"/>
        <v>0</v>
      </c>
      <c r="AN57" s="262">
        <f t="shared" si="72"/>
        <v>0</v>
      </c>
      <c r="AO57" s="370">
        <f>SUM(AK57:AN57)</f>
        <v>0</v>
      </c>
      <c r="AP57" s="372"/>
      <c r="AQ57" s="154">
        <f>AN57*4</f>
        <v>0</v>
      </c>
    </row>
    <row r="58" spans="1:43" ht="14.1" customHeight="1" thickBot="1">
      <c r="A58" s="357"/>
      <c r="B58" s="335" t="s">
        <v>254</v>
      </c>
      <c r="C58" s="315">
        <v>0</v>
      </c>
      <c r="D58" s="316">
        <f t="shared" ref="D58:N58" si="77">C58</f>
        <v>0</v>
      </c>
      <c r="E58" s="316">
        <f t="shared" si="77"/>
        <v>0</v>
      </c>
      <c r="F58" s="316">
        <f t="shared" si="77"/>
        <v>0</v>
      </c>
      <c r="G58" s="316">
        <f t="shared" si="77"/>
        <v>0</v>
      </c>
      <c r="H58" s="316">
        <f t="shared" si="77"/>
        <v>0</v>
      </c>
      <c r="I58" s="316">
        <f t="shared" si="77"/>
        <v>0</v>
      </c>
      <c r="J58" s="316">
        <f t="shared" si="77"/>
        <v>0</v>
      </c>
      <c r="K58" s="316">
        <f t="shared" si="77"/>
        <v>0</v>
      </c>
      <c r="L58" s="316">
        <f t="shared" si="77"/>
        <v>0</v>
      </c>
      <c r="M58" s="316">
        <f t="shared" si="77"/>
        <v>0</v>
      </c>
      <c r="N58" s="316">
        <f t="shared" si="77"/>
        <v>0</v>
      </c>
      <c r="O58" s="373">
        <f>SUM(C58:N58)</f>
        <v>0</v>
      </c>
      <c r="P58" s="367"/>
      <c r="Q58" s="317">
        <f>N58</f>
        <v>0</v>
      </c>
      <c r="R58" s="315">
        <f t="shared" ref="R58:AB58" si="78">Q58</f>
        <v>0</v>
      </c>
      <c r="S58" s="315">
        <f t="shared" si="78"/>
        <v>0</v>
      </c>
      <c r="T58" s="315">
        <f t="shared" si="78"/>
        <v>0</v>
      </c>
      <c r="U58" s="315">
        <f t="shared" si="78"/>
        <v>0</v>
      </c>
      <c r="V58" s="315">
        <f t="shared" si="78"/>
        <v>0</v>
      </c>
      <c r="W58" s="315">
        <f t="shared" si="78"/>
        <v>0</v>
      </c>
      <c r="X58" s="315">
        <f t="shared" si="78"/>
        <v>0</v>
      </c>
      <c r="Y58" s="315">
        <f t="shared" si="78"/>
        <v>0</v>
      </c>
      <c r="Z58" s="315">
        <f t="shared" si="78"/>
        <v>0</v>
      </c>
      <c r="AA58" s="315">
        <f t="shared" si="78"/>
        <v>0</v>
      </c>
      <c r="AB58" s="318">
        <f t="shared" si="78"/>
        <v>0</v>
      </c>
      <c r="AC58" s="373">
        <f>SUM(Q58:AB58)</f>
        <v>0</v>
      </c>
      <c r="AD58" s="372"/>
      <c r="AE58" s="317">
        <f>AB58*3</f>
        <v>0</v>
      </c>
      <c r="AF58" s="315">
        <f t="shared" si="71"/>
        <v>0</v>
      </c>
      <c r="AG58" s="315">
        <f t="shared" si="71"/>
        <v>0</v>
      </c>
      <c r="AH58" s="318">
        <f t="shared" si="71"/>
        <v>0</v>
      </c>
      <c r="AI58" s="373">
        <f>SUM(AE58:AH58)</f>
        <v>0</v>
      </c>
      <c r="AJ58" s="372"/>
      <c r="AK58" s="317">
        <f>AH58</f>
        <v>0</v>
      </c>
      <c r="AL58" s="315">
        <f t="shared" si="72"/>
        <v>0</v>
      </c>
      <c r="AM58" s="315">
        <f t="shared" si="72"/>
        <v>0</v>
      </c>
      <c r="AN58" s="318">
        <f t="shared" si="72"/>
        <v>0</v>
      </c>
      <c r="AO58" s="399">
        <f>SUM(AK58:AN58)</f>
        <v>0</v>
      </c>
      <c r="AP58" s="372"/>
      <c r="AQ58" s="319">
        <f>AN58*4</f>
        <v>0</v>
      </c>
    </row>
    <row r="59" spans="1:43" ht="14.1" customHeight="1" thickBot="1">
      <c r="B59" s="374" t="s">
        <v>255</v>
      </c>
      <c r="C59" s="375">
        <f t="shared" ref="C59:O59" si="79">SUM(C55:C58)</f>
        <v>0</v>
      </c>
      <c r="D59" s="376">
        <f t="shared" si="79"/>
        <v>0</v>
      </c>
      <c r="E59" s="376">
        <f t="shared" si="79"/>
        <v>0</v>
      </c>
      <c r="F59" s="376">
        <f t="shared" si="79"/>
        <v>0</v>
      </c>
      <c r="G59" s="376">
        <f t="shared" si="79"/>
        <v>0</v>
      </c>
      <c r="H59" s="376">
        <f t="shared" si="79"/>
        <v>0</v>
      </c>
      <c r="I59" s="376">
        <f t="shared" si="79"/>
        <v>0</v>
      </c>
      <c r="J59" s="376">
        <f t="shared" si="79"/>
        <v>0</v>
      </c>
      <c r="K59" s="376">
        <f t="shared" si="79"/>
        <v>0</v>
      </c>
      <c r="L59" s="376">
        <f t="shared" si="79"/>
        <v>0</v>
      </c>
      <c r="M59" s="376">
        <f t="shared" si="79"/>
        <v>0</v>
      </c>
      <c r="N59" s="376">
        <f t="shared" si="79"/>
        <v>0</v>
      </c>
      <c r="O59" s="377">
        <f t="shared" si="79"/>
        <v>0</v>
      </c>
      <c r="P59" s="367"/>
      <c r="Q59" s="376">
        <f t="shared" ref="Q59:AC59" si="80">SUM(Q55:Q58)</f>
        <v>0</v>
      </c>
      <c r="R59" s="376">
        <f t="shared" si="80"/>
        <v>0</v>
      </c>
      <c r="S59" s="376">
        <f t="shared" si="80"/>
        <v>0</v>
      </c>
      <c r="T59" s="376">
        <f t="shared" si="80"/>
        <v>0</v>
      </c>
      <c r="U59" s="376">
        <f t="shared" si="80"/>
        <v>0</v>
      </c>
      <c r="V59" s="376">
        <f t="shared" si="80"/>
        <v>0</v>
      </c>
      <c r="W59" s="376">
        <f t="shared" si="80"/>
        <v>0</v>
      </c>
      <c r="X59" s="376">
        <f t="shared" si="80"/>
        <v>0</v>
      </c>
      <c r="Y59" s="376">
        <f t="shared" si="80"/>
        <v>0</v>
      </c>
      <c r="Z59" s="376">
        <f t="shared" si="80"/>
        <v>0</v>
      </c>
      <c r="AA59" s="376">
        <f t="shared" si="80"/>
        <v>0</v>
      </c>
      <c r="AB59" s="376">
        <f t="shared" si="80"/>
        <v>0</v>
      </c>
      <c r="AC59" s="377">
        <f t="shared" si="80"/>
        <v>0</v>
      </c>
      <c r="AD59" s="372"/>
      <c r="AE59" s="376">
        <f>SUM(AE55:AE58)</f>
        <v>0</v>
      </c>
      <c r="AF59" s="376">
        <f>SUM(AF55:AF58)</f>
        <v>0</v>
      </c>
      <c r="AG59" s="376">
        <f>SUM(AG55:AG58)</f>
        <v>0</v>
      </c>
      <c r="AH59" s="376">
        <f>SUM(AH55:AH58)</f>
        <v>0</v>
      </c>
      <c r="AI59" s="377">
        <f>SUM(AI55:AI58)</f>
        <v>0</v>
      </c>
      <c r="AJ59" s="372"/>
      <c r="AK59" s="396">
        <f>SUM(AK55:AK58)</f>
        <v>0</v>
      </c>
      <c r="AL59" s="397">
        <f>SUM(AL55:AL58)</f>
        <v>0</v>
      </c>
      <c r="AM59" s="397">
        <f>SUM(AM55:AM58)</f>
        <v>0</v>
      </c>
      <c r="AN59" s="385">
        <f>SUM(AN55:AN58)</f>
        <v>0</v>
      </c>
      <c r="AO59" s="400">
        <f>SUM(AO55:AO58)</f>
        <v>0</v>
      </c>
      <c r="AP59" s="372"/>
      <c r="AQ59" s="377">
        <f>SUM(AQ55:AQ58)</f>
        <v>0</v>
      </c>
    </row>
    <row r="60" spans="1:43" s="110" customFormat="1" ht="13.5" customHeight="1">
      <c r="A60" s="108"/>
      <c r="B60" s="354"/>
      <c r="C60" s="108"/>
      <c r="D60" s="108"/>
      <c r="E60" s="108"/>
      <c r="F60" s="108"/>
      <c r="G60" s="108"/>
      <c r="H60" s="108"/>
      <c r="I60" s="108"/>
      <c r="J60" s="108"/>
      <c r="K60" s="108"/>
      <c r="L60" s="108"/>
      <c r="M60" s="108"/>
      <c r="O60" s="355"/>
      <c r="P60" s="347"/>
      <c r="Q60" s="108"/>
      <c r="R60" s="108"/>
      <c r="S60" s="108"/>
      <c r="T60" s="108"/>
      <c r="U60" s="108"/>
      <c r="V60" s="108"/>
      <c r="W60" s="108"/>
      <c r="X60" s="108"/>
      <c r="Y60" s="108"/>
      <c r="Z60" s="108"/>
      <c r="AA60" s="108"/>
      <c r="AC60" s="355"/>
      <c r="AE60" s="356"/>
      <c r="AF60" s="108"/>
      <c r="AG60" s="108"/>
      <c r="AI60" s="355"/>
      <c r="AK60" s="356"/>
      <c r="AL60" s="378"/>
      <c r="AM60" s="378"/>
      <c r="AN60" s="402"/>
      <c r="AO60" s="347"/>
      <c r="AQ60" s="355"/>
    </row>
    <row r="61" spans="1:43" ht="14.1" customHeight="1">
      <c r="A61" s="357"/>
      <c r="B61" s="358" t="str">
        <f>SalesProj!B75</f>
        <v>Product Line 8</v>
      </c>
      <c r="C61" s="359"/>
      <c r="D61" s="359"/>
      <c r="E61" s="359"/>
      <c r="F61" s="359"/>
      <c r="G61" s="359"/>
      <c r="H61" s="360"/>
      <c r="I61" s="360"/>
      <c r="J61" s="360"/>
      <c r="K61" s="360"/>
      <c r="L61" s="360"/>
      <c r="M61" s="360"/>
      <c r="N61" s="361"/>
      <c r="O61" s="362"/>
      <c r="P61" s="325"/>
      <c r="Q61" s="359"/>
      <c r="R61" s="359"/>
      <c r="S61" s="359"/>
      <c r="T61" s="359"/>
      <c r="U61" s="359"/>
      <c r="V61" s="360"/>
      <c r="W61" s="360"/>
      <c r="X61" s="360"/>
      <c r="Y61" s="360"/>
      <c r="Z61" s="360"/>
      <c r="AA61" s="360"/>
      <c r="AB61" s="361"/>
      <c r="AC61" s="362"/>
      <c r="AE61" s="363"/>
      <c r="AF61" s="360"/>
      <c r="AG61" s="360"/>
      <c r="AH61" s="361"/>
      <c r="AI61" s="364"/>
      <c r="AK61" s="363"/>
      <c r="AL61" s="394"/>
      <c r="AM61" s="398"/>
      <c r="AN61" s="403"/>
      <c r="AO61" s="401"/>
      <c r="AQ61" s="362"/>
    </row>
    <row r="62" spans="1:43" ht="14.1" customHeight="1">
      <c r="B62" s="322" t="s">
        <v>256</v>
      </c>
      <c r="C62" s="323">
        <f>SalesProj!E82</f>
        <v>0</v>
      </c>
      <c r="D62" s="323">
        <f>SalesProj!F82</f>
        <v>0</v>
      </c>
      <c r="E62" s="323">
        <f>SalesProj!G82</f>
        <v>0</v>
      </c>
      <c r="F62" s="323">
        <f>SalesProj!H82</f>
        <v>0</v>
      </c>
      <c r="G62" s="323">
        <f>SalesProj!I82</f>
        <v>0</v>
      </c>
      <c r="H62" s="323">
        <f>SalesProj!J82</f>
        <v>0</v>
      </c>
      <c r="I62" s="323">
        <f>SalesProj!K82</f>
        <v>0</v>
      </c>
      <c r="J62" s="323">
        <f>SalesProj!L82</f>
        <v>0</v>
      </c>
      <c r="K62" s="323">
        <f>SalesProj!M82</f>
        <v>0</v>
      </c>
      <c r="L62" s="323">
        <f>SalesProj!N82</f>
        <v>0</v>
      </c>
      <c r="M62" s="323">
        <f>SalesProj!O82</f>
        <v>0</v>
      </c>
      <c r="N62" s="323">
        <f>SalesProj!P82</f>
        <v>0</v>
      </c>
      <c r="O62" s="324">
        <f>SUM(C62:N62)</f>
        <v>0</v>
      </c>
      <c r="P62" s="325"/>
      <c r="Q62" s="323">
        <f>SalesProj!S82</f>
        <v>0</v>
      </c>
      <c r="R62" s="323">
        <f>SalesProj!T82</f>
        <v>0</v>
      </c>
      <c r="S62" s="323">
        <f>SalesProj!U82</f>
        <v>0</v>
      </c>
      <c r="T62" s="323">
        <f>SalesProj!V82</f>
        <v>0</v>
      </c>
      <c r="U62" s="323">
        <f>SalesProj!W82</f>
        <v>0</v>
      </c>
      <c r="V62" s="323">
        <f>SalesProj!X82</f>
        <v>0</v>
      </c>
      <c r="W62" s="323">
        <f>SalesProj!Y82</f>
        <v>0</v>
      </c>
      <c r="X62" s="323">
        <f>SalesProj!Z82</f>
        <v>0</v>
      </c>
      <c r="Y62" s="323">
        <f>SalesProj!AA82</f>
        <v>0</v>
      </c>
      <c r="Z62" s="323">
        <f>SalesProj!AB82</f>
        <v>0</v>
      </c>
      <c r="AA62" s="323">
        <f>SalesProj!AC82</f>
        <v>0</v>
      </c>
      <c r="AB62" s="323">
        <f>SalesProj!AD82</f>
        <v>0</v>
      </c>
      <c r="AC62" s="324">
        <f>SUM(Q62:AB62)</f>
        <v>0</v>
      </c>
      <c r="AD62" s="331"/>
      <c r="AE62" s="323">
        <f>SalesProj!AG82</f>
        <v>0</v>
      </c>
      <c r="AF62" s="323">
        <f>SalesProj!AH82</f>
        <v>0</v>
      </c>
      <c r="AG62" s="391">
        <f>SalesProj!AI82</f>
        <v>0</v>
      </c>
      <c r="AH62" s="323">
        <f>SalesProj!AJ82</f>
        <v>0</v>
      </c>
      <c r="AI62" s="330">
        <f>SUM(AE62:AH62)</f>
        <v>0</v>
      </c>
      <c r="AJ62" s="331"/>
      <c r="AK62" s="326">
        <f>SalesProj!AM82</f>
        <v>0</v>
      </c>
      <c r="AL62" s="391">
        <f>SalesProj!AN82</f>
        <v>0</v>
      </c>
      <c r="AM62" s="391">
        <f>SalesProj!AO82</f>
        <v>0</v>
      </c>
      <c r="AN62" s="329">
        <f>SalesProj!AP82</f>
        <v>0</v>
      </c>
      <c r="AO62" s="332">
        <f>SUM(AK62:AN62)</f>
        <v>0</v>
      </c>
      <c r="AQ62" s="333">
        <f>SalesProj!AS82</f>
        <v>0</v>
      </c>
    </row>
    <row r="63" spans="1:43" ht="14.1" customHeight="1">
      <c r="A63" s="357"/>
      <c r="B63" s="334" t="s">
        <v>251</v>
      </c>
      <c r="C63" s="146">
        <v>0</v>
      </c>
      <c r="D63" s="146">
        <f>C63</f>
        <v>0</v>
      </c>
      <c r="E63" s="146">
        <f t="shared" ref="E63:N63" si="81">D63</f>
        <v>0</v>
      </c>
      <c r="F63" s="146">
        <f t="shared" si="81"/>
        <v>0</v>
      </c>
      <c r="G63" s="146">
        <f t="shared" si="81"/>
        <v>0</v>
      </c>
      <c r="H63" s="146">
        <f t="shared" si="81"/>
        <v>0</v>
      </c>
      <c r="I63" s="146">
        <f t="shared" si="81"/>
        <v>0</v>
      </c>
      <c r="J63" s="146">
        <f t="shared" si="81"/>
        <v>0</v>
      </c>
      <c r="K63" s="146">
        <f t="shared" si="81"/>
        <v>0</v>
      </c>
      <c r="L63" s="146">
        <f t="shared" si="81"/>
        <v>0</v>
      </c>
      <c r="M63" s="146">
        <f t="shared" si="81"/>
        <v>0</v>
      </c>
      <c r="N63" s="146">
        <f t="shared" si="81"/>
        <v>0</v>
      </c>
      <c r="O63" s="366">
        <f>SUM(C63:N63)</f>
        <v>0</v>
      </c>
      <c r="P63" s="367"/>
      <c r="Q63" s="146">
        <f>N63</f>
        <v>0</v>
      </c>
      <c r="R63" s="147">
        <f>Q63</f>
        <v>0</v>
      </c>
      <c r="S63" s="147">
        <f t="shared" ref="S63:AB63" si="82">R63</f>
        <v>0</v>
      </c>
      <c r="T63" s="147">
        <f t="shared" si="82"/>
        <v>0</v>
      </c>
      <c r="U63" s="147">
        <f t="shared" si="82"/>
        <v>0</v>
      </c>
      <c r="V63" s="147">
        <f t="shared" si="82"/>
        <v>0</v>
      </c>
      <c r="W63" s="147">
        <f t="shared" si="82"/>
        <v>0</v>
      </c>
      <c r="X63" s="147">
        <f t="shared" si="82"/>
        <v>0</v>
      </c>
      <c r="Y63" s="147">
        <f t="shared" si="82"/>
        <v>0</v>
      </c>
      <c r="Z63" s="147">
        <f t="shared" si="82"/>
        <v>0</v>
      </c>
      <c r="AA63" s="147">
        <f t="shared" si="82"/>
        <v>0</v>
      </c>
      <c r="AB63" s="147">
        <f t="shared" si="82"/>
        <v>0</v>
      </c>
      <c r="AC63" s="366">
        <f>SUM(Q63:AB63)</f>
        <v>0</v>
      </c>
      <c r="AD63" s="368"/>
      <c r="AE63" s="150">
        <f>AB63*3</f>
        <v>0</v>
      </c>
      <c r="AF63" s="147">
        <f t="shared" ref="AF63:AH66" si="83">AE63</f>
        <v>0</v>
      </c>
      <c r="AG63" s="147">
        <f t="shared" si="83"/>
        <v>0</v>
      </c>
      <c r="AH63" s="147">
        <f t="shared" si="83"/>
        <v>0</v>
      </c>
      <c r="AI63" s="369">
        <f>SUM(AE63:AH63)</f>
        <v>0</v>
      </c>
      <c r="AJ63" s="368"/>
      <c r="AK63" s="172">
        <f>AH63</f>
        <v>0</v>
      </c>
      <c r="AL63" s="152">
        <f t="shared" ref="AL63:AN66" si="84">AK63</f>
        <v>0</v>
      </c>
      <c r="AM63" s="152">
        <f t="shared" si="84"/>
        <v>0</v>
      </c>
      <c r="AN63" s="262">
        <f t="shared" si="84"/>
        <v>0</v>
      </c>
      <c r="AO63" s="370">
        <f>SUM(AK63:AN63)</f>
        <v>0</v>
      </c>
      <c r="AP63" s="368"/>
      <c r="AQ63" s="154">
        <f>AN63*4</f>
        <v>0</v>
      </c>
    </row>
    <row r="64" spans="1:43" ht="14.1" customHeight="1">
      <c r="A64" s="357"/>
      <c r="B64" s="334" t="s">
        <v>252</v>
      </c>
      <c r="C64" s="146">
        <v>0</v>
      </c>
      <c r="D64" s="146">
        <f t="shared" ref="D64:N64" si="85">C64</f>
        <v>0</v>
      </c>
      <c r="E64" s="146">
        <f t="shared" si="85"/>
        <v>0</v>
      </c>
      <c r="F64" s="146">
        <f t="shared" si="85"/>
        <v>0</v>
      </c>
      <c r="G64" s="146">
        <f t="shared" si="85"/>
        <v>0</v>
      </c>
      <c r="H64" s="146">
        <f t="shared" si="85"/>
        <v>0</v>
      </c>
      <c r="I64" s="146">
        <f t="shared" si="85"/>
        <v>0</v>
      </c>
      <c r="J64" s="146">
        <f t="shared" si="85"/>
        <v>0</v>
      </c>
      <c r="K64" s="146">
        <f t="shared" si="85"/>
        <v>0</v>
      </c>
      <c r="L64" s="146">
        <f t="shared" si="85"/>
        <v>0</v>
      </c>
      <c r="M64" s="146">
        <f t="shared" si="85"/>
        <v>0</v>
      </c>
      <c r="N64" s="146">
        <f t="shared" si="85"/>
        <v>0</v>
      </c>
      <c r="O64" s="371">
        <f>SUM(C64:N64)</f>
        <v>0</v>
      </c>
      <c r="P64" s="367"/>
      <c r="Q64" s="146">
        <f>N64</f>
        <v>0</v>
      </c>
      <c r="R64" s="147">
        <f t="shared" ref="R64:AB64" si="86">Q64</f>
        <v>0</v>
      </c>
      <c r="S64" s="147">
        <f t="shared" si="86"/>
        <v>0</v>
      </c>
      <c r="T64" s="147">
        <f t="shared" si="86"/>
        <v>0</v>
      </c>
      <c r="U64" s="147">
        <f t="shared" si="86"/>
        <v>0</v>
      </c>
      <c r="V64" s="147">
        <f t="shared" si="86"/>
        <v>0</v>
      </c>
      <c r="W64" s="147">
        <f t="shared" si="86"/>
        <v>0</v>
      </c>
      <c r="X64" s="147">
        <f t="shared" si="86"/>
        <v>0</v>
      </c>
      <c r="Y64" s="147">
        <f t="shared" si="86"/>
        <v>0</v>
      </c>
      <c r="Z64" s="147">
        <f t="shared" si="86"/>
        <v>0</v>
      </c>
      <c r="AA64" s="147">
        <f t="shared" si="86"/>
        <v>0</v>
      </c>
      <c r="AB64" s="147">
        <f t="shared" si="86"/>
        <v>0</v>
      </c>
      <c r="AC64" s="371">
        <f>SUM(Q64:AB64)</f>
        <v>0</v>
      </c>
      <c r="AD64" s="368"/>
      <c r="AE64" s="150">
        <f>AB64*3</f>
        <v>0</v>
      </c>
      <c r="AF64" s="147">
        <f t="shared" si="83"/>
        <v>0</v>
      </c>
      <c r="AG64" s="147">
        <f t="shared" si="83"/>
        <v>0</v>
      </c>
      <c r="AH64" s="147">
        <f t="shared" si="83"/>
        <v>0</v>
      </c>
      <c r="AI64" s="369">
        <f>SUM(AE64:AH64)</f>
        <v>0</v>
      </c>
      <c r="AJ64" s="368"/>
      <c r="AK64" s="172">
        <f>AH64</f>
        <v>0</v>
      </c>
      <c r="AL64" s="152">
        <f t="shared" si="84"/>
        <v>0</v>
      </c>
      <c r="AM64" s="152">
        <f t="shared" si="84"/>
        <v>0</v>
      </c>
      <c r="AN64" s="262">
        <f t="shared" si="84"/>
        <v>0</v>
      </c>
      <c r="AO64" s="370">
        <f>SUM(AK64:AN64)</f>
        <v>0</v>
      </c>
      <c r="AP64" s="368"/>
      <c r="AQ64" s="154">
        <f>AN64*4</f>
        <v>0</v>
      </c>
    </row>
    <row r="65" spans="1:43" ht="14.1" customHeight="1">
      <c r="A65" s="357"/>
      <c r="B65" s="334" t="s">
        <v>253</v>
      </c>
      <c r="C65" s="146">
        <v>0</v>
      </c>
      <c r="D65" s="146">
        <f t="shared" ref="D65:N65" si="87">C65</f>
        <v>0</v>
      </c>
      <c r="E65" s="146">
        <f t="shared" si="87"/>
        <v>0</v>
      </c>
      <c r="F65" s="146">
        <f t="shared" si="87"/>
        <v>0</v>
      </c>
      <c r="G65" s="146">
        <f t="shared" si="87"/>
        <v>0</v>
      </c>
      <c r="H65" s="146">
        <f t="shared" si="87"/>
        <v>0</v>
      </c>
      <c r="I65" s="146">
        <f t="shared" si="87"/>
        <v>0</v>
      </c>
      <c r="J65" s="146">
        <f t="shared" si="87"/>
        <v>0</v>
      </c>
      <c r="K65" s="146">
        <f t="shared" si="87"/>
        <v>0</v>
      </c>
      <c r="L65" s="146">
        <f t="shared" si="87"/>
        <v>0</v>
      </c>
      <c r="M65" s="146">
        <f t="shared" si="87"/>
        <v>0</v>
      </c>
      <c r="N65" s="146">
        <f t="shared" si="87"/>
        <v>0</v>
      </c>
      <c r="O65" s="366">
        <f>SUM(C65:N65)</f>
        <v>0</v>
      </c>
      <c r="P65" s="367"/>
      <c r="Q65" s="146">
        <f>N65</f>
        <v>0</v>
      </c>
      <c r="R65" s="147">
        <f t="shared" ref="R65:AB65" si="88">Q65</f>
        <v>0</v>
      </c>
      <c r="S65" s="147">
        <f t="shared" si="88"/>
        <v>0</v>
      </c>
      <c r="T65" s="147">
        <f t="shared" si="88"/>
        <v>0</v>
      </c>
      <c r="U65" s="147">
        <f t="shared" si="88"/>
        <v>0</v>
      </c>
      <c r="V65" s="147">
        <f t="shared" si="88"/>
        <v>0</v>
      </c>
      <c r="W65" s="147">
        <f t="shared" si="88"/>
        <v>0</v>
      </c>
      <c r="X65" s="147">
        <f t="shared" si="88"/>
        <v>0</v>
      </c>
      <c r="Y65" s="147">
        <f t="shared" si="88"/>
        <v>0</v>
      </c>
      <c r="Z65" s="147">
        <f t="shared" si="88"/>
        <v>0</v>
      </c>
      <c r="AA65" s="147">
        <f t="shared" si="88"/>
        <v>0</v>
      </c>
      <c r="AB65" s="147">
        <f t="shared" si="88"/>
        <v>0</v>
      </c>
      <c r="AC65" s="366">
        <f>SUM(Q65:AB65)</f>
        <v>0</v>
      </c>
      <c r="AD65" s="372"/>
      <c r="AE65" s="150">
        <f>AB65*3</f>
        <v>0</v>
      </c>
      <c r="AF65" s="147">
        <f t="shared" si="83"/>
        <v>0</v>
      </c>
      <c r="AG65" s="147">
        <f t="shared" si="83"/>
        <v>0</v>
      </c>
      <c r="AH65" s="147">
        <f t="shared" si="83"/>
        <v>0</v>
      </c>
      <c r="AI65" s="369">
        <f>SUM(AE65:AH65)</f>
        <v>0</v>
      </c>
      <c r="AJ65" s="372"/>
      <c r="AK65" s="172">
        <f>AH65</f>
        <v>0</v>
      </c>
      <c r="AL65" s="152">
        <f t="shared" si="84"/>
        <v>0</v>
      </c>
      <c r="AM65" s="152">
        <f t="shared" si="84"/>
        <v>0</v>
      </c>
      <c r="AN65" s="262">
        <f t="shared" si="84"/>
        <v>0</v>
      </c>
      <c r="AO65" s="370">
        <f>SUM(AK65:AN65)</f>
        <v>0</v>
      </c>
      <c r="AP65" s="372"/>
      <c r="AQ65" s="154">
        <f>AN65*4</f>
        <v>0</v>
      </c>
    </row>
    <row r="66" spans="1:43" ht="14.1" customHeight="1" thickBot="1">
      <c r="A66" s="357"/>
      <c r="B66" s="335" t="s">
        <v>254</v>
      </c>
      <c r="C66" s="315">
        <v>0</v>
      </c>
      <c r="D66" s="316">
        <f t="shared" ref="D66:N66" si="89">C66</f>
        <v>0</v>
      </c>
      <c r="E66" s="316">
        <f t="shared" si="89"/>
        <v>0</v>
      </c>
      <c r="F66" s="316">
        <f t="shared" si="89"/>
        <v>0</v>
      </c>
      <c r="G66" s="316">
        <f t="shared" si="89"/>
        <v>0</v>
      </c>
      <c r="H66" s="316">
        <f t="shared" si="89"/>
        <v>0</v>
      </c>
      <c r="I66" s="316">
        <f t="shared" si="89"/>
        <v>0</v>
      </c>
      <c r="J66" s="316">
        <f t="shared" si="89"/>
        <v>0</v>
      </c>
      <c r="K66" s="316">
        <f t="shared" si="89"/>
        <v>0</v>
      </c>
      <c r="L66" s="316">
        <f t="shared" si="89"/>
        <v>0</v>
      </c>
      <c r="M66" s="316">
        <f t="shared" si="89"/>
        <v>0</v>
      </c>
      <c r="N66" s="316">
        <f t="shared" si="89"/>
        <v>0</v>
      </c>
      <c r="O66" s="373">
        <f>SUM(C66:N66)</f>
        <v>0</v>
      </c>
      <c r="P66" s="367"/>
      <c r="Q66" s="317">
        <f>N66</f>
        <v>0</v>
      </c>
      <c r="R66" s="315">
        <f t="shared" ref="R66:AB66" si="90">Q66</f>
        <v>0</v>
      </c>
      <c r="S66" s="315">
        <f t="shared" si="90"/>
        <v>0</v>
      </c>
      <c r="T66" s="315">
        <f t="shared" si="90"/>
        <v>0</v>
      </c>
      <c r="U66" s="315">
        <f t="shared" si="90"/>
        <v>0</v>
      </c>
      <c r="V66" s="315">
        <f t="shared" si="90"/>
        <v>0</v>
      </c>
      <c r="W66" s="315">
        <f t="shared" si="90"/>
        <v>0</v>
      </c>
      <c r="X66" s="315">
        <f t="shared" si="90"/>
        <v>0</v>
      </c>
      <c r="Y66" s="315">
        <f t="shared" si="90"/>
        <v>0</v>
      </c>
      <c r="Z66" s="315">
        <f t="shared" si="90"/>
        <v>0</v>
      </c>
      <c r="AA66" s="315">
        <f t="shared" si="90"/>
        <v>0</v>
      </c>
      <c r="AB66" s="318">
        <f t="shared" si="90"/>
        <v>0</v>
      </c>
      <c r="AC66" s="373">
        <f>SUM(Q66:AB66)</f>
        <v>0</v>
      </c>
      <c r="AD66" s="372"/>
      <c r="AE66" s="317">
        <f>AB66*3</f>
        <v>0</v>
      </c>
      <c r="AF66" s="315">
        <f t="shared" si="83"/>
        <v>0</v>
      </c>
      <c r="AG66" s="315">
        <f t="shared" si="83"/>
        <v>0</v>
      </c>
      <c r="AH66" s="318">
        <f t="shared" si="83"/>
        <v>0</v>
      </c>
      <c r="AI66" s="373">
        <f>SUM(AE66:AH66)</f>
        <v>0</v>
      </c>
      <c r="AJ66" s="372"/>
      <c r="AK66" s="317">
        <f>AH66</f>
        <v>0</v>
      </c>
      <c r="AL66" s="315">
        <f t="shared" si="84"/>
        <v>0</v>
      </c>
      <c r="AM66" s="315">
        <f t="shared" si="84"/>
        <v>0</v>
      </c>
      <c r="AN66" s="318">
        <f t="shared" si="84"/>
        <v>0</v>
      </c>
      <c r="AO66" s="399">
        <f>SUM(AK66:AN66)</f>
        <v>0</v>
      </c>
      <c r="AP66" s="372"/>
      <c r="AQ66" s="319">
        <f>AN66*4</f>
        <v>0</v>
      </c>
    </row>
    <row r="67" spans="1:43" ht="14.1" customHeight="1" thickBot="1">
      <c r="B67" s="374" t="s">
        <v>255</v>
      </c>
      <c r="C67" s="375">
        <f t="shared" ref="C67:O67" si="91">SUM(C63:C66)</f>
        <v>0</v>
      </c>
      <c r="D67" s="376">
        <f t="shared" si="91"/>
        <v>0</v>
      </c>
      <c r="E67" s="376">
        <f t="shared" si="91"/>
        <v>0</v>
      </c>
      <c r="F67" s="376">
        <f t="shared" si="91"/>
        <v>0</v>
      </c>
      <c r="G67" s="376">
        <f t="shared" si="91"/>
        <v>0</v>
      </c>
      <c r="H67" s="376">
        <f t="shared" si="91"/>
        <v>0</v>
      </c>
      <c r="I67" s="376">
        <f t="shared" si="91"/>
        <v>0</v>
      </c>
      <c r="J67" s="376">
        <f t="shared" si="91"/>
        <v>0</v>
      </c>
      <c r="K67" s="376">
        <f t="shared" si="91"/>
        <v>0</v>
      </c>
      <c r="L67" s="376">
        <f t="shared" si="91"/>
        <v>0</v>
      </c>
      <c r="M67" s="376">
        <f t="shared" si="91"/>
        <v>0</v>
      </c>
      <c r="N67" s="376">
        <f t="shared" si="91"/>
        <v>0</v>
      </c>
      <c r="O67" s="377">
        <f t="shared" si="91"/>
        <v>0</v>
      </c>
      <c r="P67" s="367"/>
      <c r="Q67" s="376">
        <f t="shared" ref="Q67:AC67" si="92">SUM(Q63:Q66)</f>
        <v>0</v>
      </c>
      <c r="R67" s="376">
        <f t="shared" si="92"/>
        <v>0</v>
      </c>
      <c r="S67" s="376">
        <f t="shared" si="92"/>
        <v>0</v>
      </c>
      <c r="T67" s="376">
        <f t="shared" si="92"/>
        <v>0</v>
      </c>
      <c r="U67" s="376">
        <f t="shared" si="92"/>
        <v>0</v>
      </c>
      <c r="V67" s="376">
        <f t="shared" si="92"/>
        <v>0</v>
      </c>
      <c r="W67" s="376">
        <f t="shared" si="92"/>
        <v>0</v>
      </c>
      <c r="X67" s="376">
        <f t="shared" si="92"/>
        <v>0</v>
      </c>
      <c r="Y67" s="376">
        <f t="shared" si="92"/>
        <v>0</v>
      </c>
      <c r="Z67" s="376">
        <f t="shared" si="92"/>
        <v>0</v>
      </c>
      <c r="AA67" s="376">
        <f t="shared" si="92"/>
        <v>0</v>
      </c>
      <c r="AB67" s="376">
        <f t="shared" si="92"/>
        <v>0</v>
      </c>
      <c r="AC67" s="377">
        <f t="shared" si="92"/>
        <v>0</v>
      </c>
      <c r="AD67" s="372"/>
      <c r="AE67" s="376">
        <f>SUM(AE63:AE66)</f>
        <v>0</v>
      </c>
      <c r="AF67" s="376">
        <f>SUM(AF63:AF66)</f>
        <v>0</v>
      </c>
      <c r="AG67" s="376">
        <f>SUM(AG63:AG66)</f>
        <v>0</v>
      </c>
      <c r="AH67" s="376">
        <f>SUM(AH63:AH66)</f>
        <v>0</v>
      </c>
      <c r="AI67" s="377">
        <f>SUM(AI63:AI66)</f>
        <v>0</v>
      </c>
      <c r="AJ67" s="372"/>
      <c r="AK67" s="396">
        <f>SUM(AK63:AK66)</f>
        <v>0</v>
      </c>
      <c r="AL67" s="397">
        <f>SUM(AL63:AL66)</f>
        <v>0</v>
      </c>
      <c r="AM67" s="397">
        <f>SUM(AM63:AM66)</f>
        <v>0</v>
      </c>
      <c r="AN67" s="385">
        <f>SUM(AN63:AN66)</f>
        <v>0</v>
      </c>
      <c r="AO67" s="400">
        <f>SUM(AO63:AO66)</f>
        <v>0</v>
      </c>
      <c r="AP67" s="372"/>
      <c r="AQ67" s="377">
        <f>SUM(AQ63:AQ66)</f>
        <v>0</v>
      </c>
    </row>
    <row r="68" spans="1:43" s="110" customFormat="1" ht="13.5" customHeight="1">
      <c r="A68" s="108"/>
      <c r="B68" s="354"/>
      <c r="C68" s="108"/>
      <c r="D68" s="108"/>
      <c r="E68" s="108"/>
      <c r="F68" s="108"/>
      <c r="G68" s="108"/>
      <c r="H68" s="108"/>
      <c r="I68" s="108"/>
      <c r="J68" s="108"/>
      <c r="K68" s="108"/>
      <c r="L68" s="108"/>
      <c r="M68" s="108"/>
      <c r="O68" s="355"/>
      <c r="P68" s="347"/>
      <c r="Q68" s="108"/>
      <c r="R68" s="108"/>
      <c r="S68" s="108"/>
      <c r="T68" s="108"/>
      <c r="U68" s="108"/>
      <c r="V68" s="108"/>
      <c r="W68" s="108"/>
      <c r="X68" s="108"/>
      <c r="Y68" s="108"/>
      <c r="Z68" s="108"/>
      <c r="AA68" s="108"/>
      <c r="AC68" s="355"/>
      <c r="AE68" s="356"/>
      <c r="AF68" s="108"/>
      <c r="AG68" s="108"/>
      <c r="AI68" s="355"/>
      <c r="AK68" s="356"/>
      <c r="AL68" s="378"/>
      <c r="AM68" s="378"/>
      <c r="AN68" s="402"/>
      <c r="AO68" s="347"/>
      <c r="AQ68" s="355"/>
    </row>
    <row r="69" spans="1:43" ht="14.1" customHeight="1">
      <c r="A69" s="357"/>
      <c r="B69" s="358" t="str">
        <f>SalesProj!B85</f>
        <v>Product Line 9</v>
      </c>
      <c r="C69" s="359"/>
      <c r="D69" s="359"/>
      <c r="E69" s="359"/>
      <c r="F69" s="359"/>
      <c r="G69" s="359"/>
      <c r="H69" s="360"/>
      <c r="I69" s="360"/>
      <c r="J69" s="360"/>
      <c r="K69" s="360"/>
      <c r="L69" s="360"/>
      <c r="M69" s="360"/>
      <c r="N69" s="361"/>
      <c r="O69" s="362"/>
      <c r="P69" s="325"/>
      <c r="Q69" s="359"/>
      <c r="R69" s="359"/>
      <c r="S69" s="359"/>
      <c r="T69" s="359"/>
      <c r="U69" s="359"/>
      <c r="V69" s="360"/>
      <c r="W69" s="360"/>
      <c r="X69" s="360"/>
      <c r="Y69" s="360"/>
      <c r="Z69" s="360"/>
      <c r="AA69" s="360"/>
      <c r="AB69" s="361"/>
      <c r="AC69" s="362"/>
      <c r="AE69" s="363"/>
      <c r="AF69" s="360"/>
      <c r="AG69" s="360"/>
      <c r="AH69" s="361"/>
      <c r="AI69" s="364"/>
      <c r="AK69" s="363"/>
      <c r="AL69" s="398"/>
      <c r="AM69" s="398"/>
      <c r="AN69" s="403"/>
      <c r="AO69" s="401"/>
      <c r="AQ69" s="362"/>
    </row>
    <row r="70" spans="1:43" ht="14.1" customHeight="1">
      <c r="B70" s="322" t="s">
        <v>256</v>
      </c>
      <c r="C70" s="323">
        <f>SalesProj!E92</f>
        <v>0</v>
      </c>
      <c r="D70" s="323">
        <f>SalesProj!F92</f>
        <v>0</v>
      </c>
      <c r="E70" s="323">
        <f>SalesProj!G92</f>
        <v>0</v>
      </c>
      <c r="F70" s="323">
        <f>SalesProj!H92</f>
        <v>0</v>
      </c>
      <c r="G70" s="323">
        <f>SalesProj!I92</f>
        <v>0</v>
      </c>
      <c r="H70" s="323">
        <f>SalesProj!J92</f>
        <v>0</v>
      </c>
      <c r="I70" s="323">
        <f>SalesProj!K92</f>
        <v>0</v>
      </c>
      <c r="J70" s="323">
        <f>SalesProj!L92</f>
        <v>0</v>
      </c>
      <c r="K70" s="323">
        <f>SalesProj!M92</f>
        <v>0</v>
      </c>
      <c r="L70" s="323">
        <f>SalesProj!N92</f>
        <v>0</v>
      </c>
      <c r="M70" s="323">
        <f>SalesProj!O92</f>
        <v>0</v>
      </c>
      <c r="N70" s="323">
        <f>SalesProj!P92</f>
        <v>0</v>
      </c>
      <c r="O70" s="324">
        <f>SUM(C70:N70)</f>
        <v>0</v>
      </c>
      <c r="P70" s="325"/>
      <c r="Q70" s="323">
        <f>SalesProj!S92</f>
        <v>0</v>
      </c>
      <c r="R70" s="323">
        <f>SalesProj!T92</f>
        <v>0</v>
      </c>
      <c r="S70" s="323">
        <f>SalesProj!U92</f>
        <v>0</v>
      </c>
      <c r="T70" s="323">
        <f>SalesProj!V92</f>
        <v>0</v>
      </c>
      <c r="U70" s="323">
        <f>SalesProj!W92</f>
        <v>0</v>
      </c>
      <c r="V70" s="323">
        <f>SalesProj!X92</f>
        <v>0</v>
      </c>
      <c r="W70" s="323">
        <f>SalesProj!Y92</f>
        <v>0</v>
      </c>
      <c r="X70" s="323">
        <f>SalesProj!Z92</f>
        <v>0</v>
      </c>
      <c r="Y70" s="323">
        <f>SalesProj!AA92</f>
        <v>0</v>
      </c>
      <c r="Z70" s="323">
        <f>SalesProj!AB92</f>
        <v>0</v>
      </c>
      <c r="AA70" s="323">
        <f>SalesProj!AC92</f>
        <v>0</v>
      </c>
      <c r="AB70" s="323">
        <f>SalesProj!AD92</f>
        <v>0</v>
      </c>
      <c r="AC70" s="324">
        <f>SUM(Q70:AB70)</f>
        <v>0</v>
      </c>
      <c r="AE70" s="326">
        <f>SalesProj!AG92</f>
        <v>0</v>
      </c>
      <c r="AF70" s="391">
        <f>SalesProj!AH92</f>
        <v>0</v>
      </c>
      <c r="AG70" s="391">
        <f>SalesProj!AI92</f>
        <v>0</v>
      </c>
      <c r="AH70" s="323">
        <f>SalesProj!AJ92</f>
        <v>0</v>
      </c>
      <c r="AI70" s="330">
        <f>SUM(AE70:AH70)</f>
        <v>0</v>
      </c>
      <c r="AJ70" s="331"/>
      <c r="AK70" s="326">
        <f>SalesProj!AM92</f>
        <v>0</v>
      </c>
      <c r="AL70" s="391">
        <f>SalesProj!AN92</f>
        <v>0</v>
      </c>
      <c r="AM70" s="391">
        <f>SalesProj!AO92</f>
        <v>0</v>
      </c>
      <c r="AN70" s="329">
        <f>SalesProj!AP92</f>
        <v>0</v>
      </c>
      <c r="AO70" s="332">
        <f>SUM(AK70:AN70)</f>
        <v>0</v>
      </c>
      <c r="AQ70" s="333">
        <f>SalesProj!AS92</f>
        <v>0</v>
      </c>
    </row>
    <row r="71" spans="1:43" ht="14.1" customHeight="1">
      <c r="A71" s="357"/>
      <c r="B71" s="334" t="s">
        <v>251</v>
      </c>
      <c r="C71" s="146">
        <v>0</v>
      </c>
      <c r="D71" s="146">
        <f>C71</f>
        <v>0</v>
      </c>
      <c r="E71" s="146">
        <f t="shared" ref="E71:N71" si="93">D71</f>
        <v>0</v>
      </c>
      <c r="F71" s="146">
        <f t="shared" si="93"/>
        <v>0</v>
      </c>
      <c r="G71" s="146">
        <f t="shared" si="93"/>
        <v>0</v>
      </c>
      <c r="H71" s="146">
        <f t="shared" si="93"/>
        <v>0</v>
      </c>
      <c r="I71" s="146">
        <f t="shared" si="93"/>
        <v>0</v>
      </c>
      <c r="J71" s="146">
        <f t="shared" si="93"/>
        <v>0</v>
      </c>
      <c r="K71" s="146">
        <f t="shared" si="93"/>
        <v>0</v>
      </c>
      <c r="L71" s="146">
        <f t="shared" si="93"/>
        <v>0</v>
      </c>
      <c r="M71" s="146">
        <f t="shared" si="93"/>
        <v>0</v>
      </c>
      <c r="N71" s="146">
        <f t="shared" si="93"/>
        <v>0</v>
      </c>
      <c r="O71" s="366">
        <f>SUM(C71:N71)</f>
        <v>0</v>
      </c>
      <c r="P71" s="367"/>
      <c r="Q71" s="146">
        <f>N71</f>
        <v>0</v>
      </c>
      <c r="R71" s="147">
        <f>Q71</f>
        <v>0</v>
      </c>
      <c r="S71" s="147">
        <f t="shared" ref="S71:AB71" si="94">R71</f>
        <v>0</v>
      </c>
      <c r="T71" s="147">
        <f t="shared" si="94"/>
        <v>0</v>
      </c>
      <c r="U71" s="147">
        <f t="shared" si="94"/>
        <v>0</v>
      </c>
      <c r="V71" s="147">
        <f t="shared" si="94"/>
        <v>0</v>
      </c>
      <c r="W71" s="147">
        <f t="shared" si="94"/>
        <v>0</v>
      </c>
      <c r="X71" s="147">
        <f t="shared" si="94"/>
        <v>0</v>
      </c>
      <c r="Y71" s="147">
        <f t="shared" si="94"/>
        <v>0</v>
      </c>
      <c r="Z71" s="147">
        <f t="shared" si="94"/>
        <v>0</v>
      </c>
      <c r="AA71" s="147">
        <f t="shared" si="94"/>
        <v>0</v>
      </c>
      <c r="AB71" s="147">
        <f t="shared" si="94"/>
        <v>0</v>
      </c>
      <c r="AC71" s="366">
        <f>SUM(Q71:AB71)</f>
        <v>0</v>
      </c>
      <c r="AD71" s="368"/>
      <c r="AE71" s="150">
        <f>AB71*3</f>
        <v>0</v>
      </c>
      <c r="AF71" s="147">
        <f t="shared" ref="AF71:AH74" si="95">AE71</f>
        <v>0</v>
      </c>
      <c r="AG71" s="147">
        <f t="shared" si="95"/>
        <v>0</v>
      </c>
      <c r="AH71" s="147">
        <f t="shared" si="95"/>
        <v>0</v>
      </c>
      <c r="AI71" s="369">
        <f>SUM(AE71:AH71)</f>
        <v>0</v>
      </c>
      <c r="AJ71" s="368"/>
      <c r="AK71" s="172">
        <f>AH71</f>
        <v>0</v>
      </c>
      <c r="AL71" s="152">
        <f t="shared" ref="AL71:AN74" si="96">AK71</f>
        <v>0</v>
      </c>
      <c r="AM71" s="261">
        <f t="shared" si="96"/>
        <v>0</v>
      </c>
      <c r="AN71" s="262">
        <f t="shared" si="96"/>
        <v>0</v>
      </c>
      <c r="AO71" s="370">
        <f>SUM(AK71:AN71)</f>
        <v>0</v>
      </c>
      <c r="AP71" s="368"/>
      <c r="AQ71" s="154">
        <f>AN71*4</f>
        <v>0</v>
      </c>
    </row>
    <row r="72" spans="1:43" ht="14.1" customHeight="1">
      <c r="A72" s="357"/>
      <c r="B72" s="334" t="s">
        <v>252</v>
      </c>
      <c r="C72" s="146">
        <v>0</v>
      </c>
      <c r="D72" s="146">
        <f t="shared" ref="D72:N72" si="97">C72</f>
        <v>0</v>
      </c>
      <c r="E72" s="146">
        <f t="shared" si="97"/>
        <v>0</v>
      </c>
      <c r="F72" s="146">
        <f t="shared" si="97"/>
        <v>0</v>
      </c>
      <c r="G72" s="146">
        <f t="shared" si="97"/>
        <v>0</v>
      </c>
      <c r="H72" s="146">
        <f t="shared" si="97"/>
        <v>0</v>
      </c>
      <c r="I72" s="146">
        <f t="shared" si="97"/>
        <v>0</v>
      </c>
      <c r="J72" s="146">
        <f t="shared" si="97"/>
        <v>0</v>
      </c>
      <c r="K72" s="146">
        <f t="shared" si="97"/>
        <v>0</v>
      </c>
      <c r="L72" s="146">
        <f t="shared" si="97"/>
        <v>0</v>
      </c>
      <c r="M72" s="146">
        <f t="shared" si="97"/>
        <v>0</v>
      </c>
      <c r="N72" s="146">
        <f t="shared" si="97"/>
        <v>0</v>
      </c>
      <c r="O72" s="371">
        <f>SUM(C72:N72)</f>
        <v>0</v>
      </c>
      <c r="P72" s="367"/>
      <c r="Q72" s="146">
        <f>N72</f>
        <v>0</v>
      </c>
      <c r="R72" s="147">
        <f t="shared" ref="R72:AB72" si="98">Q72</f>
        <v>0</v>
      </c>
      <c r="S72" s="147">
        <f t="shared" si="98"/>
        <v>0</v>
      </c>
      <c r="T72" s="147">
        <f t="shared" si="98"/>
        <v>0</v>
      </c>
      <c r="U72" s="147">
        <f t="shared" si="98"/>
        <v>0</v>
      </c>
      <c r="V72" s="147">
        <f t="shared" si="98"/>
        <v>0</v>
      </c>
      <c r="W72" s="147">
        <f t="shared" si="98"/>
        <v>0</v>
      </c>
      <c r="X72" s="147">
        <f t="shared" si="98"/>
        <v>0</v>
      </c>
      <c r="Y72" s="147">
        <f t="shared" si="98"/>
        <v>0</v>
      </c>
      <c r="Z72" s="147">
        <f t="shared" si="98"/>
        <v>0</v>
      </c>
      <c r="AA72" s="147">
        <f t="shared" si="98"/>
        <v>0</v>
      </c>
      <c r="AB72" s="147">
        <f t="shared" si="98"/>
        <v>0</v>
      </c>
      <c r="AC72" s="371">
        <f>SUM(Q72:AB72)</f>
        <v>0</v>
      </c>
      <c r="AD72" s="368"/>
      <c r="AE72" s="150">
        <f>AB72*3</f>
        <v>0</v>
      </c>
      <c r="AF72" s="147">
        <f t="shared" si="95"/>
        <v>0</v>
      </c>
      <c r="AG72" s="147">
        <f t="shared" si="95"/>
        <v>0</v>
      </c>
      <c r="AH72" s="147">
        <f t="shared" si="95"/>
        <v>0</v>
      </c>
      <c r="AI72" s="369">
        <f>SUM(AE72:AH72)</f>
        <v>0</v>
      </c>
      <c r="AJ72" s="368"/>
      <c r="AK72" s="172">
        <f>AH72</f>
        <v>0</v>
      </c>
      <c r="AL72" s="152">
        <f t="shared" si="96"/>
        <v>0</v>
      </c>
      <c r="AM72" s="261">
        <f t="shared" si="96"/>
        <v>0</v>
      </c>
      <c r="AN72" s="262">
        <f t="shared" si="96"/>
        <v>0</v>
      </c>
      <c r="AO72" s="370">
        <f>SUM(AK72:AN72)</f>
        <v>0</v>
      </c>
      <c r="AP72" s="368"/>
      <c r="AQ72" s="154">
        <f>AN72*4</f>
        <v>0</v>
      </c>
    </row>
    <row r="73" spans="1:43" ht="14.1" customHeight="1">
      <c r="A73" s="357"/>
      <c r="B73" s="334" t="s">
        <v>253</v>
      </c>
      <c r="C73" s="146">
        <v>0</v>
      </c>
      <c r="D73" s="146">
        <f t="shared" ref="D73:N73" si="99">C73</f>
        <v>0</v>
      </c>
      <c r="E73" s="146">
        <f t="shared" si="99"/>
        <v>0</v>
      </c>
      <c r="F73" s="146">
        <f t="shared" si="99"/>
        <v>0</v>
      </c>
      <c r="G73" s="146">
        <f t="shared" si="99"/>
        <v>0</v>
      </c>
      <c r="H73" s="146">
        <f t="shared" si="99"/>
        <v>0</v>
      </c>
      <c r="I73" s="146">
        <f t="shared" si="99"/>
        <v>0</v>
      </c>
      <c r="J73" s="146">
        <f t="shared" si="99"/>
        <v>0</v>
      </c>
      <c r="K73" s="146">
        <f t="shared" si="99"/>
        <v>0</v>
      </c>
      <c r="L73" s="146">
        <f t="shared" si="99"/>
        <v>0</v>
      </c>
      <c r="M73" s="146">
        <f t="shared" si="99"/>
        <v>0</v>
      </c>
      <c r="N73" s="146">
        <f t="shared" si="99"/>
        <v>0</v>
      </c>
      <c r="O73" s="366">
        <f>SUM(C73:N73)</f>
        <v>0</v>
      </c>
      <c r="P73" s="367"/>
      <c r="Q73" s="146">
        <f>N73</f>
        <v>0</v>
      </c>
      <c r="R73" s="147">
        <f t="shared" ref="R73:AB73" si="100">Q73</f>
        <v>0</v>
      </c>
      <c r="S73" s="147">
        <f t="shared" si="100"/>
        <v>0</v>
      </c>
      <c r="T73" s="147">
        <f t="shared" si="100"/>
        <v>0</v>
      </c>
      <c r="U73" s="147">
        <f t="shared" si="100"/>
        <v>0</v>
      </c>
      <c r="V73" s="147">
        <f t="shared" si="100"/>
        <v>0</v>
      </c>
      <c r="W73" s="147">
        <f t="shared" si="100"/>
        <v>0</v>
      </c>
      <c r="X73" s="147">
        <f t="shared" si="100"/>
        <v>0</v>
      </c>
      <c r="Y73" s="147">
        <f t="shared" si="100"/>
        <v>0</v>
      </c>
      <c r="Z73" s="147">
        <f t="shared" si="100"/>
        <v>0</v>
      </c>
      <c r="AA73" s="147">
        <f t="shared" si="100"/>
        <v>0</v>
      </c>
      <c r="AB73" s="147">
        <f t="shared" si="100"/>
        <v>0</v>
      </c>
      <c r="AC73" s="366">
        <f>SUM(Q73:AB73)</f>
        <v>0</v>
      </c>
      <c r="AD73" s="372"/>
      <c r="AE73" s="150">
        <f>AB73*3</f>
        <v>0</v>
      </c>
      <c r="AF73" s="147">
        <f t="shared" si="95"/>
        <v>0</v>
      </c>
      <c r="AG73" s="147">
        <f t="shared" si="95"/>
        <v>0</v>
      </c>
      <c r="AH73" s="147">
        <f t="shared" si="95"/>
        <v>0</v>
      </c>
      <c r="AI73" s="369">
        <f>SUM(AE73:AH73)</f>
        <v>0</v>
      </c>
      <c r="AJ73" s="372"/>
      <c r="AK73" s="172">
        <f>AH73</f>
        <v>0</v>
      </c>
      <c r="AL73" s="261">
        <f t="shared" si="96"/>
        <v>0</v>
      </c>
      <c r="AM73" s="152">
        <f t="shared" si="96"/>
        <v>0</v>
      </c>
      <c r="AN73" s="262">
        <f t="shared" si="96"/>
        <v>0</v>
      </c>
      <c r="AO73" s="370">
        <f>SUM(AK73:AN73)</f>
        <v>0</v>
      </c>
      <c r="AP73" s="372"/>
      <c r="AQ73" s="154">
        <f>AN73*4</f>
        <v>0</v>
      </c>
    </row>
    <row r="74" spans="1:43" ht="14.1" customHeight="1" thickBot="1">
      <c r="A74" s="357"/>
      <c r="B74" s="335" t="s">
        <v>254</v>
      </c>
      <c r="C74" s="315">
        <v>0</v>
      </c>
      <c r="D74" s="316">
        <f t="shared" ref="D74:N74" si="101">C74</f>
        <v>0</v>
      </c>
      <c r="E74" s="316">
        <f t="shared" si="101"/>
        <v>0</v>
      </c>
      <c r="F74" s="316">
        <f t="shared" si="101"/>
        <v>0</v>
      </c>
      <c r="G74" s="316">
        <f t="shared" si="101"/>
        <v>0</v>
      </c>
      <c r="H74" s="316">
        <f t="shared" si="101"/>
        <v>0</v>
      </c>
      <c r="I74" s="316">
        <f t="shared" si="101"/>
        <v>0</v>
      </c>
      <c r="J74" s="316">
        <f t="shared" si="101"/>
        <v>0</v>
      </c>
      <c r="K74" s="316">
        <f t="shared" si="101"/>
        <v>0</v>
      </c>
      <c r="L74" s="316">
        <f t="shared" si="101"/>
        <v>0</v>
      </c>
      <c r="M74" s="316">
        <f t="shared" si="101"/>
        <v>0</v>
      </c>
      <c r="N74" s="316">
        <f t="shared" si="101"/>
        <v>0</v>
      </c>
      <c r="O74" s="373">
        <f>SUM(C74:N74)</f>
        <v>0</v>
      </c>
      <c r="P74" s="367"/>
      <c r="Q74" s="317">
        <f>N74</f>
        <v>0</v>
      </c>
      <c r="R74" s="315">
        <f t="shared" ref="R74:AB74" si="102">Q74</f>
        <v>0</v>
      </c>
      <c r="S74" s="315">
        <f t="shared" si="102"/>
        <v>0</v>
      </c>
      <c r="T74" s="315">
        <f t="shared" si="102"/>
        <v>0</v>
      </c>
      <c r="U74" s="315">
        <f t="shared" si="102"/>
        <v>0</v>
      </c>
      <c r="V74" s="315">
        <f t="shared" si="102"/>
        <v>0</v>
      </c>
      <c r="W74" s="315">
        <f t="shared" si="102"/>
        <v>0</v>
      </c>
      <c r="X74" s="315">
        <f t="shared" si="102"/>
        <v>0</v>
      </c>
      <c r="Y74" s="315">
        <f t="shared" si="102"/>
        <v>0</v>
      </c>
      <c r="Z74" s="315">
        <f t="shared" si="102"/>
        <v>0</v>
      </c>
      <c r="AA74" s="315">
        <f t="shared" si="102"/>
        <v>0</v>
      </c>
      <c r="AB74" s="318">
        <f t="shared" si="102"/>
        <v>0</v>
      </c>
      <c r="AC74" s="373">
        <f>SUM(Q74:AB74)</f>
        <v>0</v>
      </c>
      <c r="AD74" s="372"/>
      <c r="AE74" s="317">
        <f>AB74*3</f>
        <v>0</v>
      </c>
      <c r="AF74" s="315">
        <f t="shared" si="95"/>
        <v>0</v>
      </c>
      <c r="AG74" s="315">
        <f t="shared" si="95"/>
        <v>0</v>
      </c>
      <c r="AH74" s="318">
        <f t="shared" si="95"/>
        <v>0</v>
      </c>
      <c r="AI74" s="373">
        <f>SUM(AE74:AH74)</f>
        <v>0</v>
      </c>
      <c r="AJ74" s="372"/>
      <c r="AK74" s="317">
        <f>AH74</f>
        <v>0</v>
      </c>
      <c r="AL74" s="316">
        <f t="shared" si="96"/>
        <v>0</v>
      </c>
      <c r="AM74" s="315">
        <f t="shared" si="96"/>
        <v>0</v>
      </c>
      <c r="AN74" s="318">
        <f t="shared" si="96"/>
        <v>0</v>
      </c>
      <c r="AO74" s="399">
        <f>SUM(AK74:AN74)</f>
        <v>0</v>
      </c>
      <c r="AP74" s="372"/>
      <c r="AQ74" s="319">
        <f>AN74*4</f>
        <v>0</v>
      </c>
    </row>
    <row r="75" spans="1:43" ht="14.1" customHeight="1" thickBot="1">
      <c r="B75" s="374" t="s">
        <v>255</v>
      </c>
      <c r="C75" s="375">
        <f t="shared" ref="C75:O75" si="103">SUM(C71:C74)</f>
        <v>0</v>
      </c>
      <c r="D75" s="376">
        <f t="shared" si="103"/>
        <v>0</v>
      </c>
      <c r="E75" s="376">
        <f t="shared" si="103"/>
        <v>0</v>
      </c>
      <c r="F75" s="376">
        <f t="shared" si="103"/>
        <v>0</v>
      </c>
      <c r="G75" s="376">
        <f t="shared" si="103"/>
        <v>0</v>
      </c>
      <c r="H75" s="376">
        <f t="shared" si="103"/>
        <v>0</v>
      </c>
      <c r="I75" s="376">
        <f t="shared" si="103"/>
        <v>0</v>
      </c>
      <c r="J75" s="376">
        <f t="shared" si="103"/>
        <v>0</v>
      </c>
      <c r="K75" s="376">
        <f t="shared" si="103"/>
        <v>0</v>
      </c>
      <c r="L75" s="376">
        <f t="shared" si="103"/>
        <v>0</v>
      </c>
      <c r="M75" s="376">
        <f t="shared" si="103"/>
        <v>0</v>
      </c>
      <c r="N75" s="376">
        <f t="shared" si="103"/>
        <v>0</v>
      </c>
      <c r="O75" s="377">
        <f t="shared" si="103"/>
        <v>0</v>
      </c>
      <c r="P75" s="367"/>
      <c r="Q75" s="376">
        <f t="shared" ref="Q75:AC75" si="104">SUM(Q71:Q74)</f>
        <v>0</v>
      </c>
      <c r="R75" s="376">
        <f t="shared" si="104"/>
        <v>0</v>
      </c>
      <c r="S75" s="376">
        <f t="shared" si="104"/>
        <v>0</v>
      </c>
      <c r="T75" s="376">
        <f t="shared" si="104"/>
        <v>0</v>
      </c>
      <c r="U75" s="376">
        <f t="shared" si="104"/>
        <v>0</v>
      </c>
      <c r="V75" s="376">
        <f t="shared" si="104"/>
        <v>0</v>
      </c>
      <c r="W75" s="376">
        <f t="shared" si="104"/>
        <v>0</v>
      </c>
      <c r="X75" s="376">
        <f t="shared" si="104"/>
        <v>0</v>
      </c>
      <c r="Y75" s="376">
        <f t="shared" si="104"/>
        <v>0</v>
      </c>
      <c r="Z75" s="376">
        <f t="shared" si="104"/>
        <v>0</v>
      </c>
      <c r="AA75" s="376">
        <f t="shared" si="104"/>
        <v>0</v>
      </c>
      <c r="AB75" s="376">
        <f t="shared" si="104"/>
        <v>0</v>
      </c>
      <c r="AC75" s="377">
        <f t="shared" si="104"/>
        <v>0</v>
      </c>
      <c r="AD75" s="372"/>
      <c r="AE75" s="376">
        <f>SUM(AE71:AE74)</f>
        <v>0</v>
      </c>
      <c r="AF75" s="376">
        <f>SUM(AF71:AF74)</f>
        <v>0</v>
      </c>
      <c r="AG75" s="376">
        <f>SUM(AG71:AG74)</f>
        <v>0</v>
      </c>
      <c r="AH75" s="376">
        <f>SUM(AH71:AH74)</f>
        <v>0</v>
      </c>
      <c r="AI75" s="377">
        <f>SUM(AI71:AI74)</f>
        <v>0</v>
      </c>
      <c r="AJ75" s="372"/>
      <c r="AK75" s="396">
        <f>SUM(AK71:AK74)</f>
        <v>0</v>
      </c>
      <c r="AL75" s="376">
        <f>SUM(AL71:AL74)</f>
        <v>0</v>
      </c>
      <c r="AM75" s="376">
        <f>SUM(AM71:AM74)</f>
        <v>0</v>
      </c>
      <c r="AN75" s="385">
        <f>SUM(AN71:AN74)</f>
        <v>0</v>
      </c>
      <c r="AO75" s="400">
        <f>SUM(AO71:AO74)</f>
        <v>0</v>
      </c>
      <c r="AP75" s="372"/>
      <c r="AQ75" s="377">
        <f>SUM(AQ71:AQ74)</f>
        <v>0</v>
      </c>
    </row>
    <row r="76" spans="1:43" s="110" customFormat="1" ht="13.5" customHeight="1">
      <c r="A76" s="108"/>
      <c r="B76" s="354"/>
      <c r="C76" s="108"/>
      <c r="D76" s="108"/>
      <c r="E76" s="108"/>
      <c r="F76" s="108"/>
      <c r="G76" s="108"/>
      <c r="H76" s="108"/>
      <c r="I76" s="108"/>
      <c r="J76" s="108"/>
      <c r="K76" s="108"/>
      <c r="L76" s="108"/>
      <c r="M76" s="108"/>
      <c r="O76" s="355"/>
      <c r="P76" s="347"/>
      <c r="Q76" s="108"/>
      <c r="R76" s="108"/>
      <c r="S76" s="108"/>
      <c r="T76" s="108"/>
      <c r="U76" s="108"/>
      <c r="V76" s="108"/>
      <c r="W76" s="108"/>
      <c r="X76" s="108"/>
      <c r="Y76" s="108"/>
      <c r="Z76" s="108"/>
      <c r="AA76" s="108"/>
      <c r="AC76" s="355"/>
      <c r="AE76" s="356"/>
      <c r="AF76" s="108"/>
      <c r="AG76" s="108"/>
      <c r="AI76" s="355"/>
      <c r="AK76" s="356"/>
      <c r="AL76" s="108"/>
      <c r="AM76" s="108"/>
      <c r="AN76" s="402"/>
      <c r="AO76" s="347"/>
      <c r="AQ76" s="355"/>
    </row>
    <row r="77" spans="1:43" ht="14.1" customHeight="1">
      <c r="A77" s="357"/>
      <c r="B77" s="358" t="str">
        <f>SalesProj!B95</f>
        <v>Product Line 10</v>
      </c>
      <c r="C77" s="359"/>
      <c r="D77" s="359"/>
      <c r="E77" s="359"/>
      <c r="F77" s="359"/>
      <c r="G77" s="359"/>
      <c r="H77" s="360"/>
      <c r="I77" s="360"/>
      <c r="J77" s="360"/>
      <c r="K77" s="360"/>
      <c r="L77" s="360"/>
      <c r="M77" s="360"/>
      <c r="N77" s="361"/>
      <c r="O77" s="362"/>
      <c r="P77" s="325"/>
      <c r="Q77" s="359"/>
      <c r="R77" s="359"/>
      <c r="S77" s="359"/>
      <c r="T77" s="359"/>
      <c r="U77" s="359"/>
      <c r="V77" s="360"/>
      <c r="W77" s="360"/>
      <c r="X77" s="360"/>
      <c r="Y77" s="360"/>
      <c r="Z77" s="360"/>
      <c r="AA77" s="360"/>
      <c r="AB77" s="361"/>
      <c r="AC77" s="362"/>
      <c r="AE77" s="363"/>
      <c r="AF77" s="360"/>
      <c r="AG77" s="360"/>
      <c r="AH77" s="361"/>
      <c r="AI77" s="364"/>
      <c r="AK77" s="363"/>
      <c r="AL77" s="360"/>
      <c r="AM77" s="360"/>
      <c r="AN77" s="403"/>
      <c r="AO77" s="401"/>
      <c r="AQ77" s="362"/>
    </row>
    <row r="78" spans="1:43" ht="14.1" customHeight="1">
      <c r="B78" s="322" t="s">
        <v>256</v>
      </c>
      <c r="C78" s="323">
        <f>SalesProj!E102</f>
        <v>0</v>
      </c>
      <c r="D78" s="323">
        <f>SalesProj!F102</f>
        <v>0</v>
      </c>
      <c r="E78" s="323">
        <f>SalesProj!G102</f>
        <v>0</v>
      </c>
      <c r="F78" s="323">
        <f>SalesProj!H102</f>
        <v>0</v>
      </c>
      <c r="G78" s="323">
        <f>SalesProj!I102</f>
        <v>0</v>
      </c>
      <c r="H78" s="323">
        <f>SalesProj!J102</f>
        <v>0</v>
      </c>
      <c r="I78" s="323">
        <f>SalesProj!K102</f>
        <v>0</v>
      </c>
      <c r="J78" s="323">
        <f>SalesProj!L102</f>
        <v>0</v>
      </c>
      <c r="K78" s="323">
        <f>SalesProj!M102</f>
        <v>0</v>
      </c>
      <c r="L78" s="323">
        <f>SalesProj!N102</f>
        <v>0</v>
      </c>
      <c r="M78" s="323">
        <f>SalesProj!O102</f>
        <v>0</v>
      </c>
      <c r="N78" s="323">
        <f>SalesProj!P102</f>
        <v>0</v>
      </c>
      <c r="O78" s="324">
        <f>SUM(C78:N78)</f>
        <v>0</v>
      </c>
      <c r="P78" s="325"/>
      <c r="Q78" s="323">
        <f>SalesProj!S102</f>
        <v>0</v>
      </c>
      <c r="R78" s="323">
        <f>SalesProj!T102</f>
        <v>0</v>
      </c>
      <c r="S78" s="323">
        <f>SalesProj!U102</f>
        <v>0</v>
      </c>
      <c r="T78" s="323">
        <f>SalesProj!V102</f>
        <v>0</v>
      </c>
      <c r="U78" s="323">
        <f>SalesProj!W102</f>
        <v>0</v>
      </c>
      <c r="V78" s="323">
        <f>SalesProj!X102</f>
        <v>0</v>
      </c>
      <c r="W78" s="323">
        <f>SalesProj!Y102</f>
        <v>0</v>
      </c>
      <c r="X78" s="323">
        <f>SalesProj!Z102</f>
        <v>0</v>
      </c>
      <c r="Y78" s="323">
        <f>SalesProj!AA102</f>
        <v>0</v>
      </c>
      <c r="Z78" s="323">
        <f>SalesProj!AB102</f>
        <v>0</v>
      </c>
      <c r="AA78" s="323">
        <f>SalesProj!AC102</f>
        <v>0</v>
      </c>
      <c r="AB78" s="323">
        <f>SalesProj!AD102</f>
        <v>0</v>
      </c>
      <c r="AC78" s="324">
        <f>SUM(Q78:AB78)</f>
        <v>0</v>
      </c>
      <c r="AE78" s="326">
        <f>SalesProj!AG102</f>
        <v>0</v>
      </c>
      <c r="AF78" s="323">
        <f>SalesProj!AH102</f>
        <v>0</v>
      </c>
      <c r="AG78" s="391">
        <f>SalesProj!AI102</f>
        <v>0</v>
      </c>
      <c r="AH78" s="323">
        <f>SalesProj!AJ102</f>
        <v>0</v>
      </c>
      <c r="AI78" s="330">
        <f>SUM(AE78:AH78)</f>
        <v>0</v>
      </c>
      <c r="AJ78" s="331"/>
      <c r="AK78" s="326">
        <f>SalesProj!AM102</f>
        <v>0</v>
      </c>
      <c r="AL78" s="323">
        <f>SalesProj!AN102</f>
        <v>0</v>
      </c>
      <c r="AM78" s="323">
        <f>SalesProj!AO102</f>
        <v>0</v>
      </c>
      <c r="AN78" s="329">
        <f>SalesProj!AP102</f>
        <v>0</v>
      </c>
      <c r="AO78" s="332">
        <f>SUM(AK78:AN78)</f>
        <v>0</v>
      </c>
      <c r="AQ78" s="333">
        <f>SalesProj!AS102</f>
        <v>0</v>
      </c>
    </row>
    <row r="79" spans="1:43" ht="14.1" customHeight="1">
      <c r="A79" s="357"/>
      <c r="B79" s="334" t="s">
        <v>251</v>
      </c>
      <c r="C79" s="146">
        <v>0</v>
      </c>
      <c r="D79" s="146">
        <f>C79</f>
        <v>0</v>
      </c>
      <c r="E79" s="146">
        <f t="shared" ref="E79:N79" si="105">D79</f>
        <v>0</v>
      </c>
      <c r="F79" s="146">
        <f t="shared" si="105"/>
        <v>0</v>
      </c>
      <c r="G79" s="146">
        <f t="shared" si="105"/>
        <v>0</v>
      </c>
      <c r="H79" s="146">
        <f t="shared" si="105"/>
        <v>0</v>
      </c>
      <c r="I79" s="146">
        <f t="shared" si="105"/>
        <v>0</v>
      </c>
      <c r="J79" s="146">
        <f t="shared" si="105"/>
        <v>0</v>
      </c>
      <c r="K79" s="146">
        <f t="shared" si="105"/>
        <v>0</v>
      </c>
      <c r="L79" s="146">
        <f t="shared" si="105"/>
        <v>0</v>
      </c>
      <c r="M79" s="146">
        <f t="shared" si="105"/>
        <v>0</v>
      </c>
      <c r="N79" s="146">
        <f t="shared" si="105"/>
        <v>0</v>
      </c>
      <c r="O79" s="366">
        <f>SUM(C79:N79)</f>
        <v>0</v>
      </c>
      <c r="P79" s="367"/>
      <c r="Q79" s="146">
        <f>N79</f>
        <v>0</v>
      </c>
      <c r="R79" s="147">
        <f>Q79</f>
        <v>0</v>
      </c>
      <c r="S79" s="147">
        <f t="shared" ref="S79:AB79" si="106">R79</f>
        <v>0</v>
      </c>
      <c r="T79" s="147">
        <f t="shared" si="106"/>
        <v>0</v>
      </c>
      <c r="U79" s="147">
        <f t="shared" si="106"/>
        <v>0</v>
      </c>
      <c r="V79" s="147">
        <f t="shared" si="106"/>
        <v>0</v>
      </c>
      <c r="W79" s="147">
        <f t="shared" si="106"/>
        <v>0</v>
      </c>
      <c r="X79" s="147">
        <f t="shared" si="106"/>
        <v>0</v>
      </c>
      <c r="Y79" s="147">
        <f t="shared" si="106"/>
        <v>0</v>
      </c>
      <c r="Z79" s="147">
        <f t="shared" si="106"/>
        <v>0</v>
      </c>
      <c r="AA79" s="147">
        <f t="shared" si="106"/>
        <v>0</v>
      </c>
      <c r="AB79" s="147">
        <f t="shared" si="106"/>
        <v>0</v>
      </c>
      <c r="AC79" s="366">
        <f>SUM(Q79:AB79)</f>
        <v>0</v>
      </c>
      <c r="AD79" s="368"/>
      <c r="AE79" s="150">
        <f>AB79*3</f>
        <v>0</v>
      </c>
      <c r="AF79" s="147">
        <f t="shared" ref="AF79:AH82" si="107">AE79</f>
        <v>0</v>
      </c>
      <c r="AG79" s="147">
        <f t="shared" si="107"/>
        <v>0</v>
      </c>
      <c r="AH79" s="147">
        <f t="shared" si="107"/>
        <v>0</v>
      </c>
      <c r="AI79" s="369">
        <f>SUM(AE79:AH79)</f>
        <v>0</v>
      </c>
      <c r="AJ79" s="368"/>
      <c r="AK79" s="151">
        <f>AH79</f>
        <v>0</v>
      </c>
      <c r="AL79" s="152">
        <f t="shared" ref="AL79:AN82" si="108">AK79</f>
        <v>0</v>
      </c>
      <c r="AM79" s="152">
        <f t="shared" si="108"/>
        <v>0</v>
      </c>
      <c r="AN79" s="153">
        <f t="shared" si="108"/>
        <v>0</v>
      </c>
      <c r="AO79" s="370">
        <f>SUM(AK79:AN79)</f>
        <v>0</v>
      </c>
      <c r="AP79" s="368"/>
      <c r="AQ79" s="154">
        <f>AN79*4</f>
        <v>0</v>
      </c>
    </row>
    <row r="80" spans="1:43" ht="14.1" customHeight="1">
      <c r="A80" s="357"/>
      <c r="B80" s="334" t="s">
        <v>252</v>
      </c>
      <c r="C80" s="146">
        <v>0</v>
      </c>
      <c r="D80" s="146">
        <f t="shared" ref="D80:N80" si="109">C80</f>
        <v>0</v>
      </c>
      <c r="E80" s="146">
        <f t="shared" si="109"/>
        <v>0</v>
      </c>
      <c r="F80" s="146">
        <f t="shared" si="109"/>
        <v>0</v>
      </c>
      <c r="G80" s="146">
        <f t="shared" si="109"/>
        <v>0</v>
      </c>
      <c r="H80" s="146">
        <f t="shared" si="109"/>
        <v>0</v>
      </c>
      <c r="I80" s="146">
        <f t="shared" si="109"/>
        <v>0</v>
      </c>
      <c r="J80" s="146">
        <f t="shared" si="109"/>
        <v>0</v>
      </c>
      <c r="K80" s="146">
        <f t="shared" si="109"/>
        <v>0</v>
      </c>
      <c r="L80" s="146">
        <f t="shared" si="109"/>
        <v>0</v>
      </c>
      <c r="M80" s="146">
        <f t="shared" si="109"/>
        <v>0</v>
      </c>
      <c r="N80" s="146">
        <f t="shared" si="109"/>
        <v>0</v>
      </c>
      <c r="O80" s="371">
        <f>SUM(C80:N80)</f>
        <v>0</v>
      </c>
      <c r="P80" s="367"/>
      <c r="Q80" s="146">
        <f>N80</f>
        <v>0</v>
      </c>
      <c r="R80" s="147">
        <f t="shared" ref="R80:AB80" si="110">Q80</f>
        <v>0</v>
      </c>
      <c r="S80" s="147">
        <f t="shared" si="110"/>
        <v>0</v>
      </c>
      <c r="T80" s="147">
        <f t="shared" si="110"/>
        <v>0</v>
      </c>
      <c r="U80" s="147">
        <f t="shared" si="110"/>
        <v>0</v>
      </c>
      <c r="V80" s="147">
        <f t="shared" si="110"/>
        <v>0</v>
      </c>
      <c r="W80" s="147">
        <f t="shared" si="110"/>
        <v>0</v>
      </c>
      <c r="X80" s="147">
        <f t="shared" si="110"/>
        <v>0</v>
      </c>
      <c r="Y80" s="147">
        <f t="shared" si="110"/>
        <v>0</v>
      </c>
      <c r="Z80" s="147">
        <f t="shared" si="110"/>
        <v>0</v>
      </c>
      <c r="AA80" s="147">
        <f t="shared" si="110"/>
        <v>0</v>
      </c>
      <c r="AB80" s="147">
        <f t="shared" si="110"/>
        <v>0</v>
      </c>
      <c r="AC80" s="371">
        <f>SUM(Q80:AB80)</f>
        <v>0</v>
      </c>
      <c r="AD80" s="368"/>
      <c r="AE80" s="150">
        <f>AB80*3</f>
        <v>0</v>
      </c>
      <c r="AF80" s="147">
        <f t="shared" si="107"/>
        <v>0</v>
      </c>
      <c r="AG80" s="147">
        <f t="shared" si="107"/>
        <v>0</v>
      </c>
      <c r="AH80" s="147">
        <f t="shared" si="107"/>
        <v>0</v>
      </c>
      <c r="AI80" s="369">
        <f>SUM(AE80:AH80)</f>
        <v>0</v>
      </c>
      <c r="AJ80" s="368"/>
      <c r="AK80" s="151">
        <f>AH80</f>
        <v>0</v>
      </c>
      <c r="AL80" s="152">
        <f t="shared" si="108"/>
        <v>0</v>
      </c>
      <c r="AM80" s="152">
        <f t="shared" si="108"/>
        <v>0</v>
      </c>
      <c r="AN80" s="153">
        <f t="shared" si="108"/>
        <v>0</v>
      </c>
      <c r="AO80" s="370">
        <f>SUM(AK80:AN80)</f>
        <v>0</v>
      </c>
      <c r="AP80" s="368"/>
      <c r="AQ80" s="154">
        <f>AN80*4</f>
        <v>0</v>
      </c>
    </row>
    <row r="81" spans="1:43" ht="14.1" customHeight="1">
      <c r="A81" s="357"/>
      <c r="B81" s="334" t="s">
        <v>253</v>
      </c>
      <c r="C81" s="146">
        <v>0</v>
      </c>
      <c r="D81" s="146">
        <f t="shared" ref="D81:N81" si="111">C81</f>
        <v>0</v>
      </c>
      <c r="E81" s="146">
        <f t="shared" si="111"/>
        <v>0</v>
      </c>
      <c r="F81" s="146">
        <f t="shared" si="111"/>
        <v>0</v>
      </c>
      <c r="G81" s="146">
        <f t="shared" si="111"/>
        <v>0</v>
      </c>
      <c r="H81" s="146">
        <f t="shared" si="111"/>
        <v>0</v>
      </c>
      <c r="I81" s="146">
        <f t="shared" si="111"/>
        <v>0</v>
      </c>
      <c r="J81" s="146">
        <f t="shared" si="111"/>
        <v>0</v>
      </c>
      <c r="K81" s="146">
        <f t="shared" si="111"/>
        <v>0</v>
      </c>
      <c r="L81" s="146">
        <f t="shared" si="111"/>
        <v>0</v>
      </c>
      <c r="M81" s="146">
        <f t="shared" si="111"/>
        <v>0</v>
      </c>
      <c r="N81" s="146">
        <f t="shared" si="111"/>
        <v>0</v>
      </c>
      <c r="O81" s="366">
        <f>SUM(C81:N81)</f>
        <v>0</v>
      </c>
      <c r="P81" s="367"/>
      <c r="Q81" s="146">
        <f>N81</f>
        <v>0</v>
      </c>
      <c r="R81" s="147">
        <f t="shared" ref="R81:AB81" si="112">Q81</f>
        <v>0</v>
      </c>
      <c r="S81" s="147">
        <f t="shared" si="112"/>
        <v>0</v>
      </c>
      <c r="T81" s="147">
        <f t="shared" si="112"/>
        <v>0</v>
      </c>
      <c r="U81" s="147">
        <f t="shared" si="112"/>
        <v>0</v>
      </c>
      <c r="V81" s="147">
        <f t="shared" si="112"/>
        <v>0</v>
      </c>
      <c r="W81" s="147">
        <f t="shared" si="112"/>
        <v>0</v>
      </c>
      <c r="X81" s="147">
        <f t="shared" si="112"/>
        <v>0</v>
      </c>
      <c r="Y81" s="147">
        <f t="shared" si="112"/>
        <v>0</v>
      </c>
      <c r="Z81" s="147">
        <f t="shared" si="112"/>
        <v>0</v>
      </c>
      <c r="AA81" s="147">
        <f t="shared" si="112"/>
        <v>0</v>
      </c>
      <c r="AB81" s="147">
        <f t="shared" si="112"/>
        <v>0</v>
      </c>
      <c r="AC81" s="366">
        <f>SUM(Q81:AB81)</f>
        <v>0</v>
      </c>
      <c r="AD81" s="372"/>
      <c r="AE81" s="150">
        <f>AB81*3</f>
        <v>0</v>
      </c>
      <c r="AF81" s="147">
        <f t="shared" si="107"/>
        <v>0</v>
      </c>
      <c r="AG81" s="147">
        <f t="shared" si="107"/>
        <v>0</v>
      </c>
      <c r="AH81" s="147">
        <f t="shared" si="107"/>
        <v>0</v>
      </c>
      <c r="AI81" s="369">
        <f>SUM(AE81:AH81)</f>
        <v>0</v>
      </c>
      <c r="AJ81" s="372"/>
      <c r="AK81" s="151">
        <f>AH81</f>
        <v>0</v>
      </c>
      <c r="AL81" s="152">
        <f t="shared" si="108"/>
        <v>0</v>
      </c>
      <c r="AM81" s="152">
        <f t="shared" si="108"/>
        <v>0</v>
      </c>
      <c r="AN81" s="153">
        <f t="shared" si="108"/>
        <v>0</v>
      </c>
      <c r="AO81" s="370">
        <f>SUM(AK81:AN81)</f>
        <v>0</v>
      </c>
      <c r="AP81" s="372"/>
      <c r="AQ81" s="154">
        <f>AN81*4</f>
        <v>0</v>
      </c>
    </row>
    <row r="82" spans="1:43" ht="14.1" customHeight="1" thickBot="1">
      <c r="A82" s="357"/>
      <c r="B82" s="335" t="s">
        <v>254</v>
      </c>
      <c r="C82" s="315">
        <v>0</v>
      </c>
      <c r="D82" s="316">
        <f t="shared" ref="D82:N82" si="113">C82</f>
        <v>0</v>
      </c>
      <c r="E82" s="316">
        <f t="shared" si="113"/>
        <v>0</v>
      </c>
      <c r="F82" s="316">
        <f t="shared" si="113"/>
        <v>0</v>
      </c>
      <c r="G82" s="316">
        <f t="shared" si="113"/>
        <v>0</v>
      </c>
      <c r="H82" s="316">
        <f t="shared" si="113"/>
        <v>0</v>
      </c>
      <c r="I82" s="316">
        <f t="shared" si="113"/>
        <v>0</v>
      </c>
      <c r="J82" s="316">
        <f t="shared" si="113"/>
        <v>0</v>
      </c>
      <c r="K82" s="316">
        <f t="shared" si="113"/>
        <v>0</v>
      </c>
      <c r="L82" s="316">
        <f t="shared" si="113"/>
        <v>0</v>
      </c>
      <c r="M82" s="316">
        <f t="shared" si="113"/>
        <v>0</v>
      </c>
      <c r="N82" s="316">
        <f t="shared" si="113"/>
        <v>0</v>
      </c>
      <c r="O82" s="373">
        <f>SUM(C82:N82)</f>
        <v>0</v>
      </c>
      <c r="P82" s="367"/>
      <c r="Q82" s="317">
        <f>N82</f>
        <v>0</v>
      </c>
      <c r="R82" s="315">
        <f t="shared" ref="R82:AB82" si="114">Q82</f>
        <v>0</v>
      </c>
      <c r="S82" s="315">
        <f t="shared" si="114"/>
        <v>0</v>
      </c>
      <c r="T82" s="315">
        <f t="shared" si="114"/>
        <v>0</v>
      </c>
      <c r="U82" s="315">
        <f t="shared" si="114"/>
        <v>0</v>
      </c>
      <c r="V82" s="315">
        <f t="shared" si="114"/>
        <v>0</v>
      </c>
      <c r="W82" s="315">
        <f t="shared" si="114"/>
        <v>0</v>
      </c>
      <c r="X82" s="315">
        <f t="shared" si="114"/>
        <v>0</v>
      </c>
      <c r="Y82" s="315">
        <f t="shared" si="114"/>
        <v>0</v>
      </c>
      <c r="Z82" s="315">
        <f t="shared" si="114"/>
        <v>0</v>
      </c>
      <c r="AA82" s="315">
        <f t="shared" si="114"/>
        <v>0</v>
      </c>
      <c r="AB82" s="318">
        <f t="shared" si="114"/>
        <v>0</v>
      </c>
      <c r="AC82" s="373">
        <f>SUM(Q82:AB82)</f>
        <v>0</v>
      </c>
      <c r="AD82" s="372"/>
      <c r="AE82" s="317">
        <f>AB82*3</f>
        <v>0</v>
      </c>
      <c r="AF82" s="315">
        <f t="shared" si="107"/>
        <v>0</v>
      </c>
      <c r="AG82" s="315">
        <f t="shared" si="107"/>
        <v>0</v>
      </c>
      <c r="AH82" s="318">
        <f t="shared" si="107"/>
        <v>0</v>
      </c>
      <c r="AI82" s="373">
        <f>SUM(AE82:AH82)</f>
        <v>0</v>
      </c>
      <c r="AJ82" s="372"/>
      <c r="AK82" s="320">
        <f>AH82</f>
        <v>0</v>
      </c>
      <c r="AL82" s="315">
        <f t="shared" si="108"/>
        <v>0</v>
      </c>
      <c r="AM82" s="315">
        <f t="shared" si="108"/>
        <v>0</v>
      </c>
      <c r="AN82" s="321">
        <f t="shared" si="108"/>
        <v>0</v>
      </c>
      <c r="AO82" s="373">
        <f>SUM(AK82:AN82)</f>
        <v>0</v>
      </c>
      <c r="AP82" s="372"/>
      <c r="AQ82" s="319">
        <f>AN82*4</f>
        <v>0</v>
      </c>
    </row>
    <row r="83" spans="1:43" ht="14.1" customHeight="1" thickBot="1">
      <c r="B83" s="395" t="s">
        <v>255</v>
      </c>
      <c r="C83" s="375">
        <f t="shared" ref="C83:O83" si="115">SUM(C79:C82)</f>
        <v>0</v>
      </c>
      <c r="D83" s="376">
        <f t="shared" si="115"/>
        <v>0</v>
      </c>
      <c r="E83" s="376">
        <f t="shared" si="115"/>
        <v>0</v>
      </c>
      <c r="F83" s="376">
        <f t="shared" si="115"/>
        <v>0</v>
      </c>
      <c r="G83" s="376">
        <f t="shared" si="115"/>
        <v>0</v>
      </c>
      <c r="H83" s="376">
        <f t="shared" si="115"/>
        <v>0</v>
      </c>
      <c r="I83" s="376">
        <f t="shared" si="115"/>
        <v>0</v>
      </c>
      <c r="J83" s="376">
        <f t="shared" si="115"/>
        <v>0</v>
      </c>
      <c r="K83" s="376">
        <f t="shared" si="115"/>
        <v>0</v>
      </c>
      <c r="L83" s="376">
        <f t="shared" si="115"/>
        <v>0</v>
      </c>
      <c r="M83" s="376">
        <f t="shared" si="115"/>
        <v>0</v>
      </c>
      <c r="N83" s="376">
        <f t="shared" si="115"/>
        <v>0</v>
      </c>
      <c r="O83" s="377">
        <f t="shared" si="115"/>
        <v>0</v>
      </c>
      <c r="P83" s="367"/>
      <c r="Q83" s="376">
        <f t="shared" ref="Q83:AC83" si="116">SUM(Q79:Q82)</f>
        <v>0</v>
      </c>
      <c r="R83" s="376">
        <f t="shared" si="116"/>
        <v>0</v>
      </c>
      <c r="S83" s="376">
        <f t="shared" si="116"/>
        <v>0</v>
      </c>
      <c r="T83" s="376">
        <f t="shared" si="116"/>
        <v>0</v>
      </c>
      <c r="U83" s="376">
        <f t="shared" si="116"/>
        <v>0</v>
      </c>
      <c r="V83" s="376">
        <f t="shared" si="116"/>
        <v>0</v>
      </c>
      <c r="W83" s="376">
        <f t="shared" si="116"/>
        <v>0</v>
      </c>
      <c r="X83" s="376">
        <f t="shared" si="116"/>
        <v>0</v>
      </c>
      <c r="Y83" s="376">
        <f t="shared" si="116"/>
        <v>0</v>
      </c>
      <c r="Z83" s="376">
        <f t="shared" si="116"/>
        <v>0</v>
      </c>
      <c r="AA83" s="376">
        <f t="shared" si="116"/>
        <v>0</v>
      </c>
      <c r="AB83" s="376">
        <f t="shared" si="116"/>
        <v>0</v>
      </c>
      <c r="AC83" s="377">
        <f t="shared" si="116"/>
        <v>0</v>
      </c>
      <c r="AD83" s="372"/>
      <c r="AE83" s="376">
        <f>SUM(AE79:AE82)</f>
        <v>0</v>
      </c>
      <c r="AF83" s="376">
        <f>SUM(AF79:AF82)</f>
        <v>0</v>
      </c>
      <c r="AG83" s="376">
        <f>SUM(AG79:AG82)</f>
        <v>0</v>
      </c>
      <c r="AH83" s="376">
        <f>SUM(AH79:AH82)</f>
        <v>0</v>
      </c>
      <c r="AI83" s="377">
        <f>SUM(AI79:AI82)</f>
        <v>0</v>
      </c>
      <c r="AJ83" s="372"/>
      <c r="AK83" s="376">
        <f>SUM(AK79:AK82)</f>
        <v>0</v>
      </c>
      <c r="AL83" s="376">
        <f>SUM(AL79:AL82)</f>
        <v>0</v>
      </c>
      <c r="AM83" s="376">
        <f>SUM(AM79:AM82)</f>
        <v>0</v>
      </c>
      <c r="AN83" s="376">
        <f>SUM(AN79:AN82)</f>
        <v>0</v>
      </c>
      <c r="AO83" s="377">
        <f>SUM(AO79:AO82)</f>
        <v>0</v>
      </c>
      <c r="AP83" s="372"/>
      <c r="AQ83" s="377">
        <f>SUM(AQ79:AQ82)</f>
        <v>0</v>
      </c>
    </row>
    <row r="84" spans="1:43" ht="14.1" customHeight="1" thickBot="1">
      <c r="B84" s="379"/>
      <c r="C84" s="380"/>
      <c r="D84" s="380"/>
      <c r="E84" s="380"/>
      <c r="F84" s="380"/>
      <c r="G84" s="380"/>
      <c r="H84" s="380"/>
      <c r="I84" s="380"/>
      <c r="J84" s="380"/>
      <c r="K84" s="380"/>
      <c r="L84" s="380"/>
      <c r="M84" s="380"/>
      <c r="N84" s="381"/>
      <c r="O84" s="382"/>
      <c r="P84" s="325"/>
      <c r="Q84" s="380"/>
      <c r="R84" s="380"/>
      <c r="S84" s="380"/>
      <c r="T84" s="380"/>
      <c r="U84" s="380"/>
      <c r="V84" s="380"/>
      <c r="W84" s="380"/>
      <c r="X84" s="380"/>
      <c r="Y84" s="380"/>
      <c r="Z84" s="380"/>
      <c r="AA84" s="380"/>
      <c r="AB84" s="381"/>
      <c r="AC84" s="382"/>
      <c r="AE84" s="383"/>
      <c r="AF84" s="380"/>
      <c r="AG84" s="380"/>
      <c r="AH84" s="381"/>
      <c r="AI84" s="404"/>
      <c r="AK84" s="383"/>
      <c r="AL84" s="380"/>
      <c r="AM84" s="380"/>
      <c r="AN84" s="384"/>
      <c r="AO84" s="384"/>
      <c r="AQ84" s="382"/>
    </row>
    <row r="85" spans="1:43" ht="14.1" customHeight="1" thickBot="1">
      <c r="B85" s="395" t="s">
        <v>257</v>
      </c>
      <c r="C85" s="386">
        <f t="shared" ref="C85:N85" si="117">SUBTOTAL(109, C83,C75,C67,C59,C51,C43,C35,C27,C19,C11)</f>
        <v>0</v>
      </c>
      <c r="D85" s="386">
        <f t="shared" si="117"/>
        <v>0</v>
      </c>
      <c r="E85" s="386">
        <f t="shared" si="117"/>
        <v>0</v>
      </c>
      <c r="F85" s="386">
        <f t="shared" si="117"/>
        <v>0</v>
      </c>
      <c r="G85" s="386">
        <f t="shared" si="117"/>
        <v>0</v>
      </c>
      <c r="H85" s="386">
        <f t="shared" si="117"/>
        <v>0</v>
      </c>
      <c r="I85" s="386">
        <f t="shared" si="117"/>
        <v>0</v>
      </c>
      <c r="J85" s="386">
        <f t="shared" si="117"/>
        <v>0</v>
      </c>
      <c r="K85" s="386">
        <f t="shared" si="117"/>
        <v>0</v>
      </c>
      <c r="L85" s="386">
        <f t="shared" si="117"/>
        <v>0</v>
      </c>
      <c r="M85" s="386">
        <f t="shared" si="117"/>
        <v>0</v>
      </c>
      <c r="N85" s="386">
        <f t="shared" si="117"/>
        <v>0</v>
      </c>
      <c r="O85" s="387">
        <f>SUM(C85:N85)</f>
        <v>0</v>
      </c>
      <c r="P85" s="388"/>
      <c r="Q85" s="386">
        <f t="shared" ref="Q85:AB85" si="118">SUBTOTAL(109, Q83,Q75,Q67,Q59,Q51,Q43,Q35,Q27,Q19,Q11)</f>
        <v>0</v>
      </c>
      <c r="R85" s="386">
        <f t="shared" si="118"/>
        <v>0</v>
      </c>
      <c r="S85" s="386">
        <f t="shared" si="118"/>
        <v>0</v>
      </c>
      <c r="T85" s="386">
        <f t="shared" si="118"/>
        <v>0</v>
      </c>
      <c r="U85" s="386">
        <f t="shared" si="118"/>
        <v>0</v>
      </c>
      <c r="V85" s="386">
        <f t="shared" si="118"/>
        <v>0</v>
      </c>
      <c r="W85" s="386">
        <f t="shared" si="118"/>
        <v>0</v>
      </c>
      <c r="X85" s="386">
        <f t="shared" si="118"/>
        <v>0</v>
      </c>
      <c r="Y85" s="386">
        <f t="shared" si="118"/>
        <v>0</v>
      </c>
      <c r="Z85" s="386">
        <f t="shared" si="118"/>
        <v>0</v>
      </c>
      <c r="AA85" s="386">
        <f t="shared" si="118"/>
        <v>0</v>
      </c>
      <c r="AB85" s="386">
        <f t="shared" si="118"/>
        <v>0</v>
      </c>
      <c r="AC85" s="387">
        <f>SUM(Q85:AB85)</f>
        <v>0</v>
      </c>
      <c r="AD85" s="389"/>
      <c r="AE85" s="386">
        <f>SUBTOTAL(109, AE83,AE75,AE67,AE59,AE51,AE43,AE35,AE27,AE19,AE11)</f>
        <v>0</v>
      </c>
      <c r="AF85" s="386">
        <f>SUBTOTAL(109, AF83,AF75,AF67,AF59,AF51,AF43,AF35,AF27,AF19,AF11)</f>
        <v>0</v>
      </c>
      <c r="AG85" s="386">
        <f>SUBTOTAL(109, AG83,AG75,AG67,AG59,AG51,AG43,AG35,AG27,AG19,AG11)</f>
        <v>0</v>
      </c>
      <c r="AH85" s="386">
        <f>SUBTOTAL(109, AH83,AH75,AH67,AH59,AH51,AH43,AH35,AH27,AH19,AH11)</f>
        <v>0</v>
      </c>
      <c r="AI85" s="390">
        <f>SUM(AE85:AH85)</f>
        <v>0</v>
      </c>
      <c r="AJ85" s="389"/>
      <c r="AK85" s="386">
        <f>SUBTOTAL(109, AK83,AK75,AK67,AK59,AK51,AK43,AK35,AK27,AK19,AK11)</f>
        <v>0</v>
      </c>
      <c r="AL85" s="386">
        <f>SUBTOTAL(109, AL83,AL75,AL67,AL59,AL51,AL43,AL35,AL27,AL19,AL11)</f>
        <v>0</v>
      </c>
      <c r="AM85" s="386">
        <f>SUBTOTAL(109, AM83,AM75,AM67,AM59,AM51,AM43,AM35,AM27,AM19,AM11)</f>
        <v>0</v>
      </c>
      <c r="AN85" s="386">
        <f>SUBTOTAL(109, AN83,AN75,AN67,AN59,AN51,AN43,AN35,AN27,AN19,AN11)</f>
        <v>0</v>
      </c>
      <c r="AO85" s="387">
        <f>SUM(AK85:AN85)</f>
        <v>0</v>
      </c>
      <c r="AP85" s="389"/>
      <c r="AQ85" s="386">
        <f>SUBTOTAL(109, AQ83,AQ75,AQ67,AQ59,AQ51,AQ43,AQ35,AQ27,AQ19,AQ11)</f>
        <v>0</v>
      </c>
    </row>
  </sheetData>
  <sheetProtection sheet="1" objects="1" scenarios="1"/>
  <phoneticPr fontId="3" type="noConversion"/>
  <conditionalFormatting sqref="C11 C19 C27 C35 C43 C51 C59 C67 C75 C83">
    <cfRule type="cellIs" dxfId="13" priority="1" stopIfTrue="1" operator="lessThan">
      <formula>$C6</formula>
    </cfRule>
  </conditionalFormatting>
  <conditionalFormatting sqref="D11:N11 D19:N19 D27:N27 D35:N35 D43:N43 D51:N51 D59:N59 D67:N67 D75:N75 D83:N83">
    <cfRule type="expression" dxfId="12" priority="2" stopIfTrue="1">
      <formula>SUM($C11:D11)&lt;SUM($C6:D6)</formula>
    </cfRule>
  </conditionalFormatting>
  <conditionalFormatting sqref="O11 O19 O27 O35 O43 O51 O59 O67 O75 O83">
    <cfRule type="cellIs" dxfId="11" priority="3" stopIfTrue="1" operator="lessThan">
      <formula>O6</formula>
    </cfRule>
  </conditionalFormatting>
  <conditionalFormatting sqref="Q11:AB11 Q19:AB19 Q27:AB27 Q35:AB35 Q43:AB43 Q51:AB51 Q59:AB59 Q67:AB67 Q75:AB75 Q83:AB83">
    <cfRule type="expression" dxfId="10" priority="4" stopIfTrue="1">
      <formula>SUM($O11:Q11)&lt;SUM($O6:Q6)</formula>
    </cfRule>
  </conditionalFormatting>
  <conditionalFormatting sqref="AE11 AE19 AE27 AE35 AE43 AE51 AE59 AE67 AE75 AE83">
    <cfRule type="expression" dxfId="9" priority="5" stopIfTrue="1">
      <formula>SUM($O11,$AC11,AE11)&lt;SUM($O6,$AC6,AE6)</formula>
    </cfRule>
  </conditionalFormatting>
  <conditionalFormatting sqref="AF11:AH11 AF19:AH19 AF27:AH27 AF35:AH35 AF43:AH43 AF51:AH51 AF59:AH59 AF67:AH67 AF75:AH75 AF83:AH83">
    <cfRule type="expression" dxfId="8" priority="6" stopIfTrue="1">
      <formula>SUM($O11,$AC11,$AE11:AF11)&lt;SUM($O6,$AC6,$AE6:AF6)</formula>
    </cfRule>
  </conditionalFormatting>
  <conditionalFormatting sqref="AK11 AK19 AK27 AK35 AK43 AK51 AK59 AK67 AK75 AK83">
    <cfRule type="expression" dxfId="7" priority="7" stopIfTrue="1">
      <formula>SUM($O11,$AC11,$AI11,$AK11)&lt;SUM($O6,$AC6,$AI6,$AK6)</formula>
    </cfRule>
  </conditionalFormatting>
  <conditionalFormatting sqref="AL11:AN11 AL19:AN19 AL27:AN27 AL35:AN35 AL43:AN43 AL51:AN51 AL59:AN59 AL67:AN67 AL75:AN75 AL83:AN83">
    <cfRule type="expression" dxfId="6" priority="8" stopIfTrue="1">
      <formula>SUM($O11,$AC11,$AI11,$AK11:AL11)&lt;SUM($O6,$AC6,$AI6,$AK6:AL6)</formula>
    </cfRule>
  </conditionalFormatting>
  <conditionalFormatting sqref="AC11 AC19 AC27 AC35 AC43 AC51 AC59 AC67 AC75 AC83">
    <cfRule type="expression" dxfId="5" priority="9" stopIfTrue="1">
      <formula>SUM(AC6,O6)&gt;SUM(AC11,O11)</formula>
    </cfRule>
  </conditionalFormatting>
  <conditionalFormatting sqref="AI11 AI19 AI27 AI35 AI43 AI51 AI59 AI67 AI75 AI83">
    <cfRule type="expression" dxfId="4" priority="10" stopIfTrue="1">
      <formula>SUM(O6,AB6,AI6)&gt;SUM(O11,AB11,AI11)</formula>
    </cfRule>
  </conditionalFormatting>
  <conditionalFormatting sqref="AO11 AO19 AO27 AO35 AO43 AO51 AO59 AO67 AO75 AO83">
    <cfRule type="expression" dxfId="3" priority="11" stopIfTrue="1">
      <formula>SUM(O6,AC6,AI6,AO6)&gt;SUM(O11,AC11,AI11,AO11)</formula>
    </cfRule>
  </conditionalFormatting>
  <conditionalFormatting sqref="AQ11 AQ19 AQ27 AQ35 AQ43 AQ51 AQ59 AQ67 AQ75 AQ83">
    <cfRule type="expression" dxfId="2" priority="12" stopIfTrue="1">
      <formula>SUM(O6,AC6,AI6,AO6,AQ6)&gt;SUM(O11,AC11,AI11,AO11,AQ11)</formula>
    </cfRule>
  </conditionalFormatting>
  <printOptions horizontalCentered="1"/>
  <pageMargins left="0.75" right="0.75" top="1.25" bottom="1" header="0.5" footer="0.5"/>
  <pageSetup scale="60" orientation="landscape" horizontalDpi="4294967293" verticalDpi="4294967292" r:id="rId1"/>
  <headerFooter alignWithMargins="0">
    <oddHeader>&amp;A</oddHeader>
    <oddFooter>Page &amp;P of &amp;N</oddFooter>
  </headerFooter>
  <legacyDrawing r:id="rId2"/>
</worksheet>
</file>

<file path=xl/worksheets/sheet10.xml><?xml version="1.0" encoding="utf-8"?>
<worksheet xmlns="http://schemas.openxmlformats.org/spreadsheetml/2006/main" xmlns:r="http://schemas.openxmlformats.org/officeDocument/2006/relationships">
  <sheetPr codeName="Sheet3">
    <pageSetUpPr autoPageBreaks="0" fitToPage="1"/>
  </sheetPr>
  <dimension ref="A1:J73"/>
  <sheetViews>
    <sheetView showGridLines="0" showOutlineSymbols="0" workbookViewId="0">
      <selection activeCell="B6" sqref="B6"/>
    </sheetView>
  </sheetViews>
  <sheetFormatPr defaultRowHeight="12.75"/>
  <cols>
    <col min="1" max="1" width="1.7109375" style="106" customWidth="1"/>
    <col min="2" max="2" width="38.42578125" style="106" customWidth="1"/>
    <col min="3" max="3" width="11.28515625" style="106" customWidth="1"/>
    <col min="4" max="5" width="6" style="106" customWidth="1"/>
    <col min="6" max="6" width="8.7109375" style="106" customWidth="1"/>
    <col min="7" max="7" width="10.28515625" style="106" customWidth="1"/>
    <col min="8" max="8" width="1" style="106" customWidth="1"/>
    <col min="9" max="9" width="64.28515625" style="106" customWidth="1"/>
    <col min="10" max="10" width="10.140625" style="106" bestFit="1" customWidth="1"/>
    <col min="11" max="16384" width="9.140625" style="106"/>
  </cols>
  <sheetData>
    <row r="1" spans="1:10" ht="9.75" customHeight="1">
      <c r="A1" s="431"/>
      <c r="B1" s="431"/>
      <c r="C1" s="431"/>
      <c r="D1" s="431"/>
      <c r="E1" s="431"/>
      <c r="F1" s="431"/>
      <c r="G1" s="431"/>
    </row>
    <row r="2" spans="1:10" ht="24.75" customHeight="1">
      <c r="A2" s="432"/>
      <c r="B2" s="433" t="s">
        <v>226</v>
      </c>
      <c r="C2" s="342"/>
      <c r="D2" s="342"/>
      <c r="E2" s="107"/>
      <c r="F2" s="342"/>
      <c r="G2" s="342"/>
    </row>
    <row r="3" spans="1:10" ht="33.75" customHeight="1" thickBot="1">
      <c r="A3" s="108"/>
      <c r="B3" s="434" t="s">
        <v>204</v>
      </c>
      <c r="C3" s="434" t="s">
        <v>221</v>
      </c>
      <c r="D3" s="889" t="s">
        <v>205</v>
      </c>
      <c r="E3" s="890"/>
      <c r="F3" s="435" t="s">
        <v>222</v>
      </c>
      <c r="G3" s="436" t="s">
        <v>207</v>
      </c>
    </row>
    <row r="4" spans="1:10" s="442" customFormat="1" ht="15" customHeight="1">
      <c r="A4" s="108"/>
      <c r="B4" s="683"/>
      <c r="C4" s="437"/>
      <c r="D4" s="438"/>
      <c r="E4" s="439"/>
      <c r="F4" s="440"/>
      <c r="G4" s="441"/>
    </row>
    <row r="5" spans="1:10" s="112" customFormat="1" ht="14.1" customHeight="1">
      <c r="B5" s="113" t="s">
        <v>213</v>
      </c>
      <c r="C5" s="114"/>
      <c r="D5" s="287" t="s">
        <v>208</v>
      </c>
      <c r="E5" s="287" t="s">
        <v>209</v>
      </c>
      <c r="F5" s="106"/>
      <c r="G5" s="284"/>
    </row>
    <row r="6" spans="1:10" s="112" customFormat="1" ht="14.1" customHeight="1">
      <c r="B6" s="118" t="s">
        <v>309</v>
      </c>
      <c r="C6" s="169">
        <v>0</v>
      </c>
      <c r="D6" s="405" t="s">
        <v>383</v>
      </c>
      <c r="E6" s="140">
        <v>2008</v>
      </c>
      <c r="F6" s="282">
        <v>1</v>
      </c>
      <c r="G6" s="152">
        <v>0</v>
      </c>
      <c r="I6" s="836" t="str">
        <f t="shared" ref="I6:I15" si="0">IF(AND(DATEVALUE("01-"&amp; $D6 &amp;"-"&amp; $E6) &lt;cStartDate, C6&gt;0), "WARNING - Purchase date must be on or after your business's start date.", "")</f>
        <v/>
      </c>
      <c r="J6" s="835"/>
    </row>
    <row r="7" spans="1:10" s="112" customFormat="1" ht="14.1" customHeight="1">
      <c r="B7" s="118" t="s">
        <v>215</v>
      </c>
      <c r="C7" s="169">
        <v>0</v>
      </c>
      <c r="D7" s="405" t="s">
        <v>383</v>
      </c>
      <c r="E7" s="140">
        <v>2008</v>
      </c>
      <c r="F7" s="282">
        <v>1</v>
      </c>
      <c r="G7" s="152">
        <v>0</v>
      </c>
      <c r="I7" s="836" t="str">
        <f t="shared" si="0"/>
        <v/>
      </c>
    </row>
    <row r="8" spans="1:10" s="112" customFormat="1" ht="14.1" customHeight="1">
      <c r="B8" s="118" t="s">
        <v>216</v>
      </c>
      <c r="C8" s="169">
        <v>0</v>
      </c>
      <c r="D8" s="405" t="s">
        <v>383</v>
      </c>
      <c r="E8" s="140">
        <v>2008</v>
      </c>
      <c r="F8" s="282">
        <v>1</v>
      </c>
      <c r="G8" s="152">
        <v>0</v>
      </c>
      <c r="I8" s="836" t="str">
        <f>IF(AND(DATEVALUE("01-"&amp; $D8 &amp;"-"&amp; $E8) &lt;cStartDate, C8&gt;0), "WARNING - Purchase date must be on or after your business's start date.", "")</f>
        <v/>
      </c>
    </row>
    <row r="9" spans="1:10" s="112" customFormat="1" ht="14.1" customHeight="1">
      <c r="B9" s="118" t="s">
        <v>217</v>
      </c>
      <c r="C9" s="169">
        <v>0</v>
      </c>
      <c r="D9" s="405" t="s">
        <v>383</v>
      </c>
      <c r="E9" s="140">
        <v>2008</v>
      </c>
      <c r="F9" s="282">
        <v>1</v>
      </c>
      <c r="G9" s="152">
        <v>0</v>
      </c>
      <c r="I9" s="836" t="str">
        <f t="shared" si="0"/>
        <v/>
      </c>
    </row>
    <row r="10" spans="1:10" s="112" customFormat="1" ht="14.1" customHeight="1">
      <c r="B10" s="118" t="s">
        <v>218</v>
      </c>
      <c r="C10" s="169">
        <v>0</v>
      </c>
      <c r="D10" s="405" t="s">
        <v>383</v>
      </c>
      <c r="E10" s="140">
        <v>2008</v>
      </c>
      <c r="F10" s="282">
        <v>1</v>
      </c>
      <c r="G10" s="152">
        <v>0</v>
      </c>
      <c r="I10" s="836" t="str">
        <f t="shared" si="0"/>
        <v/>
      </c>
    </row>
    <row r="11" spans="1:10" s="112" customFormat="1" ht="14.1" customHeight="1">
      <c r="B11" s="118" t="s">
        <v>219</v>
      </c>
      <c r="C11" s="169">
        <v>0</v>
      </c>
      <c r="D11" s="405" t="s">
        <v>383</v>
      </c>
      <c r="E11" s="140">
        <v>2008</v>
      </c>
      <c r="F11" s="282">
        <v>1</v>
      </c>
      <c r="G11" s="152">
        <v>0</v>
      </c>
      <c r="I11" s="836" t="str">
        <f t="shared" si="0"/>
        <v/>
      </c>
    </row>
    <row r="12" spans="1:10" s="112" customFormat="1" ht="14.1" customHeight="1">
      <c r="B12" s="118" t="s">
        <v>220</v>
      </c>
      <c r="C12" s="169">
        <v>0</v>
      </c>
      <c r="D12" s="405" t="s">
        <v>383</v>
      </c>
      <c r="E12" s="140">
        <v>2008</v>
      </c>
      <c r="F12" s="282">
        <v>1</v>
      </c>
      <c r="G12" s="152">
        <v>0</v>
      </c>
      <c r="I12" s="836" t="str">
        <f t="shared" si="0"/>
        <v/>
      </c>
    </row>
    <row r="13" spans="1:10" s="112" customFormat="1" ht="14.1" customHeight="1">
      <c r="B13" s="118" t="s">
        <v>223</v>
      </c>
      <c r="C13" s="169">
        <v>0</v>
      </c>
      <c r="D13" s="405" t="s">
        <v>383</v>
      </c>
      <c r="E13" s="140">
        <v>2008</v>
      </c>
      <c r="F13" s="282">
        <v>1</v>
      </c>
      <c r="G13" s="152">
        <v>0</v>
      </c>
      <c r="I13" s="836" t="str">
        <f t="shared" si="0"/>
        <v/>
      </c>
    </row>
    <row r="14" spans="1:10" s="112" customFormat="1" ht="14.1" customHeight="1">
      <c r="B14" s="118" t="s">
        <v>224</v>
      </c>
      <c r="C14" s="169">
        <v>0</v>
      </c>
      <c r="D14" s="405" t="s">
        <v>383</v>
      </c>
      <c r="E14" s="140">
        <v>2008</v>
      </c>
      <c r="F14" s="282">
        <v>1</v>
      </c>
      <c r="G14" s="152">
        <v>0</v>
      </c>
      <c r="I14" s="836" t="str">
        <f t="shared" si="0"/>
        <v/>
      </c>
    </row>
    <row r="15" spans="1:10" s="112" customFormat="1" ht="14.1" customHeight="1">
      <c r="A15" s="111"/>
      <c r="B15" s="118" t="s">
        <v>225</v>
      </c>
      <c r="C15" s="169">
        <v>0</v>
      </c>
      <c r="D15" s="405" t="s">
        <v>383</v>
      </c>
      <c r="E15" s="140">
        <v>2008</v>
      </c>
      <c r="F15" s="282">
        <v>1</v>
      </c>
      <c r="G15" s="152">
        <v>0</v>
      </c>
      <c r="I15" s="836" t="str">
        <f t="shared" si="0"/>
        <v/>
      </c>
    </row>
    <row r="16" spans="1:10" s="112" customFormat="1" ht="14.1" customHeight="1">
      <c r="B16" s="113"/>
      <c r="C16" s="170"/>
      <c r="D16" s="284"/>
      <c r="E16" s="284"/>
      <c r="F16" s="106"/>
      <c r="G16" s="284"/>
      <c r="I16" s="836"/>
    </row>
    <row r="17" spans="1:9" s="112" customFormat="1" ht="14.1" customHeight="1">
      <c r="B17" s="115" t="s">
        <v>214</v>
      </c>
      <c r="C17" s="171"/>
      <c r="D17" s="285"/>
      <c r="E17" s="285"/>
      <c r="F17" s="286"/>
      <c r="G17" s="285"/>
      <c r="I17" s="836"/>
    </row>
    <row r="18" spans="1:9" s="116" customFormat="1" ht="14.1" customHeight="1">
      <c r="B18" s="118" t="s">
        <v>309</v>
      </c>
      <c r="C18" s="152">
        <v>0</v>
      </c>
      <c r="D18" s="405" t="s">
        <v>383</v>
      </c>
      <c r="E18" s="140">
        <v>2008</v>
      </c>
      <c r="F18" s="282">
        <v>1</v>
      </c>
      <c r="G18" s="152">
        <v>0</v>
      </c>
      <c r="I18" s="836" t="str">
        <f t="shared" ref="I18:I37" si="1">IF(AND(DATEVALUE("01-"&amp; $D18 &amp;"-"&amp; $E18) &lt;cStartDate, C18&gt;0), "WARNING - Purchase date must be on or after your business's start date.", "")</f>
        <v/>
      </c>
    </row>
    <row r="19" spans="1:9" s="116" customFormat="1" ht="14.1" customHeight="1">
      <c r="B19" s="118" t="s">
        <v>215</v>
      </c>
      <c r="C19" s="147">
        <v>0</v>
      </c>
      <c r="D19" s="405" t="s">
        <v>383</v>
      </c>
      <c r="E19" s="140">
        <v>2008</v>
      </c>
      <c r="F19" s="282">
        <v>1</v>
      </c>
      <c r="G19" s="152">
        <v>0</v>
      </c>
      <c r="I19" s="836" t="str">
        <f t="shared" si="1"/>
        <v/>
      </c>
    </row>
    <row r="20" spans="1:9" s="116" customFormat="1" ht="14.1" customHeight="1">
      <c r="A20" s="117"/>
      <c r="B20" s="118" t="s">
        <v>216</v>
      </c>
      <c r="C20" s="147">
        <v>0</v>
      </c>
      <c r="D20" s="405" t="s">
        <v>383</v>
      </c>
      <c r="E20" s="140">
        <v>2008</v>
      </c>
      <c r="F20" s="282">
        <v>1</v>
      </c>
      <c r="G20" s="152">
        <v>0</v>
      </c>
      <c r="I20" s="836" t="str">
        <f t="shared" si="1"/>
        <v/>
      </c>
    </row>
    <row r="21" spans="1:9" s="116" customFormat="1" ht="14.1" customHeight="1">
      <c r="A21" s="117"/>
      <c r="B21" s="118" t="s">
        <v>217</v>
      </c>
      <c r="C21" s="147">
        <v>0</v>
      </c>
      <c r="D21" s="405" t="s">
        <v>383</v>
      </c>
      <c r="E21" s="140">
        <v>2008</v>
      </c>
      <c r="F21" s="282">
        <v>1</v>
      </c>
      <c r="G21" s="152">
        <v>0</v>
      </c>
      <c r="I21" s="836" t="str">
        <f t="shared" si="1"/>
        <v/>
      </c>
    </row>
    <row r="22" spans="1:9" s="116" customFormat="1" ht="14.1" customHeight="1">
      <c r="A22" s="117"/>
      <c r="B22" s="118" t="s">
        <v>218</v>
      </c>
      <c r="C22" s="147">
        <v>0</v>
      </c>
      <c r="D22" s="405" t="s">
        <v>383</v>
      </c>
      <c r="E22" s="140">
        <v>2008</v>
      </c>
      <c r="F22" s="282">
        <v>1</v>
      </c>
      <c r="G22" s="152">
        <v>0</v>
      </c>
      <c r="I22" s="836" t="str">
        <f t="shared" si="1"/>
        <v/>
      </c>
    </row>
    <row r="23" spans="1:9" s="116" customFormat="1" ht="14.1" customHeight="1">
      <c r="A23" s="117"/>
      <c r="B23" s="118" t="s">
        <v>219</v>
      </c>
      <c r="C23" s="147">
        <v>0</v>
      </c>
      <c r="D23" s="405" t="s">
        <v>383</v>
      </c>
      <c r="E23" s="140">
        <v>2008</v>
      </c>
      <c r="F23" s="282">
        <v>1</v>
      </c>
      <c r="G23" s="152">
        <v>0</v>
      </c>
      <c r="I23" s="836" t="str">
        <f t="shared" si="1"/>
        <v/>
      </c>
    </row>
    <row r="24" spans="1:9" s="112" customFormat="1" ht="14.1" customHeight="1">
      <c r="B24" s="118" t="s">
        <v>220</v>
      </c>
      <c r="C24" s="169">
        <v>0</v>
      </c>
      <c r="D24" s="405" t="s">
        <v>383</v>
      </c>
      <c r="E24" s="140">
        <v>2008</v>
      </c>
      <c r="F24" s="282">
        <v>1</v>
      </c>
      <c r="G24" s="152">
        <v>0</v>
      </c>
      <c r="I24" s="836" t="str">
        <f t="shared" si="1"/>
        <v/>
      </c>
    </row>
    <row r="25" spans="1:9" s="112" customFormat="1" ht="14.1" customHeight="1">
      <c r="B25" s="118" t="s">
        <v>223</v>
      </c>
      <c r="C25" s="169">
        <v>0</v>
      </c>
      <c r="D25" s="405" t="s">
        <v>383</v>
      </c>
      <c r="E25" s="140">
        <v>2008</v>
      </c>
      <c r="F25" s="282">
        <v>1</v>
      </c>
      <c r="G25" s="152">
        <v>0</v>
      </c>
      <c r="I25" s="836" t="str">
        <f t="shared" si="1"/>
        <v/>
      </c>
    </row>
    <row r="26" spans="1:9" s="112" customFormat="1" ht="14.1" customHeight="1">
      <c r="A26" s="111"/>
      <c r="B26" s="118" t="s">
        <v>224</v>
      </c>
      <c r="C26" s="169">
        <v>0</v>
      </c>
      <c r="D26" s="405" t="s">
        <v>383</v>
      </c>
      <c r="E26" s="140">
        <v>2008</v>
      </c>
      <c r="F26" s="282">
        <v>1</v>
      </c>
      <c r="G26" s="152">
        <v>0</v>
      </c>
      <c r="I26" s="836" t="str">
        <f t="shared" si="1"/>
        <v/>
      </c>
    </row>
    <row r="27" spans="1:9" s="116" customFormat="1" ht="14.1" customHeight="1">
      <c r="A27" s="117"/>
      <c r="B27" s="118" t="s">
        <v>225</v>
      </c>
      <c r="C27" s="147">
        <v>0</v>
      </c>
      <c r="D27" s="405" t="s">
        <v>383</v>
      </c>
      <c r="E27" s="140">
        <v>2008</v>
      </c>
      <c r="F27" s="282">
        <v>1</v>
      </c>
      <c r="G27" s="152">
        <v>0</v>
      </c>
      <c r="I27" s="836" t="str">
        <f t="shared" si="1"/>
        <v/>
      </c>
    </row>
    <row r="28" spans="1:9" ht="13.5" customHeight="1">
      <c r="A28" s="116"/>
      <c r="B28" s="118" t="s">
        <v>234</v>
      </c>
      <c r="C28" s="152">
        <v>0</v>
      </c>
      <c r="D28" s="405" t="s">
        <v>383</v>
      </c>
      <c r="E28" s="140">
        <v>2008</v>
      </c>
      <c r="F28" s="282">
        <v>1</v>
      </c>
      <c r="G28" s="152">
        <v>0</v>
      </c>
      <c r="I28" s="836" t="str">
        <f t="shared" si="1"/>
        <v/>
      </c>
    </row>
    <row r="29" spans="1:9" ht="13.5" customHeight="1">
      <c r="A29" s="116"/>
      <c r="B29" s="118" t="s">
        <v>235</v>
      </c>
      <c r="C29" s="152">
        <v>0</v>
      </c>
      <c r="D29" s="405" t="s">
        <v>383</v>
      </c>
      <c r="E29" s="140">
        <v>2008</v>
      </c>
      <c r="F29" s="282">
        <v>1</v>
      </c>
      <c r="G29" s="152">
        <v>0</v>
      </c>
      <c r="I29" s="836" t="str">
        <f t="shared" si="1"/>
        <v/>
      </c>
    </row>
    <row r="30" spans="1:9" ht="13.5" customHeight="1">
      <c r="A30" s="116"/>
      <c r="B30" s="118" t="s">
        <v>236</v>
      </c>
      <c r="C30" s="152">
        <v>0</v>
      </c>
      <c r="D30" s="405" t="s">
        <v>383</v>
      </c>
      <c r="E30" s="140">
        <v>2008</v>
      </c>
      <c r="F30" s="282">
        <v>1</v>
      </c>
      <c r="G30" s="152">
        <v>0</v>
      </c>
      <c r="I30" s="836" t="str">
        <f t="shared" si="1"/>
        <v/>
      </c>
    </row>
    <row r="31" spans="1:9" ht="13.5" customHeight="1">
      <c r="A31" s="116"/>
      <c r="B31" s="118" t="s">
        <v>237</v>
      </c>
      <c r="C31" s="152">
        <v>0</v>
      </c>
      <c r="D31" s="405" t="s">
        <v>383</v>
      </c>
      <c r="E31" s="140">
        <v>2008</v>
      </c>
      <c r="F31" s="282">
        <v>1</v>
      </c>
      <c r="G31" s="152">
        <v>0</v>
      </c>
      <c r="I31" s="836" t="str">
        <f t="shared" si="1"/>
        <v/>
      </c>
    </row>
    <row r="32" spans="1:9" ht="13.5" customHeight="1">
      <c r="A32" s="116"/>
      <c r="B32" s="118" t="s">
        <v>238</v>
      </c>
      <c r="C32" s="152">
        <v>0</v>
      </c>
      <c r="D32" s="405" t="s">
        <v>383</v>
      </c>
      <c r="E32" s="140">
        <v>2008</v>
      </c>
      <c r="F32" s="282">
        <v>1</v>
      </c>
      <c r="G32" s="152">
        <v>0</v>
      </c>
      <c r="I32" s="836" t="str">
        <f t="shared" si="1"/>
        <v/>
      </c>
    </row>
    <row r="33" spans="1:9" ht="13.5" customHeight="1">
      <c r="A33" s="116"/>
      <c r="B33" s="118" t="s">
        <v>239</v>
      </c>
      <c r="C33" s="152">
        <v>0</v>
      </c>
      <c r="D33" s="405" t="s">
        <v>383</v>
      </c>
      <c r="E33" s="140">
        <v>2008</v>
      </c>
      <c r="F33" s="282">
        <v>1</v>
      </c>
      <c r="G33" s="152">
        <v>0</v>
      </c>
      <c r="I33" s="836" t="str">
        <f t="shared" si="1"/>
        <v/>
      </c>
    </row>
    <row r="34" spans="1:9" ht="13.5" customHeight="1">
      <c r="A34" s="116"/>
      <c r="B34" s="118" t="s">
        <v>240</v>
      </c>
      <c r="C34" s="152">
        <v>0</v>
      </c>
      <c r="D34" s="405" t="s">
        <v>383</v>
      </c>
      <c r="E34" s="140">
        <v>2008</v>
      </c>
      <c r="F34" s="282">
        <v>1</v>
      </c>
      <c r="G34" s="152">
        <v>0</v>
      </c>
      <c r="I34" s="836" t="str">
        <f t="shared" si="1"/>
        <v/>
      </c>
    </row>
    <row r="35" spans="1:9" ht="13.5" customHeight="1">
      <c r="A35" s="116"/>
      <c r="B35" s="118" t="s">
        <v>241</v>
      </c>
      <c r="C35" s="152">
        <v>0</v>
      </c>
      <c r="D35" s="405" t="s">
        <v>383</v>
      </c>
      <c r="E35" s="140">
        <v>2008</v>
      </c>
      <c r="F35" s="282">
        <v>1</v>
      </c>
      <c r="G35" s="152">
        <v>0</v>
      </c>
      <c r="I35" s="836" t="str">
        <f t="shared" si="1"/>
        <v/>
      </c>
    </row>
    <row r="36" spans="1:9" ht="13.5" customHeight="1">
      <c r="A36" s="116"/>
      <c r="B36" s="118" t="s">
        <v>242</v>
      </c>
      <c r="C36" s="152">
        <v>0</v>
      </c>
      <c r="D36" s="405" t="s">
        <v>383</v>
      </c>
      <c r="E36" s="140">
        <v>2008</v>
      </c>
      <c r="F36" s="282">
        <v>1</v>
      </c>
      <c r="G36" s="152">
        <v>0</v>
      </c>
      <c r="I36" s="836" t="str">
        <f t="shared" si="1"/>
        <v/>
      </c>
    </row>
    <row r="37" spans="1:9" ht="13.5" customHeight="1">
      <c r="A37" s="116"/>
      <c r="B37" s="118" t="s">
        <v>243</v>
      </c>
      <c r="C37" s="152">
        <v>0</v>
      </c>
      <c r="D37" s="405" t="s">
        <v>383</v>
      </c>
      <c r="E37" s="140">
        <v>2008</v>
      </c>
      <c r="F37" s="282">
        <v>1</v>
      </c>
      <c r="G37" s="152">
        <v>0</v>
      </c>
      <c r="I37" s="836" t="str">
        <f t="shared" si="1"/>
        <v/>
      </c>
    </row>
    <row r="38" spans="1:9" ht="13.5" customHeight="1">
      <c r="A38" s="357"/>
      <c r="B38" s="684"/>
      <c r="C38" s="458"/>
      <c r="D38" s="459"/>
      <c r="E38" s="459"/>
      <c r="F38" s="459"/>
      <c r="G38" s="459"/>
      <c r="I38" s="836"/>
    </row>
    <row r="39" spans="1:9" ht="13.5" customHeight="1">
      <c r="A39" s="116"/>
      <c r="B39" s="460" t="s">
        <v>233</v>
      </c>
      <c r="C39" s="451"/>
      <c r="D39" s="461"/>
      <c r="E39" s="461"/>
      <c r="F39" s="461"/>
      <c r="G39" s="461"/>
      <c r="I39" s="836"/>
    </row>
    <row r="40" spans="1:9" ht="13.5" customHeight="1">
      <c r="A40" s="116"/>
      <c r="B40" s="118" t="s">
        <v>309</v>
      </c>
      <c r="C40" s="147">
        <v>0</v>
      </c>
      <c r="D40" s="405" t="s">
        <v>383</v>
      </c>
      <c r="E40" s="140">
        <v>2008</v>
      </c>
      <c r="F40" s="282">
        <v>1</v>
      </c>
      <c r="G40" s="147">
        <v>0</v>
      </c>
      <c r="I40" s="836" t="str">
        <f t="shared" ref="I40:I54" si="2">IF(AND(DATEVALUE("01-"&amp; $D40 &amp;"-"&amp; $E40) &lt;cStartDate, C40&gt;0), "WARNING - Purchase date must be on or after your business's start date.", "")</f>
        <v/>
      </c>
    </row>
    <row r="41" spans="1:9" ht="13.5" customHeight="1">
      <c r="A41" s="116"/>
      <c r="B41" s="118" t="s">
        <v>215</v>
      </c>
      <c r="C41" s="147">
        <v>0</v>
      </c>
      <c r="D41" s="405" t="s">
        <v>383</v>
      </c>
      <c r="E41" s="140">
        <v>2008</v>
      </c>
      <c r="F41" s="282">
        <v>1</v>
      </c>
      <c r="G41" s="147">
        <v>0</v>
      </c>
      <c r="I41" s="836" t="str">
        <f t="shared" si="2"/>
        <v/>
      </c>
    </row>
    <row r="42" spans="1:9" ht="13.5" customHeight="1">
      <c r="A42" s="357"/>
      <c r="B42" s="118" t="s">
        <v>216</v>
      </c>
      <c r="C42" s="147">
        <v>0</v>
      </c>
      <c r="D42" s="405" t="s">
        <v>383</v>
      </c>
      <c r="E42" s="140">
        <v>2008</v>
      </c>
      <c r="F42" s="282">
        <v>1</v>
      </c>
      <c r="G42" s="147">
        <v>0</v>
      </c>
      <c r="I42" s="836" t="str">
        <f t="shared" si="2"/>
        <v/>
      </c>
    </row>
    <row r="43" spans="1:9" ht="13.5" customHeight="1">
      <c r="A43" s="116"/>
      <c r="B43" s="118" t="s">
        <v>217</v>
      </c>
      <c r="C43" s="147">
        <v>0</v>
      </c>
      <c r="D43" s="405" t="s">
        <v>383</v>
      </c>
      <c r="E43" s="140">
        <v>2008</v>
      </c>
      <c r="F43" s="282">
        <v>1</v>
      </c>
      <c r="G43" s="147">
        <v>0</v>
      </c>
      <c r="I43" s="836" t="str">
        <f t="shared" si="2"/>
        <v/>
      </c>
    </row>
    <row r="44" spans="1:9" ht="13.5" customHeight="1">
      <c r="A44" s="357"/>
      <c r="B44" s="118" t="s">
        <v>218</v>
      </c>
      <c r="C44" s="147">
        <v>0</v>
      </c>
      <c r="D44" s="405" t="s">
        <v>383</v>
      </c>
      <c r="E44" s="140">
        <v>2008</v>
      </c>
      <c r="F44" s="282">
        <v>1</v>
      </c>
      <c r="G44" s="147">
        <v>0</v>
      </c>
      <c r="I44" s="836" t="str">
        <f t="shared" si="2"/>
        <v/>
      </c>
    </row>
    <row r="45" spans="1:9" ht="13.5" customHeight="1">
      <c r="A45" s="357"/>
      <c r="B45" s="118" t="s">
        <v>219</v>
      </c>
      <c r="C45" s="147">
        <v>0</v>
      </c>
      <c r="D45" s="405" t="s">
        <v>383</v>
      </c>
      <c r="E45" s="140">
        <v>2008</v>
      </c>
      <c r="F45" s="282">
        <v>1</v>
      </c>
      <c r="G45" s="147">
        <v>0</v>
      </c>
      <c r="I45" s="836" t="str">
        <f t="shared" si="2"/>
        <v/>
      </c>
    </row>
    <row r="46" spans="1:9" ht="13.5" customHeight="1">
      <c r="A46" s="116"/>
      <c r="B46" s="118" t="s">
        <v>220</v>
      </c>
      <c r="C46" s="152">
        <v>0</v>
      </c>
      <c r="D46" s="405" t="s">
        <v>383</v>
      </c>
      <c r="E46" s="140">
        <v>2008</v>
      </c>
      <c r="F46" s="282">
        <v>1</v>
      </c>
      <c r="G46" s="152">
        <v>0</v>
      </c>
      <c r="I46" s="836" t="str">
        <f t="shared" si="2"/>
        <v/>
      </c>
    </row>
    <row r="47" spans="1:9" ht="13.5" customHeight="1">
      <c r="A47" s="116"/>
      <c r="B47" s="118" t="s">
        <v>223</v>
      </c>
      <c r="C47" s="152">
        <v>0</v>
      </c>
      <c r="D47" s="405" t="s">
        <v>383</v>
      </c>
      <c r="E47" s="140">
        <v>2008</v>
      </c>
      <c r="F47" s="282">
        <v>1</v>
      </c>
      <c r="G47" s="152">
        <v>0</v>
      </c>
      <c r="I47" s="836" t="str">
        <f t="shared" si="2"/>
        <v/>
      </c>
    </row>
    <row r="48" spans="1:9" ht="13.5" customHeight="1">
      <c r="A48" s="116"/>
      <c r="B48" s="118" t="s">
        <v>224</v>
      </c>
      <c r="C48" s="152">
        <v>0</v>
      </c>
      <c r="D48" s="405" t="s">
        <v>383</v>
      </c>
      <c r="E48" s="140">
        <v>2008</v>
      </c>
      <c r="F48" s="282">
        <v>1</v>
      </c>
      <c r="G48" s="152">
        <v>0</v>
      </c>
      <c r="I48" s="836" t="str">
        <f t="shared" si="2"/>
        <v/>
      </c>
    </row>
    <row r="49" spans="1:9" ht="13.5" customHeight="1">
      <c r="A49" s="357"/>
      <c r="B49" s="118" t="s">
        <v>225</v>
      </c>
      <c r="C49" s="147">
        <v>0</v>
      </c>
      <c r="D49" s="405" t="s">
        <v>383</v>
      </c>
      <c r="E49" s="140">
        <v>2008</v>
      </c>
      <c r="F49" s="282">
        <v>1</v>
      </c>
      <c r="G49" s="147">
        <v>0</v>
      </c>
      <c r="I49" s="836" t="str">
        <f t="shared" si="2"/>
        <v/>
      </c>
    </row>
    <row r="50" spans="1:9" ht="13.5" customHeight="1">
      <c r="A50" s="357"/>
      <c r="B50" s="118" t="s">
        <v>234</v>
      </c>
      <c r="C50" s="147">
        <v>0</v>
      </c>
      <c r="D50" s="405" t="s">
        <v>383</v>
      </c>
      <c r="E50" s="140">
        <v>2008</v>
      </c>
      <c r="F50" s="282">
        <v>1</v>
      </c>
      <c r="G50" s="147">
        <v>0</v>
      </c>
      <c r="I50" s="836" t="str">
        <f t="shared" si="2"/>
        <v/>
      </c>
    </row>
    <row r="51" spans="1:9" ht="13.5" customHeight="1">
      <c r="A51" s="357"/>
      <c r="B51" s="118" t="s">
        <v>235</v>
      </c>
      <c r="C51" s="147">
        <v>0</v>
      </c>
      <c r="D51" s="405" t="s">
        <v>383</v>
      </c>
      <c r="E51" s="140">
        <v>2008</v>
      </c>
      <c r="F51" s="282">
        <v>1</v>
      </c>
      <c r="G51" s="147">
        <v>0</v>
      </c>
      <c r="I51" s="836" t="str">
        <f t="shared" si="2"/>
        <v/>
      </c>
    </row>
    <row r="52" spans="1:9" ht="13.5" customHeight="1">
      <c r="A52" s="357"/>
      <c r="B52" s="118" t="s">
        <v>236</v>
      </c>
      <c r="C52" s="147">
        <v>0</v>
      </c>
      <c r="D52" s="405" t="s">
        <v>383</v>
      </c>
      <c r="E52" s="140">
        <v>2008</v>
      </c>
      <c r="F52" s="282">
        <v>1</v>
      </c>
      <c r="G52" s="147">
        <v>0</v>
      </c>
      <c r="I52" s="836" t="str">
        <f t="shared" si="2"/>
        <v/>
      </c>
    </row>
    <row r="53" spans="1:9" ht="13.5" customHeight="1">
      <c r="A53" s="357"/>
      <c r="B53" s="118" t="s">
        <v>237</v>
      </c>
      <c r="C53" s="147">
        <v>0</v>
      </c>
      <c r="D53" s="405" t="s">
        <v>383</v>
      </c>
      <c r="E53" s="140">
        <v>2008</v>
      </c>
      <c r="F53" s="282">
        <v>1</v>
      </c>
      <c r="G53" s="147">
        <v>0</v>
      </c>
      <c r="I53" s="836" t="str">
        <f t="shared" si="2"/>
        <v/>
      </c>
    </row>
    <row r="54" spans="1:9" ht="13.5" customHeight="1">
      <c r="A54" s="357"/>
      <c r="B54" s="118" t="s">
        <v>238</v>
      </c>
      <c r="C54" s="147">
        <v>0</v>
      </c>
      <c r="D54" s="405" t="s">
        <v>383</v>
      </c>
      <c r="E54" s="140">
        <v>2008</v>
      </c>
      <c r="F54" s="282">
        <v>1</v>
      </c>
      <c r="G54" s="147">
        <v>0</v>
      </c>
      <c r="I54" s="836" t="str">
        <f t="shared" si="2"/>
        <v/>
      </c>
    </row>
    <row r="55" spans="1:9" ht="13.5" customHeight="1">
      <c r="A55" s="357"/>
      <c r="B55" s="443"/>
      <c r="C55" s="451"/>
      <c r="D55" s="462"/>
      <c r="E55" s="444"/>
      <c r="F55" s="450"/>
      <c r="G55" s="451"/>
      <c r="I55" s="836"/>
    </row>
    <row r="56" spans="1:9" ht="13.5" customHeight="1">
      <c r="A56" s="357"/>
      <c r="B56" s="460" t="s">
        <v>154</v>
      </c>
      <c r="C56" s="451"/>
      <c r="D56" s="463"/>
      <c r="E56" s="444"/>
      <c r="F56" s="450"/>
      <c r="G56" s="451"/>
      <c r="I56" s="836"/>
    </row>
    <row r="57" spans="1:9" ht="13.5" customHeight="1">
      <c r="A57" s="357"/>
      <c r="B57" s="118" t="s">
        <v>309</v>
      </c>
      <c r="C57" s="147">
        <v>0</v>
      </c>
      <c r="D57" s="405" t="s">
        <v>383</v>
      </c>
      <c r="E57" s="140">
        <v>2008</v>
      </c>
      <c r="F57" s="282">
        <v>1</v>
      </c>
      <c r="G57" s="147">
        <v>0</v>
      </c>
      <c r="I57" s="836" t="str">
        <f>IF(AND(DATEVALUE("01-"&amp; $D57 &amp;"-"&amp; $E57) &lt;cStartDate, C57&gt;0), "WARNING - Purchase date must be on or after your business's start date.", "")</f>
        <v/>
      </c>
    </row>
    <row r="58" spans="1:9" ht="13.5" customHeight="1">
      <c r="A58" s="357"/>
      <c r="B58" s="118" t="s">
        <v>215</v>
      </c>
      <c r="C58" s="152">
        <v>0</v>
      </c>
      <c r="D58" s="405" t="s">
        <v>383</v>
      </c>
      <c r="E58" s="140">
        <v>2008</v>
      </c>
      <c r="F58" s="282">
        <v>1</v>
      </c>
      <c r="G58" s="152">
        <v>0</v>
      </c>
      <c r="I58" s="836" t="str">
        <f>IF(AND(DATEVALUE("01-"&amp; $D58 &amp;"-"&amp; $E58) &lt;cStartDate, C58&gt;0), "WARNING - Purchase date must be on or after your business's start date.", "")</f>
        <v/>
      </c>
    </row>
    <row r="59" spans="1:9" ht="13.5" customHeight="1">
      <c r="A59" s="357"/>
      <c r="B59" s="118" t="s">
        <v>216</v>
      </c>
      <c r="C59" s="147">
        <v>0</v>
      </c>
      <c r="D59" s="405" t="s">
        <v>383</v>
      </c>
      <c r="E59" s="140">
        <v>2008</v>
      </c>
      <c r="F59" s="282">
        <v>1</v>
      </c>
      <c r="G59" s="147">
        <v>0</v>
      </c>
      <c r="I59" s="836" t="str">
        <f>IF(AND(DATEVALUE("01-"&amp; $D59 &amp;"-"&amp; $E59) &lt;cStartDate, C59&gt;0), "WARNING - Purchase date must be on or after your business's start date.", "")</f>
        <v/>
      </c>
    </row>
    <row r="60" spans="1:9" ht="13.5" customHeight="1">
      <c r="A60" s="357"/>
      <c r="B60" s="118" t="s">
        <v>217</v>
      </c>
      <c r="C60" s="147">
        <v>0</v>
      </c>
      <c r="D60" s="405" t="s">
        <v>383</v>
      </c>
      <c r="E60" s="140">
        <v>2008</v>
      </c>
      <c r="F60" s="282">
        <v>1</v>
      </c>
      <c r="G60" s="147">
        <v>0</v>
      </c>
      <c r="I60" s="836" t="str">
        <f>IF(AND(DATEVALUE("01-"&amp; $D60 &amp;"-"&amp; $E60) &lt;cStartDate, C60&gt;0), "WARNING - Purchase date must be on or after your business's start date.", "")</f>
        <v/>
      </c>
    </row>
    <row r="61" spans="1:9" ht="13.5" customHeight="1">
      <c r="A61" s="357"/>
      <c r="B61" s="292" t="s">
        <v>218</v>
      </c>
      <c r="C61" s="152">
        <v>0</v>
      </c>
      <c r="D61" s="405" t="s">
        <v>383</v>
      </c>
      <c r="E61" s="140">
        <v>2008</v>
      </c>
      <c r="F61" s="282">
        <v>1</v>
      </c>
      <c r="G61" s="152">
        <v>0</v>
      </c>
      <c r="I61" s="836" t="str">
        <f>IF(AND(DATEVALUE("01-"&amp; $D61 &amp;"-"&amp; $E61) &lt;cStartDate, C61&gt;0), "WARNING - Purchase date must be on or after your business's start date.", "")</f>
        <v/>
      </c>
    </row>
    <row r="62" spans="1:9" ht="13.5" customHeight="1">
      <c r="A62" s="357"/>
      <c r="B62" s="464"/>
      <c r="C62" s="464"/>
      <c r="D62" s="464"/>
      <c r="F62" s="465"/>
      <c r="G62" s="464"/>
      <c r="I62" s="836"/>
    </row>
    <row r="63" spans="1:9" ht="13.5" customHeight="1">
      <c r="A63" s="357"/>
      <c r="B63" s="466" t="s">
        <v>129</v>
      </c>
      <c r="C63" s="467"/>
      <c r="D63" s="468"/>
      <c r="E63" s="468"/>
      <c r="F63" s="468"/>
      <c r="G63" s="468"/>
      <c r="I63" s="836"/>
    </row>
    <row r="64" spans="1:9" ht="13.5" customHeight="1">
      <c r="A64" s="357"/>
      <c r="B64" s="118" t="s">
        <v>309</v>
      </c>
      <c r="C64" s="147">
        <v>0</v>
      </c>
      <c r="D64" s="405" t="s">
        <v>383</v>
      </c>
      <c r="E64" s="140">
        <v>2008</v>
      </c>
      <c r="F64" s="891" t="s">
        <v>232</v>
      </c>
      <c r="G64" s="892"/>
      <c r="I64" s="836" t="str">
        <f t="shared" ref="I64:I73" si="3">IF(AND(DATEVALUE("01-"&amp; $D64 &amp;"-"&amp; $E64) &lt;cStartDate, C64&gt;0), "WARNING - Purchase date must be on or after your business's start date.", "")</f>
        <v/>
      </c>
    </row>
    <row r="65" spans="1:9" ht="13.5" customHeight="1">
      <c r="A65" s="357"/>
      <c r="B65" s="118" t="s">
        <v>215</v>
      </c>
      <c r="C65" s="147">
        <v>0</v>
      </c>
      <c r="D65" s="405" t="s">
        <v>383</v>
      </c>
      <c r="E65" s="140">
        <v>2008</v>
      </c>
      <c r="F65" s="893"/>
      <c r="G65" s="894"/>
      <c r="I65" s="836" t="str">
        <f t="shared" si="3"/>
        <v/>
      </c>
    </row>
    <row r="66" spans="1:9" ht="13.5" customHeight="1">
      <c r="A66" s="357"/>
      <c r="B66" s="118" t="s">
        <v>216</v>
      </c>
      <c r="C66" s="147">
        <v>0</v>
      </c>
      <c r="D66" s="405" t="s">
        <v>383</v>
      </c>
      <c r="E66" s="140">
        <v>2008</v>
      </c>
      <c r="F66" s="893"/>
      <c r="G66" s="894"/>
      <c r="I66" s="836" t="str">
        <f t="shared" si="3"/>
        <v/>
      </c>
    </row>
    <row r="67" spans="1:9" ht="13.5" customHeight="1">
      <c r="A67" s="357"/>
      <c r="B67" s="118" t="s">
        <v>217</v>
      </c>
      <c r="C67" s="147">
        <v>0</v>
      </c>
      <c r="D67" s="405" t="s">
        <v>383</v>
      </c>
      <c r="E67" s="140">
        <v>2008</v>
      </c>
      <c r="F67" s="893"/>
      <c r="G67" s="894"/>
      <c r="I67" s="836" t="str">
        <f t="shared" si="3"/>
        <v/>
      </c>
    </row>
    <row r="68" spans="1:9" ht="13.5" customHeight="1">
      <c r="A68" s="357"/>
      <c r="B68" s="118" t="s">
        <v>218</v>
      </c>
      <c r="C68" s="147">
        <v>0</v>
      </c>
      <c r="D68" s="405" t="s">
        <v>383</v>
      </c>
      <c r="E68" s="140">
        <v>2008</v>
      </c>
      <c r="F68" s="893"/>
      <c r="G68" s="894"/>
      <c r="I68" s="836" t="str">
        <f t="shared" si="3"/>
        <v/>
      </c>
    </row>
    <row r="69" spans="1:9" ht="13.5" customHeight="1">
      <c r="A69" s="357"/>
      <c r="B69" s="118" t="s">
        <v>219</v>
      </c>
      <c r="C69" s="147">
        <v>0</v>
      </c>
      <c r="D69" s="405" t="s">
        <v>383</v>
      </c>
      <c r="E69" s="140">
        <v>2008</v>
      </c>
      <c r="F69" s="893"/>
      <c r="G69" s="894"/>
      <c r="I69" s="836" t="str">
        <f t="shared" si="3"/>
        <v/>
      </c>
    </row>
    <row r="70" spans="1:9" ht="13.5" customHeight="1">
      <c r="A70" s="357"/>
      <c r="B70" s="118" t="s">
        <v>220</v>
      </c>
      <c r="C70" s="152">
        <v>0</v>
      </c>
      <c r="D70" s="405" t="s">
        <v>383</v>
      </c>
      <c r="E70" s="140">
        <v>2008</v>
      </c>
      <c r="F70" s="893"/>
      <c r="G70" s="894"/>
      <c r="I70" s="836" t="str">
        <f t="shared" si="3"/>
        <v/>
      </c>
    </row>
    <row r="71" spans="1:9" ht="13.5" customHeight="1">
      <c r="A71" s="357"/>
      <c r="B71" s="118" t="s">
        <v>223</v>
      </c>
      <c r="C71" s="147">
        <v>0</v>
      </c>
      <c r="D71" s="405" t="s">
        <v>383</v>
      </c>
      <c r="E71" s="140">
        <v>2008</v>
      </c>
      <c r="F71" s="893"/>
      <c r="G71" s="894"/>
      <c r="I71" s="836" t="str">
        <f t="shared" si="3"/>
        <v/>
      </c>
    </row>
    <row r="72" spans="1:9" ht="13.5" customHeight="1">
      <c r="A72" s="357"/>
      <c r="B72" s="118" t="s">
        <v>224</v>
      </c>
      <c r="C72" s="147">
        <v>0</v>
      </c>
      <c r="D72" s="405" t="s">
        <v>383</v>
      </c>
      <c r="E72" s="140">
        <v>2008</v>
      </c>
      <c r="F72" s="893"/>
      <c r="G72" s="894"/>
      <c r="I72" s="836" t="str">
        <f t="shared" si="3"/>
        <v/>
      </c>
    </row>
    <row r="73" spans="1:9" ht="13.5" customHeight="1">
      <c r="A73" s="357"/>
      <c r="B73" s="292" t="s">
        <v>225</v>
      </c>
      <c r="C73" s="152">
        <v>0</v>
      </c>
      <c r="D73" s="405" t="s">
        <v>383</v>
      </c>
      <c r="E73" s="140">
        <v>2008</v>
      </c>
      <c r="F73" s="895"/>
      <c r="G73" s="896"/>
      <c r="I73" s="836" t="str">
        <f t="shared" si="3"/>
        <v/>
      </c>
    </row>
  </sheetData>
  <sheetProtection sheet="1" objects="1" scenarios="1"/>
  <mergeCells count="2">
    <mergeCell ref="D3:E3"/>
    <mergeCell ref="F64:G73"/>
  </mergeCells>
  <phoneticPr fontId="3" type="noConversion"/>
  <conditionalFormatting sqref="I6:I73">
    <cfRule type="containsText" dxfId="1" priority="1" operator="containsText" text="WARNING">
      <formula>NOT(ISERROR(SEARCH("WARNING",I6)))</formula>
    </cfRule>
  </conditionalFormatting>
  <dataValidations count="2">
    <dataValidation type="list" allowBlank="1" showErrorMessage="1" errorTitle="Data Error" error="Please enter a year falling within the span of your business plan." sqref="E18:E37 E6:E15 E40:E61 E64:E73">
      <formula1>PlanYears</formula1>
    </dataValidation>
    <dataValidation type="list" showErrorMessage="1" errorTitle="Data Error" error="Please enter the first three letters of the purchase month." sqref="D64:D73 D18:D37 D40:D54 D57:D61 D6:D15">
      <formula1>MonthsShort</formula1>
    </dataValidation>
  </dataValidations>
  <printOptions horizontalCentered="1"/>
  <pageMargins left="0.5" right="0.5" top="1" bottom="0.5" header="0.5" footer="0.5"/>
  <pageSetup scale="66" orientation="portrait" r:id="rId1"/>
  <headerFooter alignWithMargins="0">
    <oddHeader>&amp;CCapital Purchases</oddHeader>
    <oddFooter>Page &amp;P of &amp;N</oddFooter>
  </headerFooter>
  <legacyDrawing r:id="rId2"/>
</worksheet>
</file>

<file path=xl/worksheets/sheet11.xml><?xml version="1.0" encoding="utf-8"?>
<worksheet xmlns="http://schemas.openxmlformats.org/spreadsheetml/2006/main" xmlns:r="http://schemas.openxmlformats.org/officeDocument/2006/relationships">
  <sheetPr codeName="PersBudj">
    <pageSetUpPr autoPageBreaks="0"/>
  </sheetPr>
  <dimension ref="A1:AQ45"/>
  <sheetViews>
    <sheetView showGridLines="0" showOutlineSymbols="0" workbookViewId="0">
      <pane xSplit="2" ySplit="3" topLeftCell="C4" activePane="bottomRight" state="frozenSplit"/>
      <selection pane="topRight" activeCell="C1" sqref="C1"/>
      <selection pane="bottomLeft" activeCell="A4" sqref="A4"/>
      <selection pane="bottomRight" activeCell="C6" sqref="C6"/>
    </sheetView>
  </sheetViews>
  <sheetFormatPr defaultColWidth="10.5703125" defaultRowHeight="15"/>
  <cols>
    <col min="1" max="1" width="1.7109375" style="4" customWidth="1"/>
    <col min="2" max="2" width="28.28515625" style="4" customWidth="1"/>
    <col min="3" max="14" width="10.7109375" style="4" customWidth="1"/>
    <col min="15" max="15" width="12.7109375" style="4" customWidth="1"/>
    <col min="16" max="16" width="1.7109375" style="4" customWidth="1"/>
    <col min="17" max="28" width="10.7109375" style="4" customWidth="1"/>
    <col min="29" max="29" width="12.7109375" style="4" customWidth="1"/>
    <col min="30" max="30" width="1.7109375" style="4" customWidth="1"/>
    <col min="31" max="34" width="10.7109375" style="4" customWidth="1"/>
    <col min="35" max="35" width="12.7109375" style="4" customWidth="1"/>
    <col min="36" max="36" width="1.7109375" style="4" customWidth="1"/>
    <col min="37" max="40" width="10.7109375" style="4" customWidth="1"/>
    <col min="41" max="41" width="12.7109375" style="4" customWidth="1"/>
    <col min="42" max="42" width="1.7109375" style="4" customWidth="1"/>
    <col min="43" max="43" width="12.7109375" style="4" customWidth="1"/>
    <col min="44" max="16384" width="10.5703125" style="4"/>
  </cols>
  <sheetData>
    <row r="1" spans="1:43" ht="9.9499999999999993" customHeight="1"/>
    <row r="2" spans="1:43" s="7" customFormat="1" ht="24.95" customHeight="1">
      <c r="A2" s="2"/>
      <c r="B2" s="26" t="s">
        <v>169</v>
      </c>
      <c r="C2" s="98">
        <f>SalesProj!E2</f>
        <v>2008</v>
      </c>
      <c r="D2" s="5"/>
      <c r="E2" s="5"/>
      <c r="F2" s="5"/>
      <c r="G2" s="5"/>
      <c r="H2" s="5"/>
      <c r="I2" s="5"/>
      <c r="J2" s="5"/>
      <c r="K2" s="5"/>
      <c r="L2" s="5"/>
      <c r="M2" s="5"/>
      <c r="N2" s="5"/>
      <c r="O2" s="9"/>
      <c r="P2" s="135"/>
      <c r="Q2" s="98">
        <f>SalesProj!S2</f>
        <v>2009</v>
      </c>
      <c r="R2" s="5"/>
      <c r="S2" s="5"/>
      <c r="T2" s="5"/>
      <c r="U2" s="5"/>
      <c r="V2" s="5"/>
      <c r="W2" s="5"/>
      <c r="X2" s="5"/>
      <c r="Y2" s="5"/>
      <c r="Z2" s="5"/>
      <c r="AA2" s="5"/>
      <c r="AB2" s="5"/>
      <c r="AC2" s="9"/>
      <c r="AE2" s="97">
        <f>SalesProj!AG2</f>
        <v>2010</v>
      </c>
      <c r="AF2" s="5"/>
      <c r="AG2" s="5"/>
      <c r="AH2" s="5"/>
      <c r="AI2" s="9"/>
      <c r="AK2" s="97">
        <f xml:space="preserve"> SalesProj!AM2</f>
        <v>2011</v>
      </c>
      <c r="AL2" s="5"/>
      <c r="AM2" s="5"/>
      <c r="AN2" s="5"/>
      <c r="AO2" s="9"/>
      <c r="AQ2" s="97">
        <f xml:space="preserve"> SalesProj!AS2</f>
        <v>2012</v>
      </c>
    </row>
    <row r="3" spans="1:43" s="19" customFormat="1" ht="14.1" customHeight="1" thickBot="1">
      <c r="A3" s="14"/>
      <c r="B3" s="17"/>
      <c r="C3" s="99" t="str">
        <f>SalesProj!E3</f>
        <v>January</v>
      </c>
      <c r="D3" s="99" t="str">
        <f>SalesProj!F3</f>
        <v>February</v>
      </c>
      <c r="E3" s="99" t="str">
        <f>SalesProj!G3</f>
        <v>March</v>
      </c>
      <c r="F3" s="99" t="str">
        <f>SalesProj!H3</f>
        <v>April</v>
      </c>
      <c r="G3" s="99" t="str">
        <f>SalesProj!I3</f>
        <v>May</v>
      </c>
      <c r="H3" s="99" t="str">
        <f>SalesProj!J3</f>
        <v>June</v>
      </c>
      <c r="I3" s="99" t="str">
        <f>SalesProj!K3</f>
        <v>July</v>
      </c>
      <c r="J3" s="99" t="str">
        <f>SalesProj!L3</f>
        <v>August</v>
      </c>
      <c r="K3" s="99" t="str">
        <f>SalesProj!M3</f>
        <v>September</v>
      </c>
      <c r="L3" s="99" t="str">
        <f>SalesProj!N3</f>
        <v>October</v>
      </c>
      <c r="M3" s="99" t="str">
        <f>SalesProj!O3</f>
        <v>November</v>
      </c>
      <c r="N3" s="99" t="str">
        <f>SalesProj!P3</f>
        <v>December</v>
      </c>
      <c r="O3" s="18" t="s">
        <v>18</v>
      </c>
      <c r="P3" s="708"/>
      <c r="Q3" s="99" t="str">
        <f>SalesProj!E3</f>
        <v>January</v>
      </c>
      <c r="R3" s="93" t="str">
        <f>SalesProj!F3</f>
        <v>February</v>
      </c>
      <c r="S3" s="94" t="str">
        <f>SalesProj!G3</f>
        <v>March</v>
      </c>
      <c r="T3" s="94" t="str">
        <f>SalesProj!H3</f>
        <v>April</v>
      </c>
      <c r="U3" s="94" t="str">
        <f>SalesProj!I3</f>
        <v>May</v>
      </c>
      <c r="V3" s="95" t="str">
        <f>SalesProj!J3</f>
        <v>June</v>
      </c>
      <c r="W3" s="94" t="str">
        <f>SalesProj!K3</f>
        <v>July</v>
      </c>
      <c r="X3" s="94" t="str">
        <f>SalesProj!L3</f>
        <v>August</v>
      </c>
      <c r="Y3" s="94" t="str">
        <f>SalesProj!M3</f>
        <v>September</v>
      </c>
      <c r="Z3" s="94" t="str">
        <f>SalesProj!N3</f>
        <v>October</v>
      </c>
      <c r="AA3" s="94" t="str">
        <f>SalesProj!O3</f>
        <v>November</v>
      </c>
      <c r="AB3" s="96" t="str">
        <f>SalesProj!P3</f>
        <v>December</v>
      </c>
      <c r="AC3" s="18" t="s">
        <v>18</v>
      </c>
      <c r="AD3" s="717"/>
      <c r="AE3" s="714" t="s">
        <v>50</v>
      </c>
      <c r="AF3" s="711" t="s">
        <v>51</v>
      </c>
      <c r="AG3" s="711" t="s">
        <v>52</v>
      </c>
      <c r="AH3" s="712" t="s">
        <v>53</v>
      </c>
      <c r="AI3" s="713" t="s">
        <v>18</v>
      </c>
      <c r="AK3" s="711" t="s">
        <v>50</v>
      </c>
      <c r="AL3" s="711" t="s">
        <v>51</v>
      </c>
      <c r="AM3" s="711" t="s">
        <v>52</v>
      </c>
      <c r="AN3" s="712" t="s">
        <v>53</v>
      </c>
      <c r="AO3" s="713" t="s">
        <v>18</v>
      </c>
      <c r="AQ3" s="18" t="s">
        <v>18</v>
      </c>
    </row>
    <row r="4" spans="1:43" s="19" customFormat="1" ht="14.1" customHeight="1">
      <c r="A4" s="14"/>
      <c r="B4" s="84"/>
      <c r="C4" s="14"/>
      <c r="D4" s="27"/>
      <c r="E4" s="27"/>
      <c r="F4" s="27"/>
      <c r="G4" s="27"/>
      <c r="I4" s="27"/>
      <c r="J4" s="27"/>
      <c r="K4" s="27"/>
      <c r="L4" s="27"/>
      <c r="M4" s="27"/>
      <c r="N4" s="28"/>
      <c r="O4" s="29"/>
      <c r="P4" s="708"/>
      <c r="Q4" s="14"/>
      <c r="R4" s="27"/>
      <c r="S4" s="27"/>
      <c r="T4" s="27"/>
      <c r="U4" s="27"/>
      <c r="W4" s="27"/>
      <c r="X4" s="27"/>
      <c r="Y4" s="27"/>
      <c r="Z4" s="27"/>
      <c r="AA4" s="27"/>
      <c r="AB4" s="28"/>
      <c r="AC4" s="29"/>
      <c r="AD4" s="717"/>
      <c r="AE4" s="14"/>
      <c r="AF4" s="27"/>
      <c r="AG4" s="27"/>
      <c r="AH4" s="28"/>
      <c r="AI4" s="29"/>
      <c r="AK4" s="30"/>
      <c r="AL4" s="27"/>
      <c r="AM4" s="27"/>
      <c r="AN4" s="28"/>
      <c r="AO4" s="29"/>
      <c r="AQ4" s="29"/>
    </row>
    <row r="5" spans="1:43" s="13" customFormat="1" ht="14.1" customHeight="1">
      <c r="A5" s="20"/>
      <c r="B5" s="685" t="s">
        <v>19</v>
      </c>
      <c r="C5" s="21"/>
      <c r="D5" s="31"/>
      <c r="E5" s="31"/>
      <c r="F5" s="31"/>
      <c r="G5" s="31"/>
      <c r="H5" s="22"/>
      <c r="I5" s="31"/>
      <c r="J5" s="31"/>
      <c r="K5" s="31"/>
      <c r="L5" s="31"/>
      <c r="M5" s="31"/>
      <c r="N5" s="32"/>
      <c r="O5" s="23"/>
      <c r="P5" s="709"/>
      <c r="Q5" s="21"/>
      <c r="R5" s="31"/>
      <c r="S5" s="31"/>
      <c r="T5" s="31"/>
      <c r="U5" s="31"/>
      <c r="V5" s="22"/>
      <c r="W5" s="31"/>
      <c r="X5" s="31"/>
      <c r="Y5" s="31"/>
      <c r="Z5" s="31"/>
      <c r="AA5" s="31"/>
      <c r="AB5" s="32"/>
      <c r="AC5" s="23"/>
      <c r="AD5" s="718"/>
      <c r="AE5" s="21"/>
      <c r="AF5" s="31"/>
      <c r="AG5" s="31"/>
      <c r="AH5" s="32"/>
      <c r="AI5" s="23"/>
      <c r="AK5" s="24"/>
      <c r="AL5" s="31"/>
      <c r="AM5" s="31"/>
      <c r="AN5" s="32"/>
      <c r="AO5" s="23"/>
      <c r="AQ5" s="23"/>
    </row>
    <row r="6" spans="1:43" s="13" customFormat="1" ht="14.1" customHeight="1">
      <c r="B6" s="34" t="s">
        <v>20</v>
      </c>
      <c r="C6" s="101">
        <v>0</v>
      </c>
      <c r="D6" s="101">
        <f t="shared" ref="D6:M6" si="0">C6</f>
        <v>0</v>
      </c>
      <c r="E6" s="101">
        <f t="shared" si="0"/>
        <v>0</v>
      </c>
      <c r="F6" s="101">
        <f t="shared" si="0"/>
        <v>0</v>
      </c>
      <c r="G6" s="101">
        <f t="shared" si="0"/>
        <v>0</v>
      </c>
      <c r="H6" s="101">
        <f t="shared" si="0"/>
        <v>0</v>
      </c>
      <c r="I6" s="101">
        <f t="shared" si="0"/>
        <v>0</v>
      </c>
      <c r="J6" s="101">
        <f t="shared" si="0"/>
        <v>0</v>
      </c>
      <c r="K6" s="101">
        <f t="shared" si="0"/>
        <v>0</v>
      </c>
      <c r="L6" s="101">
        <f t="shared" si="0"/>
        <v>0</v>
      </c>
      <c r="M6" s="101">
        <f t="shared" si="0"/>
        <v>0</v>
      </c>
      <c r="N6" s="101">
        <f>M6</f>
        <v>0</v>
      </c>
      <c r="O6" s="33"/>
      <c r="P6" s="709"/>
      <c r="Q6" s="101">
        <f>N6</f>
        <v>0</v>
      </c>
      <c r="R6" s="101">
        <f t="shared" ref="R6:AB6" si="1">Q6</f>
        <v>0</v>
      </c>
      <c r="S6" s="101">
        <f t="shared" si="1"/>
        <v>0</v>
      </c>
      <c r="T6" s="101">
        <f t="shared" si="1"/>
        <v>0</v>
      </c>
      <c r="U6" s="101">
        <f t="shared" si="1"/>
        <v>0</v>
      </c>
      <c r="V6" s="101">
        <f t="shared" si="1"/>
        <v>0</v>
      </c>
      <c r="W6" s="101">
        <f t="shared" si="1"/>
        <v>0</v>
      </c>
      <c r="X6" s="101">
        <f t="shared" si="1"/>
        <v>0</v>
      </c>
      <c r="Y6" s="101">
        <f t="shared" si="1"/>
        <v>0</v>
      </c>
      <c r="Z6" s="101">
        <f t="shared" si="1"/>
        <v>0</v>
      </c>
      <c r="AA6" s="101">
        <f t="shared" si="1"/>
        <v>0</v>
      </c>
      <c r="AB6" s="101">
        <f t="shared" si="1"/>
        <v>0</v>
      </c>
      <c r="AC6" s="33"/>
      <c r="AD6" s="718"/>
      <c r="AE6" s="101">
        <f>AB6</f>
        <v>0</v>
      </c>
      <c r="AF6" s="101">
        <f t="shared" ref="AF6:AH7" si="2">AE6</f>
        <v>0</v>
      </c>
      <c r="AG6" s="101">
        <f t="shared" si="2"/>
        <v>0</v>
      </c>
      <c r="AH6" s="101">
        <f t="shared" si="2"/>
        <v>0</v>
      </c>
      <c r="AI6" s="33"/>
      <c r="AK6" s="102">
        <f>AH6</f>
        <v>0</v>
      </c>
      <c r="AL6" s="101">
        <f t="shared" ref="AL6:AN7" si="3">AK6</f>
        <v>0</v>
      </c>
      <c r="AM6" s="101">
        <f t="shared" si="3"/>
        <v>0</v>
      </c>
      <c r="AN6" s="101">
        <f t="shared" si="3"/>
        <v>0</v>
      </c>
      <c r="AO6" s="33"/>
      <c r="AQ6" s="104">
        <f>AN6</f>
        <v>0</v>
      </c>
    </row>
    <row r="7" spans="1:43" s="13" customFormat="1" ht="14.1" customHeight="1">
      <c r="A7" s="20"/>
      <c r="B7" s="11" t="s">
        <v>21</v>
      </c>
      <c r="C7" s="146">
        <v>0</v>
      </c>
      <c r="D7" s="147">
        <f t="shared" ref="D7:N7" si="4">C7</f>
        <v>0</v>
      </c>
      <c r="E7" s="147">
        <f t="shared" si="4"/>
        <v>0</v>
      </c>
      <c r="F7" s="147">
        <f t="shared" si="4"/>
        <v>0</v>
      </c>
      <c r="G7" s="147">
        <f t="shared" si="4"/>
        <v>0</v>
      </c>
      <c r="H7" s="147">
        <f t="shared" si="4"/>
        <v>0</v>
      </c>
      <c r="I7" s="147">
        <f t="shared" si="4"/>
        <v>0</v>
      </c>
      <c r="J7" s="147">
        <f t="shared" si="4"/>
        <v>0</v>
      </c>
      <c r="K7" s="147">
        <f t="shared" si="4"/>
        <v>0</v>
      </c>
      <c r="L7" s="147">
        <f t="shared" si="4"/>
        <v>0</v>
      </c>
      <c r="M7" s="147">
        <f t="shared" si="4"/>
        <v>0</v>
      </c>
      <c r="N7" s="147">
        <f t="shared" si="4"/>
        <v>0</v>
      </c>
      <c r="O7" s="162">
        <f>(C6*C7)+(D6*D7)+(E6*E7)+(F6*F7)+(G6*G7)+(H6*H7)+(I6*I7)+(J6*J7)+(K6*K7)+(L6*L7)+(M6*M7)+(N6*N7)</f>
        <v>0</v>
      </c>
      <c r="P7" s="710"/>
      <c r="Q7" s="146">
        <f>N7*(1+SalIncreaseRate)</f>
        <v>0</v>
      </c>
      <c r="R7" s="147">
        <f t="shared" ref="R7:AB7" si="5">Q7</f>
        <v>0</v>
      </c>
      <c r="S7" s="147">
        <f t="shared" si="5"/>
        <v>0</v>
      </c>
      <c r="T7" s="147">
        <f t="shared" si="5"/>
        <v>0</v>
      </c>
      <c r="U7" s="147">
        <f t="shared" si="5"/>
        <v>0</v>
      </c>
      <c r="V7" s="147">
        <f t="shared" si="5"/>
        <v>0</v>
      </c>
      <c r="W7" s="147">
        <f t="shared" si="5"/>
        <v>0</v>
      </c>
      <c r="X7" s="147">
        <f t="shared" si="5"/>
        <v>0</v>
      </c>
      <c r="Y7" s="147">
        <f t="shared" si="5"/>
        <v>0</v>
      </c>
      <c r="Z7" s="147">
        <f t="shared" si="5"/>
        <v>0</v>
      </c>
      <c r="AA7" s="147">
        <f t="shared" si="5"/>
        <v>0</v>
      </c>
      <c r="AB7" s="147">
        <f t="shared" si="5"/>
        <v>0</v>
      </c>
      <c r="AC7" s="162">
        <f>(Q6*Q7)+(R6*R7)+(S6*S7)+(T6*T7)+(U6*U7)+(V6*V7)+(W6*W7)+(X6*X7)+(Y6*Y7)+(Z6*Z7)+(AA6*AA7)+(AB6*AB7)</f>
        <v>0</v>
      </c>
      <c r="AD7" s="719"/>
      <c r="AE7" s="146">
        <f>AB7*(1+SalIncreaseRate)*3</f>
        <v>0</v>
      </c>
      <c r="AF7" s="147">
        <f t="shared" si="2"/>
        <v>0</v>
      </c>
      <c r="AG7" s="147">
        <f t="shared" si="2"/>
        <v>0</v>
      </c>
      <c r="AH7" s="147">
        <f t="shared" si="2"/>
        <v>0</v>
      </c>
      <c r="AI7" s="162">
        <f>(AE6*AE7)+(AF6*AF7)+(AG6*AG7)+(AH6*AH7)</f>
        <v>0</v>
      </c>
      <c r="AJ7" s="149"/>
      <c r="AK7" s="172">
        <f>AH7*(1+SalIncreaseRate)</f>
        <v>0</v>
      </c>
      <c r="AL7" s="147">
        <f t="shared" si="3"/>
        <v>0</v>
      </c>
      <c r="AM7" s="147">
        <f t="shared" si="3"/>
        <v>0</v>
      </c>
      <c r="AN7" s="173">
        <f t="shared" si="3"/>
        <v>0</v>
      </c>
      <c r="AO7" s="162">
        <f>(AK6*AK7)+(AL6*AL7)+(AM6*AM7)+(AN6*AN7)</f>
        <v>0</v>
      </c>
      <c r="AP7" s="149"/>
      <c r="AQ7" s="154">
        <f>AN7*(1+SalIncreaseRate)*4</f>
        <v>0</v>
      </c>
    </row>
    <row r="8" spans="1:43" s="13" customFormat="1" ht="14.1" customHeight="1">
      <c r="A8" s="20"/>
      <c r="B8" s="34" t="s">
        <v>22</v>
      </c>
      <c r="C8" s="176">
        <f t="shared" ref="C8:N8" si="6">C6*EmpBenes/12</f>
        <v>0</v>
      </c>
      <c r="D8" s="174">
        <f t="shared" si="6"/>
        <v>0</v>
      </c>
      <c r="E8" s="174">
        <f t="shared" si="6"/>
        <v>0</v>
      </c>
      <c r="F8" s="174">
        <f t="shared" si="6"/>
        <v>0</v>
      </c>
      <c r="G8" s="174">
        <f t="shared" si="6"/>
        <v>0</v>
      </c>
      <c r="H8" s="174">
        <f t="shared" si="6"/>
        <v>0</v>
      </c>
      <c r="I8" s="174">
        <f t="shared" si="6"/>
        <v>0</v>
      </c>
      <c r="J8" s="174">
        <f t="shared" si="6"/>
        <v>0</v>
      </c>
      <c r="K8" s="174">
        <f t="shared" si="6"/>
        <v>0</v>
      </c>
      <c r="L8" s="174">
        <f t="shared" si="6"/>
        <v>0</v>
      </c>
      <c r="M8" s="174">
        <f t="shared" si="6"/>
        <v>0</v>
      </c>
      <c r="N8" s="175">
        <f t="shared" si="6"/>
        <v>0</v>
      </c>
      <c r="O8" s="162">
        <f>SUM(C8:N8)</f>
        <v>0</v>
      </c>
      <c r="P8" s="710"/>
      <c r="Q8" s="161">
        <f t="shared" ref="Q8:AB8" si="7">Q6*(EmpBenes*(1+EmpBeneIncrease))/12</f>
        <v>0</v>
      </c>
      <c r="R8" s="164">
        <f t="shared" si="7"/>
        <v>0</v>
      </c>
      <c r="S8" s="164">
        <f t="shared" si="7"/>
        <v>0</v>
      </c>
      <c r="T8" s="164">
        <f t="shared" si="7"/>
        <v>0</v>
      </c>
      <c r="U8" s="164">
        <f t="shared" si="7"/>
        <v>0</v>
      </c>
      <c r="V8" s="164">
        <f t="shared" si="7"/>
        <v>0</v>
      </c>
      <c r="W8" s="164">
        <f t="shared" si="7"/>
        <v>0</v>
      </c>
      <c r="X8" s="164">
        <f t="shared" si="7"/>
        <v>0</v>
      </c>
      <c r="Y8" s="164">
        <f t="shared" si="7"/>
        <v>0</v>
      </c>
      <c r="Z8" s="164">
        <f t="shared" si="7"/>
        <v>0</v>
      </c>
      <c r="AA8" s="164">
        <f t="shared" si="7"/>
        <v>0</v>
      </c>
      <c r="AB8" s="161">
        <f t="shared" si="7"/>
        <v>0</v>
      </c>
      <c r="AC8" s="162">
        <f>SUM(Q8:AB8)</f>
        <v>0</v>
      </c>
      <c r="AD8" s="719"/>
      <c r="AE8" s="161">
        <f>AE6*(EmpBenes*(1+EmpBeneIncrease)^2)/4</f>
        <v>0</v>
      </c>
      <c r="AF8" s="164">
        <f>AF6*(EmpBenes*(1+EmpBeneIncrease)^2)/4</f>
        <v>0</v>
      </c>
      <c r="AG8" s="164">
        <f>AG6*(EmpBenes*(1+EmpBeneIncrease)^2)/4</f>
        <v>0</v>
      </c>
      <c r="AH8" s="176">
        <f>AH6*(EmpBenes*(1+EmpBeneIncrease)^2)/4</f>
        <v>0</v>
      </c>
      <c r="AI8" s="160">
        <f>SUM(AE8:AH8)</f>
        <v>0</v>
      </c>
      <c r="AJ8" s="149"/>
      <c r="AK8" s="177">
        <f>AK6*(EmpBenes*(1+EmpBeneIncrease)^3)/4</f>
        <v>0</v>
      </c>
      <c r="AL8" s="174">
        <f>AL6*(EmpBenes*(1+EmpBeneIncrease)^3)/4</f>
        <v>0</v>
      </c>
      <c r="AM8" s="174">
        <f>AM6*(EmpBenes*(1+EmpBeneIncrease)^3)/4</f>
        <v>0</v>
      </c>
      <c r="AN8" s="175">
        <f>AN6*(EmpBenes*(1+EmpBeneIncrease)^3)/4</f>
        <v>0</v>
      </c>
      <c r="AO8" s="160">
        <f>SUM(AK8:AN8)</f>
        <v>0</v>
      </c>
      <c r="AP8" s="149"/>
      <c r="AQ8" s="160">
        <f>AQ6*(EmpBenes*(1+EmpBeneIncrease)^4)</f>
        <v>0</v>
      </c>
    </row>
    <row r="9" spans="1:43" s="13" customFormat="1" ht="14.1" customHeight="1" thickBot="1">
      <c r="A9" s="20"/>
      <c r="B9" s="12" t="s">
        <v>23</v>
      </c>
      <c r="C9" s="176">
        <f t="shared" ref="C9:N9" si="8">C7*C6*PayrollTaxes</f>
        <v>0</v>
      </c>
      <c r="D9" s="174">
        <f t="shared" si="8"/>
        <v>0</v>
      </c>
      <c r="E9" s="174">
        <f t="shared" si="8"/>
        <v>0</v>
      </c>
      <c r="F9" s="174">
        <f t="shared" si="8"/>
        <v>0</v>
      </c>
      <c r="G9" s="174">
        <f t="shared" si="8"/>
        <v>0</v>
      </c>
      <c r="H9" s="174">
        <f t="shared" si="8"/>
        <v>0</v>
      </c>
      <c r="I9" s="174">
        <f t="shared" si="8"/>
        <v>0</v>
      </c>
      <c r="J9" s="174">
        <f t="shared" si="8"/>
        <v>0</v>
      </c>
      <c r="K9" s="174">
        <f t="shared" si="8"/>
        <v>0</v>
      </c>
      <c r="L9" s="174">
        <f t="shared" si="8"/>
        <v>0</v>
      </c>
      <c r="M9" s="174">
        <f t="shared" si="8"/>
        <v>0</v>
      </c>
      <c r="N9" s="174">
        <f t="shared" si="8"/>
        <v>0</v>
      </c>
      <c r="O9" s="178">
        <f>SUM(C9:N9)</f>
        <v>0</v>
      </c>
      <c r="P9" s="710"/>
      <c r="Q9" s="176">
        <f t="shared" ref="Q9:AB9" si="9">Q7*Q6*PayrollTaxes</f>
        <v>0</v>
      </c>
      <c r="R9" s="174">
        <f t="shared" si="9"/>
        <v>0</v>
      </c>
      <c r="S9" s="174">
        <f t="shared" si="9"/>
        <v>0</v>
      </c>
      <c r="T9" s="174">
        <f t="shared" si="9"/>
        <v>0</v>
      </c>
      <c r="U9" s="174">
        <f t="shared" si="9"/>
        <v>0</v>
      </c>
      <c r="V9" s="174">
        <f t="shared" si="9"/>
        <v>0</v>
      </c>
      <c r="W9" s="174">
        <f t="shared" si="9"/>
        <v>0</v>
      </c>
      <c r="X9" s="174">
        <f t="shared" si="9"/>
        <v>0</v>
      </c>
      <c r="Y9" s="174">
        <f t="shared" si="9"/>
        <v>0</v>
      </c>
      <c r="Z9" s="174">
        <f t="shared" si="9"/>
        <v>0</v>
      </c>
      <c r="AA9" s="174">
        <f t="shared" si="9"/>
        <v>0</v>
      </c>
      <c r="AB9" s="174">
        <f t="shared" si="9"/>
        <v>0</v>
      </c>
      <c r="AC9" s="178">
        <f>SUM(Q9:AB9)</f>
        <v>0</v>
      </c>
      <c r="AD9" s="719"/>
      <c r="AE9" s="176">
        <f>AE7*AE6*PayrollTaxes</f>
        <v>0</v>
      </c>
      <c r="AF9" s="174">
        <f>AF7*AF6*PayrollTaxes</f>
        <v>0</v>
      </c>
      <c r="AG9" s="174">
        <f>AG7*AG6*PayrollTaxes</f>
        <v>0</v>
      </c>
      <c r="AH9" s="179">
        <f>AH7*AH6*PayrollTaxes</f>
        <v>0</v>
      </c>
      <c r="AI9" s="160">
        <f>SUM(AE9:AH9)</f>
        <v>0</v>
      </c>
      <c r="AJ9" s="149"/>
      <c r="AK9" s="177">
        <f>AK7*AK6*PayrollTaxes</f>
        <v>0</v>
      </c>
      <c r="AL9" s="174">
        <f>AL7*AL6*PayrollTaxes</f>
        <v>0</v>
      </c>
      <c r="AM9" s="174">
        <f>AM7*AM6*PayrollTaxes</f>
        <v>0</v>
      </c>
      <c r="AN9" s="179">
        <f>AN7*AN6*PayrollTaxes</f>
        <v>0</v>
      </c>
      <c r="AO9" s="160">
        <f>SUM(AK9:AN9)</f>
        <v>0</v>
      </c>
      <c r="AP9" s="149"/>
      <c r="AQ9" s="160">
        <f>AQ6*AQ7*PayrollTaxes</f>
        <v>0</v>
      </c>
    </row>
    <row r="10" spans="1:43" s="13" customFormat="1" ht="14.1" customHeight="1" thickBot="1">
      <c r="B10" s="686" t="s">
        <v>24</v>
      </c>
      <c r="C10" s="180">
        <f>(C6*C7)+C8+C9</f>
        <v>0</v>
      </c>
      <c r="D10" s="180">
        <f>D6*D7+D8+D9</f>
        <v>0</v>
      </c>
      <c r="E10" s="180">
        <f t="shared" ref="E10:N10" si="10">(E6*E7)+E8+E9</f>
        <v>0</v>
      </c>
      <c r="F10" s="180">
        <f t="shared" si="10"/>
        <v>0</v>
      </c>
      <c r="G10" s="180">
        <f t="shared" si="10"/>
        <v>0</v>
      </c>
      <c r="H10" s="180">
        <f t="shared" si="10"/>
        <v>0</v>
      </c>
      <c r="I10" s="180">
        <f t="shared" si="10"/>
        <v>0</v>
      </c>
      <c r="J10" s="180">
        <f t="shared" si="10"/>
        <v>0</v>
      </c>
      <c r="K10" s="180">
        <f t="shared" si="10"/>
        <v>0</v>
      </c>
      <c r="L10" s="180">
        <f t="shared" si="10"/>
        <v>0</v>
      </c>
      <c r="M10" s="180">
        <f t="shared" si="10"/>
        <v>0</v>
      </c>
      <c r="N10" s="180">
        <f t="shared" si="10"/>
        <v>0</v>
      </c>
      <c r="O10" s="165">
        <f>SUM(O7:O9)</f>
        <v>0</v>
      </c>
      <c r="P10" s="710"/>
      <c r="Q10" s="180">
        <f>(Q6*Q7)+Q8+Q9</f>
        <v>0</v>
      </c>
      <c r="R10" s="180">
        <f>R6*R7+R8+R9</f>
        <v>0</v>
      </c>
      <c r="S10" s="180">
        <f t="shared" ref="S10:AB10" si="11">(S6*S7)+S8+S9</f>
        <v>0</v>
      </c>
      <c r="T10" s="180">
        <f t="shared" si="11"/>
        <v>0</v>
      </c>
      <c r="U10" s="180">
        <f t="shared" si="11"/>
        <v>0</v>
      </c>
      <c r="V10" s="180">
        <f t="shared" si="11"/>
        <v>0</v>
      </c>
      <c r="W10" s="180">
        <f t="shared" si="11"/>
        <v>0</v>
      </c>
      <c r="X10" s="180">
        <f t="shared" si="11"/>
        <v>0</v>
      </c>
      <c r="Y10" s="180">
        <f t="shared" si="11"/>
        <v>0</v>
      </c>
      <c r="Z10" s="180">
        <f t="shared" si="11"/>
        <v>0</v>
      </c>
      <c r="AA10" s="180">
        <f t="shared" si="11"/>
        <v>0</v>
      </c>
      <c r="AB10" s="180">
        <f t="shared" si="11"/>
        <v>0</v>
      </c>
      <c r="AC10" s="165">
        <f>SUM(AC7:AC9)</f>
        <v>0</v>
      </c>
      <c r="AD10" s="710"/>
      <c r="AE10" s="180">
        <f>(AE6*AE7)+AE8+AE9</f>
        <v>0</v>
      </c>
      <c r="AF10" s="181">
        <f>(AF6*AF7)+AF8+AF9</f>
        <v>0</v>
      </c>
      <c r="AG10" s="181">
        <f>(AG6*AG7)+AG8+AG9</f>
        <v>0</v>
      </c>
      <c r="AH10" s="182">
        <f>(AH6*AH7)+AH8+AH9</f>
        <v>0</v>
      </c>
      <c r="AI10" s="165">
        <f>SUM(AI7:AI9)</f>
        <v>0</v>
      </c>
      <c r="AJ10" s="149"/>
      <c r="AK10" s="183">
        <f>(AK6*AK7)+AK8+AK9</f>
        <v>0</v>
      </c>
      <c r="AL10" s="181">
        <f>(AL6*AL7)+AL8+AL9</f>
        <v>0</v>
      </c>
      <c r="AM10" s="181">
        <f>(AM6*AM7)+AM8+AM9</f>
        <v>0</v>
      </c>
      <c r="AN10" s="182">
        <f>(AN6*AN7)+AN8+AN9</f>
        <v>0</v>
      </c>
      <c r="AO10" s="165">
        <f>SUM(AO7:AO9)</f>
        <v>0</v>
      </c>
      <c r="AP10" s="149"/>
      <c r="AQ10" s="165">
        <f>(AQ7*AQ6)+AQ8+AQ9</f>
        <v>0</v>
      </c>
    </row>
    <row r="11" spans="1:43" s="13" customFormat="1" ht="14.1" customHeight="1">
      <c r="A11" s="20"/>
      <c r="B11" s="687"/>
      <c r="C11" s="20"/>
      <c r="D11" s="35"/>
      <c r="E11" s="35"/>
      <c r="F11" s="35"/>
      <c r="G11" s="35"/>
      <c r="I11" s="36"/>
      <c r="J11" s="36"/>
      <c r="K11" s="36"/>
      <c r="L11" s="36"/>
      <c r="M11" s="36"/>
      <c r="N11" s="37"/>
      <c r="O11" s="38"/>
      <c r="P11" s="709"/>
      <c r="Q11" s="20"/>
      <c r="R11" s="35"/>
      <c r="S11" s="35"/>
      <c r="T11" s="35"/>
      <c r="U11" s="35"/>
      <c r="W11" s="36"/>
      <c r="X11" s="36"/>
      <c r="Y11" s="36"/>
      <c r="Z11" s="36"/>
      <c r="AA11" s="36"/>
      <c r="AB11" s="37"/>
      <c r="AC11" s="38"/>
      <c r="AD11" s="718"/>
      <c r="AE11" s="715"/>
      <c r="AF11" s="36"/>
      <c r="AG11" s="36"/>
      <c r="AH11" s="37"/>
      <c r="AI11" s="38"/>
      <c r="AK11" s="39"/>
      <c r="AL11" s="36"/>
      <c r="AM11" s="36"/>
      <c r="AN11" s="37"/>
      <c r="AO11" s="38"/>
      <c r="AQ11" s="38"/>
    </row>
    <row r="12" spans="1:43" s="13" customFormat="1" ht="14.1" customHeight="1">
      <c r="A12" s="20"/>
      <c r="B12" s="685" t="s">
        <v>25</v>
      </c>
      <c r="C12" s="20"/>
      <c r="D12" s="35"/>
      <c r="E12" s="35"/>
      <c r="F12" s="35"/>
      <c r="G12" s="35"/>
      <c r="I12" s="40"/>
      <c r="J12" s="40"/>
      <c r="K12" s="40"/>
      <c r="L12" s="40"/>
      <c r="M12" s="40"/>
      <c r="N12" s="41"/>
      <c r="O12" s="42"/>
      <c r="P12" s="709"/>
      <c r="Q12" s="20"/>
      <c r="R12" s="35"/>
      <c r="S12" s="35"/>
      <c r="T12" s="35"/>
      <c r="U12" s="35"/>
      <c r="W12" s="40"/>
      <c r="X12" s="40"/>
      <c r="Y12" s="40"/>
      <c r="Z12" s="40"/>
      <c r="AA12" s="40"/>
      <c r="AB12" s="41"/>
      <c r="AC12" s="42"/>
      <c r="AD12" s="718"/>
      <c r="AE12" s="716"/>
      <c r="AF12" s="40"/>
      <c r="AG12" s="40"/>
      <c r="AH12" s="41"/>
      <c r="AI12" s="42"/>
      <c r="AK12" s="43"/>
      <c r="AL12" s="40"/>
      <c r="AM12" s="40"/>
      <c r="AN12" s="41"/>
      <c r="AO12" s="42"/>
      <c r="AQ12" s="42"/>
    </row>
    <row r="13" spans="1:43" s="13" customFormat="1" ht="14.1" customHeight="1">
      <c r="B13" s="34" t="s">
        <v>20</v>
      </c>
      <c r="C13" s="101">
        <v>0</v>
      </c>
      <c r="D13" s="101">
        <f t="shared" ref="D13:N13" si="12">C13</f>
        <v>0</v>
      </c>
      <c r="E13" s="101">
        <f t="shared" si="12"/>
        <v>0</v>
      </c>
      <c r="F13" s="101">
        <f t="shared" si="12"/>
        <v>0</v>
      </c>
      <c r="G13" s="101">
        <f t="shared" si="12"/>
        <v>0</v>
      </c>
      <c r="H13" s="101">
        <f t="shared" si="12"/>
        <v>0</v>
      </c>
      <c r="I13" s="101">
        <f t="shared" si="12"/>
        <v>0</v>
      </c>
      <c r="J13" s="101">
        <f t="shared" si="12"/>
        <v>0</v>
      </c>
      <c r="K13" s="101">
        <f t="shared" si="12"/>
        <v>0</v>
      </c>
      <c r="L13" s="101">
        <f t="shared" si="12"/>
        <v>0</v>
      </c>
      <c r="M13" s="101">
        <f t="shared" si="12"/>
        <v>0</v>
      </c>
      <c r="N13" s="101">
        <f t="shared" si="12"/>
        <v>0</v>
      </c>
      <c r="O13" s="33"/>
      <c r="P13" s="709"/>
      <c r="Q13" s="101">
        <f>N13</f>
        <v>0</v>
      </c>
      <c r="R13" s="101">
        <f t="shared" ref="R13:AB13" si="13">Q13</f>
        <v>0</v>
      </c>
      <c r="S13" s="101">
        <f t="shared" si="13"/>
        <v>0</v>
      </c>
      <c r="T13" s="101">
        <f t="shared" si="13"/>
        <v>0</v>
      </c>
      <c r="U13" s="101">
        <f t="shared" si="13"/>
        <v>0</v>
      </c>
      <c r="V13" s="101">
        <f t="shared" si="13"/>
        <v>0</v>
      </c>
      <c r="W13" s="101">
        <f t="shared" si="13"/>
        <v>0</v>
      </c>
      <c r="X13" s="101">
        <f t="shared" si="13"/>
        <v>0</v>
      </c>
      <c r="Y13" s="101">
        <f t="shared" si="13"/>
        <v>0</v>
      </c>
      <c r="Z13" s="101">
        <f t="shared" si="13"/>
        <v>0</v>
      </c>
      <c r="AA13" s="101">
        <f t="shared" si="13"/>
        <v>0</v>
      </c>
      <c r="AB13" s="101">
        <f t="shared" si="13"/>
        <v>0</v>
      </c>
      <c r="AC13" s="33"/>
      <c r="AD13" s="718"/>
      <c r="AE13" s="101">
        <f>AB13</f>
        <v>0</v>
      </c>
      <c r="AF13" s="101">
        <f t="shared" ref="AF13:AH14" si="14">AE13</f>
        <v>0</v>
      </c>
      <c r="AG13" s="101">
        <f t="shared" si="14"/>
        <v>0</v>
      </c>
      <c r="AH13" s="103">
        <f t="shared" si="14"/>
        <v>0</v>
      </c>
      <c r="AI13" s="33"/>
      <c r="AK13" s="102">
        <f>AH13</f>
        <v>0</v>
      </c>
      <c r="AL13" s="101">
        <f t="shared" ref="AL13:AN14" si="15">AK13</f>
        <v>0</v>
      </c>
      <c r="AM13" s="101">
        <f t="shared" si="15"/>
        <v>0</v>
      </c>
      <c r="AN13" s="103">
        <f t="shared" si="15"/>
        <v>0</v>
      </c>
      <c r="AO13" s="33"/>
      <c r="AQ13" s="104">
        <f>AN13</f>
        <v>0</v>
      </c>
    </row>
    <row r="14" spans="1:43" s="13" customFormat="1" ht="14.1" customHeight="1">
      <c r="B14" s="34" t="s">
        <v>21</v>
      </c>
      <c r="C14" s="146">
        <v>0</v>
      </c>
      <c r="D14" s="147">
        <f t="shared" ref="D14:N14" si="16">C14</f>
        <v>0</v>
      </c>
      <c r="E14" s="147">
        <f t="shared" si="16"/>
        <v>0</v>
      </c>
      <c r="F14" s="147">
        <f t="shared" si="16"/>
        <v>0</v>
      </c>
      <c r="G14" s="147">
        <f t="shared" si="16"/>
        <v>0</v>
      </c>
      <c r="H14" s="147">
        <f t="shared" si="16"/>
        <v>0</v>
      </c>
      <c r="I14" s="147">
        <f t="shared" si="16"/>
        <v>0</v>
      </c>
      <c r="J14" s="147">
        <f t="shared" si="16"/>
        <v>0</v>
      </c>
      <c r="K14" s="147">
        <f t="shared" si="16"/>
        <v>0</v>
      </c>
      <c r="L14" s="147">
        <f t="shared" si="16"/>
        <v>0</v>
      </c>
      <c r="M14" s="147">
        <f t="shared" si="16"/>
        <v>0</v>
      </c>
      <c r="N14" s="147">
        <f t="shared" si="16"/>
        <v>0</v>
      </c>
      <c r="O14" s="162">
        <f>(C13*C14)+(D13*D14)+(E13*E14)+(F13*F14)+(G13*G14)+(H13*H14)+(I13*I14)+(J13*J14)+(K13*K14)+(L13*L14)+(M13*M14)+(N13*N14)</f>
        <v>0</v>
      </c>
      <c r="P14" s="710"/>
      <c r="Q14" s="146">
        <f>N14*(1+SalIncreaseRate)</f>
        <v>0</v>
      </c>
      <c r="R14" s="147">
        <f t="shared" ref="R14:AB14" si="17">Q14</f>
        <v>0</v>
      </c>
      <c r="S14" s="147">
        <f t="shared" si="17"/>
        <v>0</v>
      </c>
      <c r="T14" s="147">
        <f t="shared" si="17"/>
        <v>0</v>
      </c>
      <c r="U14" s="147">
        <f t="shared" si="17"/>
        <v>0</v>
      </c>
      <c r="V14" s="147">
        <f t="shared" si="17"/>
        <v>0</v>
      </c>
      <c r="W14" s="147">
        <f t="shared" si="17"/>
        <v>0</v>
      </c>
      <c r="X14" s="147">
        <f t="shared" si="17"/>
        <v>0</v>
      </c>
      <c r="Y14" s="147">
        <f t="shared" si="17"/>
        <v>0</v>
      </c>
      <c r="Z14" s="147">
        <f t="shared" si="17"/>
        <v>0</v>
      </c>
      <c r="AA14" s="147">
        <f t="shared" si="17"/>
        <v>0</v>
      </c>
      <c r="AB14" s="147">
        <f t="shared" si="17"/>
        <v>0</v>
      </c>
      <c r="AC14" s="162">
        <f>(Q13*Q14)+(R13*R14)+(S13*S14)+(T13*T14)+(U13*U14)+(V13*V14)+(W13*W14)+(X13*X14)+(Y13*Y14)+(Z13*Z14)+(AA13*AA14)+(AB13*AB14)</f>
        <v>0</v>
      </c>
      <c r="AD14" s="719"/>
      <c r="AE14" s="146">
        <f>AB14*(1+SalIncreaseRate)*3</f>
        <v>0</v>
      </c>
      <c r="AF14" s="147">
        <f t="shared" si="14"/>
        <v>0</v>
      </c>
      <c r="AG14" s="147">
        <f t="shared" si="14"/>
        <v>0</v>
      </c>
      <c r="AH14" s="173">
        <f t="shared" si="14"/>
        <v>0</v>
      </c>
      <c r="AI14" s="160">
        <f>(AE13*AE14)+(AF13*AF14)+(AG13*AG14)+(AH13*AH14)</f>
        <v>0</v>
      </c>
      <c r="AJ14" s="149"/>
      <c r="AK14" s="172">
        <f>AH14*(1+SalIncreaseRate)</f>
        <v>0</v>
      </c>
      <c r="AL14" s="147">
        <f t="shared" si="15"/>
        <v>0</v>
      </c>
      <c r="AM14" s="147">
        <f t="shared" si="15"/>
        <v>0</v>
      </c>
      <c r="AN14" s="173">
        <f t="shared" si="15"/>
        <v>0</v>
      </c>
      <c r="AO14" s="160">
        <f>(AK13*AK14)+(AL13*AL14)+(AM13*AM14)+(AN13*AN14)</f>
        <v>0</v>
      </c>
      <c r="AP14" s="149"/>
      <c r="AQ14" s="154">
        <f>AN14*(1+SalIncreaseRate)*4</f>
        <v>0</v>
      </c>
    </row>
    <row r="15" spans="1:43" s="13" customFormat="1" ht="14.1" customHeight="1">
      <c r="B15" s="34" t="s">
        <v>22</v>
      </c>
      <c r="C15" s="176">
        <f t="shared" ref="C15:N15" si="18">C13*EmpBenes/12</f>
        <v>0</v>
      </c>
      <c r="D15" s="174">
        <f t="shared" si="18"/>
        <v>0</v>
      </c>
      <c r="E15" s="174">
        <f t="shared" si="18"/>
        <v>0</v>
      </c>
      <c r="F15" s="174">
        <f t="shared" si="18"/>
        <v>0</v>
      </c>
      <c r="G15" s="174">
        <f t="shared" si="18"/>
        <v>0</v>
      </c>
      <c r="H15" s="174">
        <f t="shared" si="18"/>
        <v>0</v>
      </c>
      <c r="I15" s="174">
        <f t="shared" si="18"/>
        <v>0</v>
      </c>
      <c r="J15" s="174">
        <f t="shared" si="18"/>
        <v>0</v>
      </c>
      <c r="K15" s="174">
        <f t="shared" si="18"/>
        <v>0</v>
      </c>
      <c r="L15" s="174">
        <f t="shared" si="18"/>
        <v>0</v>
      </c>
      <c r="M15" s="174">
        <f t="shared" si="18"/>
        <v>0</v>
      </c>
      <c r="N15" s="174">
        <f t="shared" si="18"/>
        <v>0</v>
      </c>
      <c r="O15" s="162">
        <f>SUM(C15:N15)</f>
        <v>0</v>
      </c>
      <c r="P15" s="710"/>
      <c r="Q15" s="189">
        <f t="shared" ref="Q15:AB15" si="19">Q13*(EmpBenes*(1+EmpBeneIncrease))/12</f>
        <v>0</v>
      </c>
      <c r="R15" s="164">
        <f t="shared" si="19"/>
        <v>0</v>
      </c>
      <c r="S15" s="164">
        <f t="shared" si="19"/>
        <v>0</v>
      </c>
      <c r="T15" s="164">
        <f t="shared" si="19"/>
        <v>0</v>
      </c>
      <c r="U15" s="164">
        <f t="shared" si="19"/>
        <v>0</v>
      </c>
      <c r="V15" s="164">
        <f t="shared" si="19"/>
        <v>0</v>
      </c>
      <c r="W15" s="164">
        <f t="shared" si="19"/>
        <v>0</v>
      </c>
      <c r="X15" s="164">
        <f t="shared" si="19"/>
        <v>0</v>
      </c>
      <c r="Y15" s="189">
        <f t="shared" si="19"/>
        <v>0</v>
      </c>
      <c r="Z15" s="164">
        <f t="shared" si="19"/>
        <v>0</v>
      </c>
      <c r="AA15" s="161">
        <f t="shared" si="19"/>
        <v>0</v>
      </c>
      <c r="AB15" s="673">
        <f t="shared" si="19"/>
        <v>0</v>
      </c>
      <c r="AC15" s="670">
        <f>SUM(Q15:AB15)</f>
        <v>0</v>
      </c>
      <c r="AD15" s="719"/>
      <c r="AE15" s="161">
        <f>AE13*(EmpBenes*(1+EmpBeneIncrease)^2)/4</f>
        <v>0</v>
      </c>
      <c r="AF15" s="161">
        <f>AF13*(EmpBenes*(1+EmpBeneIncrease)^2)/4</f>
        <v>0</v>
      </c>
      <c r="AG15" s="161">
        <f>AG13*(EmpBenes*(1+EmpBeneIncrease)^2)/4</f>
        <v>0</v>
      </c>
      <c r="AH15" s="176">
        <f>AH13*(EmpBenes*(1+EmpBeneIncrease)^2)/4</f>
        <v>0</v>
      </c>
      <c r="AI15" s="160">
        <f>SUM(AE15:AH15)</f>
        <v>0</v>
      </c>
      <c r="AJ15" s="149"/>
      <c r="AK15" s="177">
        <f>AK13*(EmpBenes*(1+EmpBeneIncrease)^3)/4</f>
        <v>0</v>
      </c>
      <c r="AL15" s="174">
        <f>AL13*(EmpBenes*(1+EmpBeneIncrease)^3)/4</f>
        <v>0</v>
      </c>
      <c r="AM15" s="174">
        <f>AM13*(EmpBenes*(1+EmpBeneIncrease)^3)/4</f>
        <v>0</v>
      </c>
      <c r="AN15" s="175">
        <f>AN13*(EmpBenes*(1+EmpBeneIncrease)^3)/4</f>
        <v>0</v>
      </c>
      <c r="AO15" s="160">
        <f>SUM(AK15:AN15)</f>
        <v>0</v>
      </c>
      <c r="AP15" s="149"/>
      <c r="AQ15" s="160">
        <f>AQ13*(EmpBenes*(1+EmpBeneIncrease)^4)</f>
        <v>0</v>
      </c>
    </row>
    <row r="16" spans="1:43" s="13" customFormat="1" ht="14.1" customHeight="1" thickBot="1">
      <c r="A16" s="20"/>
      <c r="B16" s="12" t="s">
        <v>23</v>
      </c>
      <c r="C16" s="176">
        <f t="shared" ref="C16:N16" si="20">C14*C13*PayrollTaxes</f>
        <v>0</v>
      </c>
      <c r="D16" s="174">
        <f t="shared" si="20"/>
        <v>0</v>
      </c>
      <c r="E16" s="174">
        <f t="shared" si="20"/>
        <v>0</v>
      </c>
      <c r="F16" s="174">
        <f t="shared" si="20"/>
        <v>0</v>
      </c>
      <c r="G16" s="174">
        <f t="shared" si="20"/>
        <v>0</v>
      </c>
      <c r="H16" s="174">
        <f t="shared" si="20"/>
        <v>0</v>
      </c>
      <c r="I16" s="174">
        <f t="shared" si="20"/>
        <v>0</v>
      </c>
      <c r="J16" s="174">
        <f t="shared" si="20"/>
        <v>0</v>
      </c>
      <c r="K16" s="174">
        <f t="shared" si="20"/>
        <v>0</v>
      </c>
      <c r="L16" s="174">
        <f t="shared" si="20"/>
        <v>0</v>
      </c>
      <c r="M16" s="174">
        <f t="shared" si="20"/>
        <v>0</v>
      </c>
      <c r="N16" s="174">
        <f t="shared" si="20"/>
        <v>0</v>
      </c>
      <c r="O16" s="163">
        <f>SUM(C16:N16)</f>
        <v>0</v>
      </c>
      <c r="P16" s="710"/>
      <c r="Q16" s="176">
        <f t="shared" ref="Q16:AB16" si="21">Q14*Q13*PayrollTaxes</f>
        <v>0</v>
      </c>
      <c r="R16" s="174">
        <f t="shared" si="21"/>
        <v>0</v>
      </c>
      <c r="S16" s="174">
        <f t="shared" si="21"/>
        <v>0</v>
      </c>
      <c r="T16" s="174">
        <f t="shared" si="21"/>
        <v>0</v>
      </c>
      <c r="U16" s="174">
        <f t="shared" si="21"/>
        <v>0</v>
      </c>
      <c r="V16" s="174">
        <f t="shared" si="21"/>
        <v>0</v>
      </c>
      <c r="W16" s="174">
        <f t="shared" si="21"/>
        <v>0</v>
      </c>
      <c r="X16" s="174">
        <f t="shared" si="21"/>
        <v>0</v>
      </c>
      <c r="Y16" s="176">
        <f t="shared" si="21"/>
        <v>0</v>
      </c>
      <c r="Z16" s="174">
        <f t="shared" si="21"/>
        <v>0</v>
      </c>
      <c r="AA16" s="174">
        <f t="shared" si="21"/>
        <v>0</v>
      </c>
      <c r="AB16" s="174">
        <f t="shared" si="21"/>
        <v>0</v>
      </c>
      <c r="AC16" s="163">
        <f>SUM(Q16:AB16)</f>
        <v>0</v>
      </c>
      <c r="AD16" s="719"/>
      <c r="AE16" s="176">
        <f>AE14*AE13*PayrollTaxes</f>
        <v>0</v>
      </c>
      <c r="AF16" s="174">
        <f>AF14*AF13*PayrollTaxes</f>
        <v>0</v>
      </c>
      <c r="AG16" s="174">
        <f>AG14*AG13*PayrollTaxes</f>
        <v>0</v>
      </c>
      <c r="AH16" s="175">
        <f>AH14*AH13*PayrollTaxes</f>
        <v>0</v>
      </c>
      <c r="AI16" s="160">
        <f>SUM(AE16:AH16)</f>
        <v>0</v>
      </c>
      <c r="AJ16" s="149"/>
      <c r="AK16" s="177">
        <f>AK14*AK13*PayrollTaxes</f>
        <v>0</v>
      </c>
      <c r="AL16" s="174">
        <f>AL14*AL13*PayrollTaxes</f>
        <v>0</v>
      </c>
      <c r="AM16" s="174">
        <f>AM14*AM13*PayrollTaxes</f>
        <v>0</v>
      </c>
      <c r="AN16" s="175">
        <f>AN14*AN13*PayrollTaxes</f>
        <v>0</v>
      </c>
      <c r="AO16" s="160">
        <f>SUM(AK16:AN16)</f>
        <v>0</v>
      </c>
      <c r="AP16" s="149"/>
      <c r="AQ16" s="160">
        <f>AQ13*AQ14*PayrollTaxes</f>
        <v>0</v>
      </c>
    </row>
    <row r="17" spans="1:43" s="13" customFormat="1" ht="14.1" customHeight="1" thickBot="1">
      <c r="B17" s="686" t="s">
        <v>24</v>
      </c>
      <c r="C17" s="180">
        <f>C13*C14+C15+C16</f>
        <v>0</v>
      </c>
      <c r="D17" s="181">
        <f>D13*D14+D15+D16</f>
        <v>0</v>
      </c>
      <c r="E17" s="181">
        <f t="shared" ref="E17:N17" si="22">E13*E14+E15+E16</f>
        <v>0</v>
      </c>
      <c r="F17" s="181">
        <f t="shared" si="22"/>
        <v>0</v>
      </c>
      <c r="G17" s="181">
        <f t="shared" si="22"/>
        <v>0</v>
      </c>
      <c r="H17" s="181">
        <f t="shared" si="22"/>
        <v>0</v>
      </c>
      <c r="I17" s="181">
        <f t="shared" si="22"/>
        <v>0</v>
      </c>
      <c r="J17" s="181">
        <f t="shared" si="22"/>
        <v>0</v>
      </c>
      <c r="K17" s="181">
        <f t="shared" si="22"/>
        <v>0</v>
      </c>
      <c r="L17" s="181">
        <f t="shared" si="22"/>
        <v>0</v>
      </c>
      <c r="M17" s="181">
        <f t="shared" si="22"/>
        <v>0</v>
      </c>
      <c r="N17" s="181">
        <f t="shared" si="22"/>
        <v>0</v>
      </c>
      <c r="O17" s="165">
        <f>SUM(O14:O16)</f>
        <v>0</v>
      </c>
      <c r="P17" s="710"/>
      <c r="Q17" s="180">
        <f>Q13*Q14+Q15+Q16</f>
        <v>0</v>
      </c>
      <c r="R17" s="181">
        <f>R13*R14+R15+R16</f>
        <v>0</v>
      </c>
      <c r="S17" s="181">
        <f t="shared" ref="S17:AB17" si="23">S13*S14+S15+S16</f>
        <v>0</v>
      </c>
      <c r="T17" s="181">
        <f t="shared" si="23"/>
        <v>0</v>
      </c>
      <c r="U17" s="181">
        <f t="shared" si="23"/>
        <v>0</v>
      </c>
      <c r="V17" s="181">
        <f t="shared" si="23"/>
        <v>0</v>
      </c>
      <c r="W17" s="181">
        <f t="shared" si="23"/>
        <v>0</v>
      </c>
      <c r="X17" s="181">
        <f t="shared" si="23"/>
        <v>0</v>
      </c>
      <c r="Y17" s="181">
        <f t="shared" si="23"/>
        <v>0</v>
      </c>
      <c r="Z17" s="181">
        <f t="shared" si="23"/>
        <v>0</v>
      </c>
      <c r="AA17" s="181">
        <f t="shared" si="23"/>
        <v>0</v>
      </c>
      <c r="AB17" s="181">
        <f t="shared" si="23"/>
        <v>0</v>
      </c>
      <c r="AC17" s="165">
        <f>SUM(AC14:AC16)</f>
        <v>0</v>
      </c>
      <c r="AD17" s="719"/>
      <c r="AE17" s="180">
        <f>(AE13*AE14)+AE15+AE16</f>
        <v>0</v>
      </c>
      <c r="AF17" s="181">
        <f>(AF13*AF14)+AF15+AF16</f>
        <v>0</v>
      </c>
      <c r="AG17" s="181">
        <f>(AG13*AG14)+AG15+AG16</f>
        <v>0</v>
      </c>
      <c r="AH17" s="185">
        <f>(AH13*AH14)+AH15+AH16</f>
        <v>0</v>
      </c>
      <c r="AI17" s="165">
        <f>SUM(AI14:AI16)</f>
        <v>0</v>
      </c>
      <c r="AJ17" s="149"/>
      <c r="AK17" s="183">
        <f>(AK13*AK14)+AK15+AK16</f>
        <v>0</v>
      </c>
      <c r="AL17" s="181">
        <f>(AL13*AL14)+AL15+AL16</f>
        <v>0</v>
      </c>
      <c r="AM17" s="181">
        <f>(AM13*AM14)+AM15+AM16</f>
        <v>0</v>
      </c>
      <c r="AN17" s="185">
        <f>(AN13*AN14)+AN15+AN16</f>
        <v>0</v>
      </c>
      <c r="AO17" s="165">
        <f>SUM(AO14:AO16)</f>
        <v>0</v>
      </c>
      <c r="AP17" s="149"/>
      <c r="AQ17" s="165">
        <f>(AQ14*AQ13)+AQ15+AQ16</f>
        <v>0</v>
      </c>
    </row>
    <row r="18" spans="1:43" s="13" customFormat="1" ht="14.1" customHeight="1">
      <c r="A18" s="20"/>
      <c r="B18" s="687"/>
      <c r="C18" s="20"/>
      <c r="D18" s="35"/>
      <c r="E18" s="35"/>
      <c r="F18" s="35"/>
      <c r="G18" s="35"/>
      <c r="I18" s="35"/>
      <c r="J18" s="35"/>
      <c r="K18" s="35"/>
      <c r="L18" s="35"/>
      <c r="M18" s="35"/>
      <c r="N18" s="44"/>
      <c r="O18" s="45"/>
      <c r="P18" s="709"/>
      <c r="Q18" s="20"/>
      <c r="R18" s="35"/>
      <c r="S18" s="35"/>
      <c r="T18" s="35"/>
      <c r="U18" s="35"/>
      <c r="V18" s="35"/>
      <c r="W18" s="35"/>
      <c r="X18" s="35"/>
      <c r="Y18" s="20"/>
      <c r="Z18" s="35"/>
      <c r="AA18" s="35"/>
      <c r="AB18" s="44"/>
      <c r="AC18" s="45"/>
      <c r="AD18" s="718"/>
      <c r="AE18" s="20"/>
      <c r="AF18" s="35"/>
      <c r="AG18" s="35"/>
      <c r="AH18" s="44"/>
      <c r="AI18" s="45"/>
      <c r="AK18" s="46"/>
      <c r="AL18" s="35"/>
      <c r="AM18" s="35"/>
      <c r="AN18" s="44"/>
      <c r="AO18" s="45"/>
      <c r="AQ18" s="45"/>
    </row>
    <row r="19" spans="1:43" s="13" customFormat="1" ht="14.1" customHeight="1">
      <c r="A19" s="20"/>
      <c r="B19" s="685" t="s">
        <v>26</v>
      </c>
      <c r="C19" s="20"/>
      <c r="D19" s="35"/>
      <c r="E19" s="35"/>
      <c r="F19" s="35"/>
      <c r="G19" s="35"/>
      <c r="I19" s="35"/>
      <c r="J19" s="35"/>
      <c r="K19" s="35"/>
      <c r="L19" s="35"/>
      <c r="M19" s="35"/>
      <c r="N19" s="44"/>
      <c r="O19" s="45"/>
      <c r="P19" s="709"/>
      <c r="Q19" s="20"/>
      <c r="R19" s="35"/>
      <c r="S19" s="35"/>
      <c r="T19" s="35"/>
      <c r="U19" s="35"/>
      <c r="V19" s="35"/>
      <c r="W19" s="35"/>
      <c r="X19" s="35"/>
      <c r="Y19" s="20"/>
      <c r="Z19" s="35"/>
      <c r="AA19" s="35"/>
      <c r="AB19" s="44"/>
      <c r="AC19" s="45"/>
      <c r="AD19" s="718"/>
      <c r="AE19" s="20"/>
      <c r="AF19" s="35"/>
      <c r="AG19" s="35"/>
      <c r="AH19" s="44"/>
      <c r="AI19" s="45"/>
      <c r="AK19" s="46"/>
      <c r="AL19" s="35"/>
      <c r="AM19" s="35"/>
      <c r="AN19" s="44"/>
      <c r="AO19" s="45"/>
      <c r="AQ19" s="45"/>
    </row>
    <row r="20" spans="1:43" s="13" customFormat="1" ht="14.1" customHeight="1">
      <c r="A20" s="20"/>
      <c r="B20" s="34" t="s">
        <v>20</v>
      </c>
      <c r="C20" s="101">
        <v>0</v>
      </c>
      <c r="D20" s="101">
        <f t="shared" ref="D20:N20" si="24">C20</f>
        <v>0</v>
      </c>
      <c r="E20" s="101">
        <f t="shared" si="24"/>
        <v>0</v>
      </c>
      <c r="F20" s="101">
        <f t="shared" si="24"/>
        <v>0</v>
      </c>
      <c r="G20" s="101">
        <f t="shared" si="24"/>
        <v>0</v>
      </c>
      <c r="H20" s="101">
        <f t="shared" si="24"/>
        <v>0</v>
      </c>
      <c r="I20" s="101">
        <f t="shared" si="24"/>
        <v>0</v>
      </c>
      <c r="J20" s="101">
        <f t="shared" si="24"/>
        <v>0</v>
      </c>
      <c r="K20" s="101">
        <f t="shared" si="24"/>
        <v>0</v>
      </c>
      <c r="L20" s="101">
        <f t="shared" si="24"/>
        <v>0</v>
      </c>
      <c r="M20" s="101">
        <f t="shared" si="24"/>
        <v>0</v>
      </c>
      <c r="N20" s="101">
        <f t="shared" si="24"/>
        <v>0</v>
      </c>
      <c r="O20" s="47"/>
      <c r="P20" s="709"/>
      <c r="Q20" s="101">
        <f>N20</f>
        <v>0</v>
      </c>
      <c r="R20" s="671">
        <f t="shared" ref="R20:AB20" si="25">Q20</f>
        <v>0</v>
      </c>
      <c r="S20" s="671">
        <f t="shared" si="25"/>
        <v>0</v>
      </c>
      <c r="T20" s="671">
        <f t="shared" si="25"/>
        <v>0</v>
      </c>
      <c r="U20" s="671">
        <f t="shared" si="25"/>
        <v>0</v>
      </c>
      <c r="V20" s="671">
        <f t="shared" si="25"/>
        <v>0</v>
      </c>
      <c r="W20" s="671">
        <f t="shared" si="25"/>
        <v>0</v>
      </c>
      <c r="X20" s="671">
        <f t="shared" si="25"/>
        <v>0</v>
      </c>
      <c r="Y20" s="101">
        <f t="shared" si="25"/>
        <v>0</v>
      </c>
      <c r="Z20" s="101">
        <f t="shared" si="25"/>
        <v>0</v>
      </c>
      <c r="AA20" s="101">
        <f t="shared" si="25"/>
        <v>0</v>
      </c>
      <c r="AB20" s="101">
        <f t="shared" si="25"/>
        <v>0</v>
      </c>
      <c r="AC20" s="47"/>
      <c r="AD20" s="718"/>
      <c r="AE20" s="101">
        <f>AB20</f>
        <v>0</v>
      </c>
      <c r="AF20" s="101">
        <f t="shared" ref="AF20:AH21" si="26">AE20</f>
        <v>0</v>
      </c>
      <c r="AG20" s="101">
        <f t="shared" si="26"/>
        <v>0</v>
      </c>
      <c r="AH20" s="103">
        <f t="shared" si="26"/>
        <v>0</v>
      </c>
      <c r="AI20" s="47"/>
      <c r="AK20" s="102">
        <f>AH20</f>
        <v>0</v>
      </c>
      <c r="AL20" s="101">
        <f t="shared" ref="AL20:AN21" si="27">AK20</f>
        <v>0</v>
      </c>
      <c r="AM20" s="101">
        <f t="shared" si="27"/>
        <v>0</v>
      </c>
      <c r="AN20" s="103">
        <f t="shared" si="27"/>
        <v>0</v>
      </c>
      <c r="AO20" s="47"/>
      <c r="AQ20" s="104">
        <f>AN20</f>
        <v>0</v>
      </c>
    </row>
    <row r="21" spans="1:43" s="13" customFormat="1" ht="14.1" customHeight="1">
      <c r="A21" s="20"/>
      <c r="B21" s="34" t="s">
        <v>21</v>
      </c>
      <c r="C21" s="146">
        <v>0</v>
      </c>
      <c r="D21" s="147">
        <f t="shared" ref="D21:N21" si="28">C21</f>
        <v>0</v>
      </c>
      <c r="E21" s="147">
        <f t="shared" si="28"/>
        <v>0</v>
      </c>
      <c r="F21" s="147">
        <f t="shared" si="28"/>
        <v>0</v>
      </c>
      <c r="G21" s="147">
        <f t="shared" si="28"/>
        <v>0</v>
      </c>
      <c r="H21" s="147">
        <f t="shared" si="28"/>
        <v>0</v>
      </c>
      <c r="I21" s="147">
        <f t="shared" si="28"/>
        <v>0</v>
      </c>
      <c r="J21" s="147">
        <f t="shared" si="28"/>
        <v>0</v>
      </c>
      <c r="K21" s="147">
        <f t="shared" si="28"/>
        <v>0</v>
      </c>
      <c r="L21" s="147">
        <f t="shared" si="28"/>
        <v>0</v>
      </c>
      <c r="M21" s="147">
        <f t="shared" si="28"/>
        <v>0</v>
      </c>
      <c r="N21" s="147">
        <f t="shared" si="28"/>
        <v>0</v>
      </c>
      <c r="O21" s="162">
        <f>(C20*C21)+(D20*D21)+(E20*E21)+(F20*F21)+(G20*G21)+(H20*H21)+(I20*I21)+(J20*J21)+(K20*K21)+(L20*L21)+(M20*M21)+(N20*N21)</f>
        <v>0</v>
      </c>
      <c r="P21" s="710"/>
      <c r="Q21" s="146">
        <f>N21*(1+SalIncreaseRate)</f>
        <v>0</v>
      </c>
      <c r="R21" s="147">
        <f t="shared" ref="R21:AB21" si="29">Q21</f>
        <v>0</v>
      </c>
      <c r="S21" s="147">
        <f t="shared" si="29"/>
        <v>0</v>
      </c>
      <c r="T21" s="147">
        <f t="shared" si="29"/>
        <v>0</v>
      </c>
      <c r="U21" s="147">
        <f t="shared" si="29"/>
        <v>0</v>
      </c>
      <c r="V21" s="147">
        <f t="shared" si="29"/>
        <v>0</v>
      </c>
      <c r="W21" s="147">
        <f t="shared" si="29"/>
        <v>0</v>
      </c>
      <c r="X21" s="147">
        <f t="shared" si="29"/>
        <v>0</v>
      </c>
      <c r="Y21" s="152">
        <f t="shared" si="29"/>
        <v>0</v>
      </c>
      <c r="Z21" s="146">
        <f t="shared" si="29"/>
        <v>0</v>
      </c>
      <c r="AA21" s="147">
        <f t="shared" si="29"/>
        <v>0</v>
      </c>
      <c r="AB21" s="147">
        <f t="shared" si="29"/>
        <v>0</v>
      </c>
      <c r="AC21" s="162">
        <f>(Q20*Q21)+(R20*R21)+(S20*S21)+(T20*T21)+(U20*U21)+(V20*V21)+(W20*W21)+(X20*X21)+(Y20*Y21)+(Z20*Z21)+(AA20*AA21)+(AB20*AB21)</f>
        <v>0</v>
      </c>
      <c r="AD21" s="719"/>
      <c r="AE21" s="146">
        <f>AB21*(1+SalIncreaseRate)*3</f>
        <v>0</v>
      </c>
      <c r="AF21" s="147">
        <f t="shared" si="26"/>
        <v>0</v>
      </c>
      <c r="AG21" s="147">
        <f t="shared" si="26"/>
        <v>0</v>
      </c>
      <c r="AH21" s="173">
        <f t="shared" si="26"/>
        <v>0</v>
      </c>
      <c r="AI21" s="160">
        <f>(AE20*AE21)+(AF20*AF21)+(AG20*AG21)+(AH20*AH21)</f>
        <v>0</v>
      </c>
      <c r="AJ21" s="149"/>
      <c r="AK21" s="172">
        <f>AH21*(1+SalIncreaseRate)</f>
        <v>0</v>
      </c>
      <c r="AL21" s="147">
        <f t="shared" si="27"/>
        <v>0</v>
      </c>
      <c r="AM21" s="147">
        <f t="shared" si="27"/>
        <v>0</v>
      </c>
      <c r="AN21" s="173">
        <f t="shared" si="27"/>
        <v>0</v>
      </c>
      <c r="AO21" s="160">
        <f>(AK20*AK21)+(AL20*AL21)+(AM20*AM21)+(AN20*AN21)</f>
        <v>0</v>
      </c>
      <c r="AP21" s="149"/>
      <c r="AQ21" s="154">
        <f>AN21*(1+SalIncreaseRate)*4</f>
        <v>0</v>
      </c>
    </row>
    <row r="22" spans="1:43" s="13" customFormat="1" ht="14.1" customHeight="1">
      <c r="A22" s="20"/>
      <c r="B22" s="34" t="s">
        <v>22</v>
      </c>
      <c r="C22" s="176">
        <f t="shared" ref="C22:N22" si="30">C20*EmpBenes/12</f>
        <v>0</v>
      </c>
      <c r="D22" s="174">
        <f t="shared" si="30"/>
        <v>0</v>
      </c>
      <c r="E22" s="174">
        <f t="shared" si="30"/>
        <v>0</v>
      </c>
      <c r="F22" s="174">
        <f t="shared" si="30"/>
        <v>0</v>
      </c>
      <c r="G22" s="174">
        <f t="shared" si="30"/>
        <v>0</v>
      </c>
      <c r="H22" s="174">
        <f t="shared" si="30"/>
        <v>0</v>
      </c>
      <c r="I22" s="174">
        <f t="shared" si="30"/>
        <v>0</v>
      </c>
      <c r="J22" s="174">
        <f t="shared" si="30"/>
        <v>0</v>
      </c>
      <c r="K22" s="174">
        <f t="shared" si="30"/>
        <v>0</v>
      </c>
      <c r="L22" s="174">
        <f t="shared" si="30"/>
        <v>0</v>
      </c>
      <c r="M22" s="174">
        <f t="shared" si="30"/>
        <v>0</v>
      </c>
      <c r="N22" s="174">
        <f t="shared" si="30"/>
        <v>0</v>
      </c>
      <c r="O22" s="162">
        <f>SUM(C22:N22)</f>
        <v>0</v>
      </c>
      <c r="P22" s="710"/>
      <c r="Q22" s="161">
        <f t="shared" ref="Q22:AB22" si="31">Q20*(EmpBenes*(1+EmpBeneIncrease))/12</f>
        <v>0</v>
      </c>
      <c r="R22" s="164">
        <f t="shared" si="31"/>
        <v>0</v>
      </c>
      <c r="S22" s="164">
        <f t="shared" si="31"/>
        <v>0</v>
      </c>
      <c r="T22" s="164">
        <f t="shared" si="31"/>
        <v>0</v>
      </c>
      <c r="U22" s="164">
        <f t="shared" si="31"/>
        <v>0</v>
      </c>
      <c r="V22" s="164">
        <f t="shared" si="31"/>
        <v>0</v>
      </c>
      <c r="W22" s="164">
        <f t="shared" si="31"/>
        <v>0</v>
      </c>
      <c r="X22" s="164">
        <f t="shared" si="31"/>
        <v>0</v>
      </c>
      <c r="Y22" s="164">
        <f t="shared" si="31"/>
        <v>0</v>
      </c>
      <c r="Z22" s="164">
        <f t="shared" si="31"/>
        <v>0</v>
      </c>
      <c r="AA22" s="164">
        <f t="shared" si="31"/>
        <v>0</v>
      </c>
      <c r="AB22" s="161">
        <f t="shared" si="31"/>
        <v>0</v>
      </c>
      <c r="AC22" s="162">
        <f>SUM(Q22:AB22)</f>
        <v>0</v>
      </c>
      <c r="AD22" s="719"/>
      <c r="AE22" s="161">
        <f>AE20*(EmpBenes*(1+EmpBeneIncrease)^2)/4</f>
        <v>0</v>
      </c>
      <c r="AF22" s="164">
        <f>AF20*(EmpBenes*(1+EmpBeneIncrease)^2)/4</f>
        <v>0</v>
      </c>
      <c r="AG22" s="164">
        <f>AG20*(EmpBenes*(1+EmpBeneIncrease)^2)/4</f>
        <v>0</v>
      </c>
      <c r="AH22" s="176">
        <f>AH20*(EmpBenes*(1+EmpBeneIncrease)^2)/4</f>
        <v>0</v>
      </c>
      <c r="AI22" s="160">
        <f>SUM(AE22:AH22)</f>
        <v>0</v>
      </c>
      <c r="AJ22" s="149"/>
      <c r="AK22" s="177">
        <f>AK20*(EmpBenes*(1+EmpBeneIncrease)^3)/4</f>
        <v>0</v>
      </c>
      <c r="AL22" s="174">
        <f>AL20*(EmpBenes*(1+EmpBeneIncrease)^3)/4</f>
        <v>0</v>
      </c>
      <c r="AM22" s="174">
        <f>AM20*(EmpBenes*(1+EmpBeneIncrease)^3)/4</f>
        <v>0</v>
      </c>
      <c r="AN22" s="175">
        <f>AN20*(EmpBenes*(1+EmpBeneIncrease)^3)/4</f>
        <v>0</v>
      </c>
      <c r="AO22" s="160">
        <f>SUM(AK22:AN22)</f>
        <v>0</v>
      </c>
      <c r="AP22" s="149"/>
      <c r="AQ22" s="160">
        <f>AQ20*(EmpBenes*(1+EmpBeneIncrease)^4)</f>
        <v>0</v>
      </c>
    </row>
    <row r="23" spans="1:43" s="13" customFormat="1" ht="14.1" customHeight="1" thickBot="1">
      <c r="A23" s="20"/>
      <c r="B23" s="12" t="s">
        <v>23</v>
      </c>
      <c r="C23" s="176">
        <f t="shared" ref="C23:N23" si="32">C21*C20*PayrollTaxes</f>
        <v>0</v>
      </c>
      <c r="D23" s="174">
        <f t="shared" si="32"/>
        <v>0</v>
      </c>
      <c r="E23" s="174">
        <f t="shared" si="32"/>
        <v>0</v>
      </c>
      <c r="F23" s="174">
        <f t="shared" si="32"/>
        <v>0</v>
      </c>
      <c r="G23" s="174">
        <f t="shared" si="32"/>
        <v>0</v>
      </c>
      <c r="H23" s="174">
        <f t="shared" si="32"/>
        <v>0</v>
      </c>
      <c r="I23" s="174">
        <f t="shared" si="32"/>
        <v>0</v>
      </c>
      <c r="J23" s="174">
        <f t="shared" si="32"/>
        <v>0</v>
      </c>
      <c r="K23" s="174">
        <f t="shared" si="32"/>
        <v>0</v>
      </c>
      <c r="L23" s="174">
        <f t="shared" si="32"/>
        <v>0</v>
      </c>
      <c r="M23" s="174">
        <f t="shared" si="32"/>
        <v>0</v>
      </c>
      <c r="N23" s="174">
        <f t="shared" si="32"/>
        <v>0</v>
      </c>
      <c r="O23" s="158">
        <f>SUM(C23:N23)</f>
        <v>0</v>
      </c>
      <c r="P23" s="710"/>
      <c r="Q23" s="176">
        <f t="shared" ref="Q23:AB23" si="33">Q21*Q20*PayrollTaxes</f>
        <v>0</v>
      </c>
      <c r="R23" s="174">
        <f t="shared" si="33"/>
        <v>0</v>
      </c>
      <c r="S23" s="174">
        <f t="shared" si="33"/>
        <v>0</v>
      </c>
      <c r="T23" s="174">
        <f t="shared" si="33"/>
        <v>0</v>
      </c>
      <c r="U23" s="174">
        <f t="shared" si="33"/>
        <v>0</v>
      </c>
      <c r="V23" s="174">
        <f t="shared" si="33"/>
        <v>0</v>
      </c>
      <c r="W23" s="174">
        <f t="shared" si="33"/>
        <v>0</v>
      </c>
      <c r="X23" s="174">
        <f t="shared" si="33"/>
        <v>0</v>
      </c>
      <c r="Y23" s="174">
        <f t="shared" si="33"/>
        <v>0</v>
      </c>
      <c r="Z23" s="174">
        <f t="shared" si="33"/>
        <v>0</v>
      </c>
      <c r="AA23" s="174">
        <f t="shared" si="33"/>
        <v>0</v>
      </c>
      <c r="AB23" s="176">
        <f t="shared" si="33"/>
        <v>0</v>
      </c>
      <c r="AC23" s="158">
        <f>SUM(Q23:AB23)</f>
        <v>0</v>
      </c>
      <c r="AD23" s="719"/>
      <c r="AE23" s="176">
        <f>AE21*AE20*PayrollTaxes</f>
        <v>0</v>
      </c>
      <c r="AF23" s="174">
        <f>AF21*AF20*PayrollTaxes</f>
        <v>0</v>
      </c>
      <c r="AG23" s="174">
        <f>AG21*AG20*PayrollTaxes</f>
        <v>0</v>
      </c>
      <c r="AH23" s="175">
        <f>AH21*AH20*PayrollTaxes</f>
        <v>0</v>
      </c>
      <c r="AI23" s="160">
        <f>SUM(AE23:AH23)</f>
        <v>0</v>
      </c>
      <c r="AJ23" s="149"/>
      <c r="AK23" s="177">
        <f>AK21*AK20*PayrollTaxes</f>
        <v>0</v>
      </c>
      <c r="AL23" s="174">
        <f>AL21*AL20*PayrollTaxes</f>
        <v>0</v>
      </c>
      <c r="AM23" s="174">
        <f>AM21*AM20*PayrollTaxes</f>
        <v>0</v>
      </c>
      <c r="AN23" s="175">
        <f>AN21*AN20*PayrollTaxes</f>
        <v>0</v>
      </c>
      <c r="AO23" s="160">
        <f>SUM(AK23:AN23)</f>
        <v>0</v>
      </c>
      <c r="AP23" s="149"/>
      <c r="AQ23" s="160">
        <f>AQ20*AQ21*PayrollTaxes</f>
        <v>0</v>
      </c>
    </row>
    <row r="24" spans="1:43" s="13" customFormat="1" ht="14.1" customHeight="1" thickBot="1">
      <c r="A24" s="20"/>
      <c r="B24" s="686" t="s">
        <v>24</v>
      </c>
      <c r="C24" s="180">
        <f t="shared" ref="C24:N24" si="34">C20*C21+C22+C23</f>
        <v>0</v>
      </c>
      <c r="D24" s="181">
        <f t="shared" si="34"/>
        <v>0</v>
      </c>
      <c r="E24" s="181">
        <f t="shared" si="34"/>
        <v>0</v>
      </c>
      <c r="F24" s="181">
        <f t="shared" si="34"/>
        <v>0</v>
      </c>
      <c r="G24" s="181">
        <f t="shared" si="34"/>
        <v>0</v>
      </c>
      <c r="H24" s="181">
        <f t="shared" si="34"/>
        <v>0</v>
      </c>
      <c r="I24" s="181">
        <f t="shared" si="34"/>
        <v>0</v>
      </c>
      <c r="J24" s="181">
        <f t="shared" si="34"/>
        <v>0</v>
      </c>
      <c r="K24" s="181">
        <f t="shared" si="34"/>
        <v>0</v>
      </c>
      <c r="L24" s="181">
        <f t="shared" si="34"/>
        <v>0</v>
      </c>
      <c r="M24" s="181">
        <f t="shared" si="34"/>
        <v>0</v>
      </c>
      <c r="N24" s="182">
        <f t="shared" si="34"/>
        <v>0</v>
      </c>
      <c r="O24" s="165">
        <f>SUM(O21:O23)</f>
        <v>0</v>
      </c>
      <c r="P24" s="710"/>
      <c r="Q24" s="180">
        <f t="shared" ref="Q24:AB24" si="35">Q20*Q21+Q22+Q23</f>
        <v>0</v>
      </c>
      <c r="R24" s="181">
        <f t="shared" si="35"/>
        <v>0</v>
      </c>
      <c r="S24" s="181">
        <f t="shared" si="35"/>
        <v>0</v>
      </c>
      <c r="T24" s="181">
        <f t="shared" si="35"/>
        <v>0</v>
      </c>
      <c r="U24" s="181">
        <f t="shared" si="35"/>
        <v>0</v>
      </c>
      <c r="V24" s="181">
        <f t="shared" si="35"/>
        <v>0</v>
      </c>
      <c r="W24" s="181">
        <f t="shared" si="35"/>
        <v>0</v>
      </c>
      <c r="X24" s="181">
        <f t="shared" si="35"/>
        <v>0</v>
      </c>
      <c r="Y24" s="181">
        <f t="shared" si="35"/>
        <v>0</v>
      </c>
      <c r="Z24" s="181">
        <f t="shared" si="35"/>
        <v>0</v>
      </c>
      <c r="AA24" s="181">
        <f t="shared" si="35"/>
        <v>0</v>
      </c>
      <c r="AB24" s="182">
        <f t="shared" si="35"/>
        <v>0</v>
      </c>
      <c r="AC24" s="180">
        <f>SUM(AC21:AC23)</f>
        <v>0</v>
      </c>
      <c r="AD24" s="720"/>
      <c r="AE24" s="180">
        <f>(AE20*AE21)+AE22+AE23</f>
        <v>0</v>
      </c>
      <c r="AF24" s="180">
        <f>(AF20*AF21)+AF22+AF23</f>
        <v>0</v>
      </c>
      <c r="AG24" s="180">
        <f>(AG20*AG21)+AG22+AG23</f>
        <v>0</v>
      </c>
      <c r="AH24" s="182">
        <f>(AH20*AH21)+AH22+AH23</f>
        <v>0</v>
      </c>
      <c r="AI24" s="165">
        <f>SUM(AI21:AI23)</f>
        <v>0</v>
      </c>
      <c r="AJ24" s="148"/>
      <c r="AK24" s="180">
        <f>(AK20*AK21)+AK22+AK23</f>
        <v>0</v>
      </c>
      <c r="AL24" s="180">
        <f>(AL20*AL21)+AL22+AL23</f>
        <v>0</v>
      </c>
      <c r="AM24" s="180">
        <f>(AM20*AM21)+AM22+AM23</f>
        <v>0</v>
      </c>
      <c r="AN24" s="182">
        <f>(AN20*AN21)+AN22+AN23</f>
        <v>0</v>
      </c>
      <c r="AO24" s="186">
        <f>SUM(AO21:AO23)</f>
        <v>0</v>
      </c>
      <c r="AP24" s="148"/>
      <c r="AQ24" s="180">
        <f>(AQ21*AQ20)+AQ22+AQ23</f>
        <v>0</v>
      </c>
    </row>
    <row r="25" spans="1:43" s="13" customFormat="1" ht="14.1" customHeight="1">
      <c r="A25" s="20"/>
      <c r="B25" s="687"/>
      <c r="C25" s="20"/>
      <c r="D25" s="35"/>
      <c r="E25" s="35"/>
      <c r="F25" s="35"/>
      <c r="G25" s="35"/>
      <c r="I25" s="35"/>
      <c r="J25" s="35"/>
      <c r="K25" s="35"/>
      <c r="L25" s="35"/>
      <c r="M25" s="35"/>
      <c r="N25" s="44"/>
      <c r="O25" s="45"/>
      <c r="P25" s="709"/>
      <c r="Q25" s="20"/>
      <c r="R25" s="35"/>
      <c r="S25" s="35"/>
      <c r="T25" s="35"/>
      <c r="U25" s="35"/>
      <c r="V25" s="35"/>
      <c r="W25" s="35"/>
      <c r="X25" s="35"/>
      <c r="Y25" s="35"/>
      <c r="Z25" s="35"/>
      <c r="AA25" s="35"/>
      <c r="AC25" s="45"/>
      <c r="AD25" s="718"/>
      <c r="AE25" s="20"/>
      <c r="AF25" s="35"/>
      <c r="AG25" s="35"/>
      <c r="AH25" s="44"/>
      <c r="AI25" s="45"/>
      <c r="AK25" s="46"/>
      <c r="AL25" s="35"/>
      <c r="AM25" s="35"/>
      <c r="AN25" s="44"/>
      <c r="AO25" s="45"/>
      <c r="AQ25" s="45"/>
    </row>
    <row r="26" spans="1:43" s="13" customFormat="1" ht="14.1" customHeight="1">
      <c r="A26" s="20"/>
      <c r="B26" s="685" t="s">
        <v>27</v>
      </c>
      <c r="C26" s="20"/>
      <c r="D26" s="35"/>
      <c r="E26" s="35"/>
      <c r="F26" s="35"/>
      <c r="G26" s="35"/>
      <c r="I26" s="35"/>
      <c r="J26" s="35"/>
      <c r="K26" s="35"/>
      <c r="L26" s="35"/>
      <c r="M26" s="35"/>
      <c r="N26" s="44"/>
      <c r="O26" s="45"/>
      <c r="P26" s="709"/>
      <c r="Q26" s="20"/>
      <c r="R26" s="35"/>
      <c r="S26" s="35"/>
      <c r="T26" s="35"/>
      <c r="U26" s="35"/>
      <c r="V26" s="35"/>
      <c r="W26" s="35"/>
      <c r="X26" s="35"/>
      <c r="Y26" s="35"/>
      <c r="Z26" s="35"/>
      <c r="AA26" s="35"/>
      <c r="AC26" s="45"/>
      <c r="AD26" s="718"/>
      <c r="AE26" s="20"/>
      <c r="AF26" s="35"/>
      <c r="AG26" s="35"/>
      <c r="AH26" s="44"/>
      <c r="AI26" s="45"/>
      <c r="AK26" s="46"/>
      <c r="AL26" s="35"/>
      <c r="AM26" s="35"/>
      <c r="AN26" s="44"/>
      <c r="AO26" s="45"/>
      <c r="AQ26" s="45"/>
    </row>
    <row r="27" spans="1:43" s="13" customFormat="1" ht="14.1" customHeight="1">
      <c r="A27" s="20"/>
      <c r="B27" s="34" t="s">
        <v>20</v>
      </c>
      <c r="C27" s="101">
        <v>0</v>
      </c>
      <c r="D27" s="101">
        <f t="shared" ref="D27:N27" si="36">C27</f>
        <v>0</v>
      </c>
      <c r="E27" s="101">
        <f t="shared" si="36"/>
        <v>0</v>
      </c>
      <c r="F27" s="101">
        <f t="shared" si="36"/>
        <v>0</v>
      </c>
      <c r="G27" s="101">
        <f t="shared" si="36"/>
        <v>0</v>
      </c>
      <c r="H27" s="101">
        <f t="shared" si="36"/>
        <v>0</v>
      </c>
      <c r="I27" s="101">
        <f t="shared" si="36"/>
        <v>0</v>
      </c>
      <c r="J27" s="101">
        <f t="shared" si="36"/>
        <v>0</v>
      </c>
      <c r="K27" s="101">
        <f t="shared" si="36"/>
        <v>0</v>
      </c>
      <c r="L27" s="101">
        <f t="shared" si="36"/>
        <v>0</v>
      </c>
      <c r="M27" s="101">
        <f t="shared" si="36"/>
        <v>0</v>
      </c>
      <c r="N27" s="101">
        <f t="shared" si="36"/>
        <v>0</v>
      </c>
      <c r="O27" s="33"/>
      <c r="P27" s="709"/>
      <c r="Q27" s="101">
        <f>N27</f>
        <v>0</v>
      </c>
      <c r="R27" s="671">
        <f t="shared" ref="R27:AB27" si="37">Q27</f>
        <v>0</v>
      </c>
      <c r="S27" s="671">
        <f t="shared" si="37"/>
        <v>0</v>
      </c>
      <c r="T27" s="671">
        <f t="shared" si="37"/>
        <v>0</v>
      </c>
      <c r="U27" s="671">
        <f t="shared" si="37"/>
        <v>0</v>
      </c>
      <c r="V27" s="671">
        <f t="shared" si="37"/>
        <v>0</v>
      </c>
      <c r="W27" s="671">
        <f t="shared" si="37"/>
        <v>0</v>
      </c>
      <c r="X27" s="671">
        <f t="shared" si="37"/>
        <v>0</v>
      </c>
      <c r="Y27" s="671">
        <f t="shared" si="37"/>
        <v>0</v>
      </c>
      <c r="Z27" s="671">
        <f t="shared" si="37"/>
        <v>0</v>
      </c>
      <c r="AA27" s="671">
        <f t="shared" si="37"/>
        <v>0</v>
      </c>
      <c r="AB27" s="101">
        <f t="shared" si="37"/>
        <v>0</v>
      </c>
      <c r="AC27" s="33"/>
      <c r="AD27" s="718"/>
      <c r="AE27" s="101">
        <f>AB27</f>
        <v>0</v>
      </c>
      <c r="AF27" s="101">
        <f t="shared" ref="AF27:AH28" si="38">AE27</f>
        <v>0</v>
      </c>
      <c r="AG27" s="101">
        <f t="shared" si="38"/>
        <v>0</v>
      </c>
      <c r="AH27" s="103">
        <f t="shared" si="38"/>
        <v>0</v>
      </c>
      <c r="AI27" s="33"/>
      <c r="AK27" s="102">
        <f>AH27</f>
        <v>0</v>
      </c>
      <c r="AL27" s="101">
        <f t="shared" ref="AL27:AN28" si="39">AK27</f>
        <v>0</v>
      </c>
      <c r="AM27" s="101">
        <f t="shared" si="39"/>
        <v>0</v>
      </c>
      <c r="AN27" s="103">
        <f t="shared" si="39"/>
        <v>0</v>
      </c>
      <c r="AO27" s="33"/>
      <c r="AQ27" s="104">
        <f>AN27</f>
        <v>0</v>
      </c>
    </row>
    <row r="28" spans="1:43" s="13" customFormat="1" ht="14.1" customHeight="1">
      <c r="A28" s="20"/>
      <c r="B28" s="34" t="s">
        <v>21</v>
      </c>
      <c r="C28" s="146">
        <v>0</v>
      </c>
      <c r="D28" s="147">
        <f t="shared" ref="D28:N28" si="40">C28</f>
        <v>0</v>
      </c>
      <c r="E28" s="147">
        <f t="shared" si="40"/>
        <v>0</v>
      </c>
      <c r="F28" s="147">
        <f t="shared" si="40"/>
        <v>0</v>
      </c>
      <c r="G28" s="147">
        <f t="shared" si="40"/>
        <v>0</v>
      </c>
      <c r="H28" s="147">
        <f t="shared" si="40"/>
        <v>0</v>
      </c>
      <c r="I28" s="147">
        <f t="shared" si="40"/>
        <v>0</v>
      </c>
      <c r="J28" s="147">
        <f t="shared" si="40"/>
        <v>0</v>
      </c>
      <c r="K28" s="147">
        <f t="shared" si="40"/>
        <v>0</v>
      </c>
      <c r="L28" s="147">
        <f t="shared" si="40"/>
        <v>0</v>
      </c>
      <c r="M28" s="147">
        <f t="shared" si="40"/>
        <v>0</v>
      </c>
      <c r="N28" s="147">
        <f t="shared" si="40"/>
        <v>0</v>
      </c>
      <c r="O28" s="162">
        <f>(C27*C28)+(D27*D28)+(E27*E28)+(F27*F28)+(G27*G28)+(H27*H28)+(I27*I28)+(J27*J28)+(K27*K28)+(L27*L28)+(M27*M28)+(N27*N28)</f>
        <v>0</v>
      </c>
      <c r="P28" s="710"/>
      <c r="Q28" s="146">
        <f>N28*(1+SalIncreaseRate)</f>
        <v>0</v>
      </c>
      <c r="R28" s="147">
        <f t="shared" ref="R28:AB28" si="41">Q28</f>
        <v>0</v>
      </c>
      <c r="S28" s="147">
        <f t="shared" si="41"/>
        <v>0</v>
      </c>
      <c r="T28" s="147">
        <f t="shared" si="41"/>
        <v>0</v>
      </c>
      <c r="U28" s="147">
        <f t="shared" si="41"/>
        <v>0</v>
      </c>
      <c r="V28" s="147">
        <f t="shared" si="41"/>
        <v>0</v>
      </c>
      <c r="W28" s="147">
        <f t="shared" si="41"/>
        <v>0</v>
      </c>
      <c r="X28" s="147">
        <f t="shared" si="41"/>
        <v>0</v>
      </c>
      <c r="Y28" s="147">
        <f t="shared" si="41"/>
        <v>0</v>
      </c>
      <c r="Z28" s="147">
        <f t="shared" si="41"/>
        <v>0</v>
      </c>
      <c r="AA28" s="147">
        <f t="shared" si="41"/>
        <v>0</v>
      </c>
      <c r="AB28" s="146">
        <f t="shared" si="41"/>
        <v>0</v>
      </c>
      <c r="AC28" s="162">
        <f>(Q27*Q28)+(R27*R28)+(S27*S28)+(T27*T28)+(U27*U28)+(V27*V28)+(W27*W28)+(X27*X28)+(Y27*Y28)+(Z27*Z28)+(AA27*AA28)+(AB27*AB28)</f>
        <v>0</v>
      </c>
      <c r="AD28" s="719"/>
      <c r="AE28" s="146">
        <f>AB28*(1+SalIncreaseRate)*3</f>
        <v>0</v>
      </c>
      <c r="AF28" s="147">
        <f t="shared" si="38"/>
        <v>0</v>
      </c>
      <c r="AG28" s="147">
        <f t="shared" si="38"/>
        <v>0</v>
      </c>
      <c r="AH28" s="173">
        <f t="shared" si="38"/>
        <v>0</v>
      </c>
      <c r="AI28" s="160">
        <f>(AE27*AE28)+(AF27*AF28)+(AG27*AG28)+(AH27*AH28)</f>
        <v>0</v>
      </c>
      <c r="AJ28" s="149"/>
      <c r="AK28" s="172">
        <f>AH28*(1+SalIncreaseRate)</f>
        <v>0</v>
      </c>
      <c r="AL28" s="147">
        <f t="shared" si="39"/>
        <v>0</v>
      </c>
      <c r="AM28" s="147">
        <f t="shared" si="39"/>
        <v>0</v>
      </c>
      <c r="AN28" s="173">
        <f t="shared" si="39"/>
        <v>0</v>
      </c>
      <c r="AO28" s="160">
        <f>(AK27*AK28)+(AL27*AL28)+(AM27*AM28)+(AN27*AN28)</f>
        <v>0</v>
      </c>
      <c r="AP28" s="149"/>
      <c r="AQ28" s="154">
        <f>AN28*(1+SalIncreaseRate)*4</f>
        <v>0</v>
      </c>
    </row>
    <row r="29" spans="1:43" s="13" customFormat="1" ht="14.1" customHeight="1">
      <c r="A29" s="20"/>
      <c r="B29" s="12" t="s">
        <v>22</v>
      </c>
      <c r="C29" s="176">
        <f t="shared" ref="C29:N29" si="42">C27*EmpBenes/12</f>
        <v>0</v>
      </c>
      <c r="D29" s="174">
        <f t="shared" si="42"/>
        <v>0</v>
      </c>
      <c r="E29" s="174">
        <f t="shared" si="42"/>
        <v>0</v>
      </c>
      <c r="F29" s="174">
        <f t="shared" si="42"/>
        <v>0</v>
      </c>
      <c r="G29" s="174">
        <f t="shared" si="42"/>
        <v>0</v>
      </c>
      <c r="H29" s="174">
        <f t="shared" si="42"/>
        <v>0</v>
      </c>
      <c r="I29" s="174">
        <f t="shared" si="42"/>
        <v>0</v>
      </c>
      <c r="J29" s="174">
        <f t="shared" si="42"/>
        <v>0</v>
      </c>
      <c r="K29" s="174">
        <f t="shared" si="42"/>
        <v>0</v>
      </c>
      <c r="L29" s="174">
        <f t="shared" si="42"/>
        <v>0</v>
      </c>
      <c r="M29" s="174">
        <f t="shared" si="42"/>
        <v>0</v>
      </c>
      <c r="N29" s="174">
        <f t="shared" si="42"/>
        <v>0</v>
      </c>
      <c r="O29" s="158">
        <f>SUM(C29:N29)</f>
        <v>0</v>
      </c>
      <c r="P29" s="710"/>
      <c r="Q29" s="161">
        <f t="shared" ref="Q29:AB29" si="43">Q27*(EmpBenes*(1+EmpBeneIncrease))/12</f>
        <v>0</v>
      </c>
      <c r="R29" s="164">
        <f t="shared" si="43"/>
        <v>0</v>
      </c>
      <c r="S29" s="164">
        <f t="shared" si="43"/>
        <v>0</v>
      </c>
      <c r="T29" s="164">
        <f t="shared" si="43"/>
        <v>0</v>
      </c>
      <c r="U29" s="164">
        <f t="shared" si="43"/>
        <v>0</v>
      </c>
      <c r="V29" s="164">
        <f t="shared" si="43"/>
        <v>0</v>
      </c>
      <c r="W29" s="164">
        <f t="shared" si="43"/>
        <v>0</v>
      </c>
      <c r="X29" s="164">
        <f t="shared" si="43"/>
        <v>0</v>
      </c>
      <c r="Y29" s="164">
        <f t="shared" si="43"/>
        <v>0</v>
      </c>
      <c r="Z29" s="164">
        <f t="shared" si="43"/>
        <v>0</v>
      </c>
      <c r="AA29" s="164">
        <f t="shared" si="43"/>
        <v>0</v>
      </c>
      <c r="AB29" s="161">
        <f t="shared" si="43"/>
        <v>0</v>
      </c>
      <c r="AC29" s="158">
        <f>SUM(Q29:AB29)</f>
        <v>0</v>
      </c>
      <c r="AD29" s="719"/>
      <c r="AE29" s="161">
        <f>AE27*(EmpBenes*(1+EmpBeneIncrease)^2)/4</f>
        <v>0</v>
      </c>
      <c r="AF29" s="164">
        <f>AF27*(EmpBenes*(1+EmpBeneIncrease)^2)/4</f>
        <v>0</v>
      </c>
      <c r="AG29" s="164">
        <f>AG27*(EmpBenes*(1+EmpBeneIncrease)^2)/4</f>
        <v>0</v>
      </c>
      <c r="AH29" s="176">
        <f>AH27*(EmpBenes*(1+EmpBeneIncrease)^2)/4</f>
        <v>0</v>
      </c>
      <c r="AI29" s="160">
        <f>SUM(AE29:AH29)</f>
        <v>0</v>
      </c>
      <c r="AJ29" s="149"/>
      <c r="AK29" s="177">
        <f>AK27*(EmpBenes*(1+EmpBeneIncrease)^3)/4</f>
        <v>0</v>
      </c>
      <c r="AL29" s="174">
        <f>AL27*(EmpBenes*(1+EmpBeneIncrease)^3)/4</f>
        <v>0</v>
      </c>
      <c r="AM29" s="174">
        <f>AM27*(EmpBenes*(1+EmpBeneIncrease)^3)/4</f>
        <v>0</v>
      </c>
      <c r="AN29" s="175">
        <f>AN27*(EmpBenes*(1+EmpBeneIncrease)^3)/4</f>
        <v>0</v>
      </c>
      <c r="AO29" s="160">
        <f>SUM(AK29:AN29)</f>
        <v>0</v>
      </c>
      <c r="AP29" s="149"/>
      <c r="AQ29" s="160">
        <f>AQ27*(EmpBenes*(1+EmpBeneIncrease)^4)</f>
        <v>0</v>
      </c>
    </row>
    <row r="30" spans="1:43" s="13" customFormat="1" ht="14.1" customHeight="1" thickBot="1">
      <c r="A30" s="20"/>
      <c r="B30" s="688" t="s">
        <v>23</v>
      </c>
      <c r="C30" s="176">
        <f t="shared" ref="C30:N30" si="44">C28*C27*PayrollTaxes</f>
        <v>0</v>
      </c>
      <c r="D30" s="174">
        <f t="shared" si="44"/>
        <v>0</v>
      </c>
      <c r="E30" s="174">
        <f t="shared" si="44"/>
        <v>0</v>
      </c>
      <c r="F30" s="174">
        <f t="shared" si="44"/>
        <v>0</v>
      </c>
      <c r="G30" s="174">
        <f t="shared" si="44"/>
        <v>0</v>
      </c>
      <c r="H30" s="174">
        <f t="shared" si="44"/>
        <v>0</v>
      </c>
      <c r="I30" s="174">
        <f t="shared" si="44"/>
        <v>0</v>
      </c>
      <c r="J30" s="174">
        <f t="shared" si="44"/>
        <v>0</v>
      </c>
      <c r="K30" s="174">
        <f t="shared" si="44"/>
        <v>0</v>
      </c>
      <c r="L30" s="174">
        <f t="shared" si="44"/>
        <v>0</v>
      </c>
      <c r="M30" s="174">
        <f t="shared" si="44"/>
        <v>0</v>
      </c>
      <c r="N30" s="174">
        <f t="shared" si="44"/>
        <v>0</v>
      </c>
      <c r="O30" s="178">
        <f>SUM(C30:N30)</f>
        <v>0</v>
      </c>
      <c r="P30" s="710"/>
      <c r="Q30" s="176">
        <f t="shared" ref="Q30:AB30" si="45">Q28*Q27*PayrollTaxes</f>
        <v>0</v>
      </c>
      <c r="R30" s="174">
        <f t="shared" si="45"/>
        <v>0</v>
      </c>
      <c r="S30" s="174">
        <f t="shared" si="45"/>
        <v>0</v>
      </c>
      <c r="T30" s="174">
        <f t="shared" si="45"/>
        <v>0</v>
      </c>
      <c r="U30" s="174">
        <f t="shared" si="45"/>
        <v>0</v>
      </c>
      <c r="V30" s="174">
        <f t="shared" si="45"/>
        <v>0</v>
      </c>
      <c r="W30" s="174">
        <f t="shared" si="45"/>
        <v>0</v>
      </c>
      <c r="X30" s="174">
        <f t="shared" si="45"/>
        <v>0</v>
      </c>
      <c r="Y30" s="174">
        <f t="shared" si="45"/>
        <v>0</v>
      </c>
      <c r="Z30" s="174">
        <f t="shared" si="45"/>
        <v>0</v>
      </c>
      <c r="AA30" s="174">
        <f t="shared" si="45"/>
        <v>0</v>
      </c>
      <c r="AB30" s="176">
        <f t="shared" si="45"/>
        <v>0</v>
      </c>
      <c r="AC30" s="178">
        <f>SUM(Q30:AB30)</f>
        <v>0</v>
      </c>
      <c r="AD30" s="719"/>
      <c r="AE30" s="176">
        <f>AE28*AE27*PayrollTaxes</f>
        <v>0</v>
      </c>
      <c r="AF30" s="174">
        <f>AF28*AF27*PayrollTaxes</f>
        <v>0</v>
      </c>
      <c r="AG30" s="174">
        <f>AG28*AG27*PayrollTaxes</f>
        <v>0</v>
      </c>
      <c r="AH30" s="175">
        <f>AH28*AH27*PayrollTaxes</f>
        <v>0</v>
      </c>
      <c r="AI30" s="160">
        <f>SUM(AE30:AH30)</f>
        <v>0</v>
      </c>
      <c r="AJ30" s="149"/>
      <c r="AK30" s="187">
        <f>AK28*AK27*PayrollTaxes</f>
        <v>0</v>
      </c>
      <c r="AL30" s="174">
        <f>AL28*AL27*PayrollTaxes</f>
        <v>0</v>
      </c>
      <c r="AM30" s="174">
        <f>AM28*AM27*PayrollTaxes</f>
        <v>0</v>
      </c>
      <c r="AN30" s="175">
        <f>AN28*AN27*PayrollTaxes</f>
        <v>0</v>
      </c>
      <c r="AO30" s="160">
        <f>SUM(AK30:AN30)</f>
        <v>0</v>
      </c>
      <c r="AP30" s="149"/>
      <c r="AQ30" s="160">
        <f>AQ27*AQ28*PayrollTaxes</f>
        <v>0</v>
      </c>
    </row>
    <row r="31" spans="1:43" s="13" customFormat="1" ht="14.1" customHeight="1" thickBot="1">
      <c r="A31" s="20"/>
      <c r="B31" s="686" t="s">
        <v>24</v>
      </c>
      <c r="C31" s="180">
        <f t="shared" ref="C31:N31" si="46">C27*C28+C29+C30</f>
        <v>0</v>
      </c>
      <c r="D31" s="181">
        <f t="shared" si="46"/>
        <v>0</v>
      </c>
      <c r="E31" s="181">
        <f t="shared" si="46"/>
        <v>0</v>
      </c>
      <c r="F31" s="181">
        <f t="shared" si="46"/>
        <v>0</v>
      </c>
      <c r="G31" s="181">
        <f t="shared" si="46"/>
        <v>0</v>
      </c>
      <c r="H31" s="184">
        <f t="shared" si="46"/>
        <v>0</v>
      </c>
      <c r="I31" s="181">
        <f t="shared" si="46"/>
        <v>0</v>
      </c>
      <c r="J31" s="181">
        <f t="shared" si="46"/>
        <v>0</v>
      </c>
      <c r="K31" s="181">
        <f t="shared" si="46"/>
        <v>0</v>
      </c>
      <c r="L31" s="181">
        <f t="shared" si="46"/>
        <v>0</v>
      </c>
      <c r="M31" s="181">
        <f t="shared" si="46"/>
        <v>0</v>
      </c>
      <c r="N31" s="185">
        <f t="shared" si="46"/>
        <v>0</v>
      </c>
      <c r="O31" s="165">
        <f>SUM(O28:O30)</f>
        <v>0</v>
      </c>
      <c r="P31" s="710"/>
      <c r="Q31" s="180">
        <f>Q27*Q28+Q29+Q30</f>
        <v>0</v>
      </c>
      <c r="R31" s="181">
        <f t="shared" ref="R31:AB31" si="47">R27*R28+R29+R30</f>
        <v>0</v>
      </c>
      <c r="S31" s="181">
        <f t="shared" si="47"/>
        <v>0</v>
      </c>
      <c r="T31" s="181">
        <f t="shared" si="47"/>
        <v>0</v>
      </c>
      <c r="U31" s="181">
        <f t="shared" si="47"/>
        <v>0</v>
      </c>
      <c r="V31" s="181">
        <f t="shared" si="47"/>
        <v>0</v>
      </c>
      <c r="W31" s="181">
        <f t="shared" si="47"/>
        <v>0</v>
      </c>
      <c r="X31" s="181">
        <f t="shared" si="47"/>
        <v>0</v>
      </c>
      <c r="Y31" s="181">
        <f t="shared" si="47"/>
        <v>0</v>
      </c>
      <c r="Z31" s="181">
        <f t="shared" si="47"/>
        <v>0</v>
      </c>
      <c r="AA31" s="181">
        <f t="shared" si="47"/>
        <v>0</v>
      </c>
      <c r="AB31" s="184">
        <f t="shared" si="47"/>
        <v>0</v>
      </c>
      <c r="AC31" s="165">
        <f>SUM(AC28:AC30)</f>
        <v>0</v>
      </c>
      <c r="AD31" s="719"/>
      <c r="AE31" s="180">
        <f>(AE27*AE28)+AE29+AE30</f>
        <v>0</v>
      </c>
      <c r="AF31" s="181">
        <f>(AF27*AF28)+AF29+AF30</f>
        <v>0</v>
      </c>
      <c r="AG31" s="181">
        <f>(AG27*AG28)+AG29+AG30</f>
        <v>0</v>
      </c>
      <c r="AH31" s="185">
        <f>(AH27*AH28)+AH29+AH30</f>
        <v>0</v>
      </c>
      <c r="AI31" s="165">
        <f>SUM(AI28:AI30)</f>
        <v>0</v>
      </c>
      <c r="AJ31" s="149"/>
      <c r="AK31" s="188">
        <f>(AK27*AK28)+AK29+AK30</f>
        <v>0</v>
      </c>
      <c r="AL31" s="181">
        <f>(AL27*AL28)+AL29+AL30</f>
        <v>0</v>
      </c>
      <c r="AM31" s="181">
        <f>(AM27*AM28)+AM29+AM30</f>
        <v>0</v>
      </c>
      <c r="AN31" s="185">
        <f>(AN27*AN28)+AN29+AN30</f>
        <v>0</v>
      </c>
      <c r="AO31" s="165">
        <f>SUM(AO28:AO30)</f>
        <v>0</v>
      </c>
      <c r="AP31" s="149"/>
      <c r="AQ31" s="165">
        <f>(AQ28*AQ27)+AQ29+AQ30</f>
        <v>0</v>
      </c>
    </row>
    <row r="32" spans="1:43" s="13" customFormat="1" ht="14.1" customHeight="1">
      <c r="A32" s="20"/>
      <c r="B32" s="687"/>
      <c r="C32" s="20"/>
      <c r="D32" s="35"/>
      <c r="E32" s="35"/>
      <c r="F32" s="35"/>
      <c r="G32" s="35"/>
      <c r="I32" s="35"/>
      <c r="J32" s="35"/>
      <c r="K32" s="35"/>
      <c r="L32" s="35"/>
      <c r="M32" s="35"/>
      <c r="N32" s="44"/>
      <c r="O32" s="45"/>
      <c r="P32" s="709"/>
      <c r="Q32" s="20"/>
      <c r="R32" s="35"/>
      <c r="S32" s="35"/>
      <c r="T32" s="35"/>
      <c r="U32" s="35"/>
      <c r="V32" s="35"/>
      <c r="W32" s="35"/>
      <c r="X32" s="35"/>
      <c r="Y32" s="35"/>
      <c r="Z32" s="35"/>
      <c r="AA32" s="35"/>
      <c r="AC32" s="45"/>
      <c r="AD32" s="718"/>
      <c r="AE32" s="20"/>
      <c r="AF32" s="35"/>
      <c r="AG32" s="35"/>
      <c r="AH32" s="44"/>
      <c r="AI32" s="45"/>
      <c r="AK32" s="100"/>
      <c r="AL32" s="35"/>
      <c r="AM32" s="35"/>
      <c r="AN32" s="44"/>
      <c r="AO32" s="45"/>
      <c r="AQ32" s="45"/>
    </row>
    <row r="33" spans="1:43" s="13" customFormat="1" ht="14.1" customHeight="1">
      <c r="A33" s="20"/>
      <c r="B33" s="685" t="s">
        <v>28</v>
      </c>
      <c r="C33" s="20"/>
      <c r="D33" s="35"/>
      <c r="E33" s="35"/>
      <c r="F33" s="35"/>
      <c r="G33" s="35"/>
      <c r="I33" s="35"/>
      <c r="J33" s="35"/>
      <c r="K33" s="35"/>
      <c r="L33" s="35"/>
      <c r="M33" s="35"/>
      <c r="N33" s="44"/>
      <c r="O33" s="45"/>
      <c r="P33" s="709"/>
      <c r="Q33" s="20"/>
      <c r="R33" s="35"/>
      <c r="S33" s="35"/>
      <c r="T33" s="35"/>
      <c r="U33" s="35"/>
      <c r="V33" s="35"/>
      <c r="W33" s="35"/>
      <c r="X33" s="35"/>
      <c r="Y33" s="35"/>
      <c r="Z33" s="35"/>
      <c r="AA33" s="35"/>
      <c r="AC33" s="45"/>
      <c r="AD33" s="718"/>
      <c r="AE33" s="20"/>
      <c r="AF33" s="35"/>
      <c r="AG33" s="35"/>
      <c r="AH33" s="44"/>
      <c r="AI33" s="45"/>
      <c r="AK33" s="46"/>
      <c r="AL33" s="35"/>
      <c r="AM33" s="35"/>
      <c r="AN33" s="44"/>
      <c r="AO33" s="45"/>
      <c r="AQ33" s="45"/>
    </row>
    <row r="34" spans="1:43" s="13" customFormat="1" ht="14.1" customHeight="1">
      <c r="A34" s="20"/>
      <c r="B34" s="34" t="s">
        <v>20</v>
      </c>
      <c r="C34" s="101">
        <v>0</v>
      </c>
      <c r="D34" s="101">
        <f t="shared" ref="D34:N34" si="48">C34</f>
        <v>0</v>
      </c>
      <c r="E34" s="101">
        <f t="shared" si="48"/>
        <v>0</v>
      </c>
      <c r="F34" s="101">
        <f t="shared" si="48"/>
        <v>0</v>
      </c>
      <c r="G34" s="101">
        <f t="shared" si="48"/>
        <v>0</v>
      </c>
      <c r="H34" s="101">
        <f t="shared" si="48"/>
        <v>0</v>
      </c>
      <c r="I34" s="101">
        <f t="shared" si="48"/>
        <v>0</v>
      </c>
      <c r="J34" s="101">
        <f t="shared" si="48"/>
        <v>0</v>
      </c>
      <c r="K34" s="101">
        <f t="shared" si="48"/>
        <v>0</v>
      </c>
      <c r="L34" s="101">
        <f t="shared" si="48"/>
        <v>0</v>
      </c>
      <c r="M34" s="101">
        <f t="shared" si="48"/>
        <v>0</v>
      </c>
      <c r="N34" s="101">
        <f t="shared" si="48"/>
        <v>0</v>
      </c>
      <c r="O34" s="33"/>
      <c r="P34" s="709"/>
      <c r="Q34" s="101">
        <f>N34</f>
        <v>0</v>
      </c>
      <c r="R34" s="671">
        <f t="shared" ref="R34:AB34" si="49">Q34</f>
        <v>0</v>
      </c>
      <c r="S34" s="671">
        <f t="shared" si="49"/>
        <v>0</v>
      </c>
      <c r="T34" s="671">
        <f t="shared" si="49"/>
        <v>0</v>
      </c>
      <c r="U34" s="671">
        <f t="shared" si="49"/>
        <v>0</v>
      </c>
      <c r="V34" s="671">
        <f t="shared" si="49"/>
        <v>0</v>
      </c>
      <c r="W34" s="671">
        <f t="shared" si="49"/>
        <v>0</v>
      </c>
      <c r="X34" s="671">
        <f t="shared" si="49"/>
        <v>0</v>
      </c>
      <c r="Y34" s="671">
        <f t="shared" si="49"/>
        <v>0</v>
      </c>
      <c r="Z34" s="671">
        <f t="shared" si="49"/>
        <v>0</v>
      </c>
      <c r="AA34" s="671">
        <f t="shared" si="49"/>
        <v>0</v>
      </c>
      <c r="AB34" s="101">
        <f t="shared" si="49"/>
        <v>0</v>
      </c>
      <c r="AC34" s="33"/>
      <c r="AD34" s="718"/>
      <c r="AE34" s="101">
        <f>AB34</f>
        <v>0</v>
      </c>
      <c r="AF34" s="101">
        <f t="shared" ref="AF34:AH35" si="50">AE34</f>
        <v>0</v>
      </c>
      <c r="AG34" s="101">
        <f t="shared" si="50"/>
        <v>0</v>
      </c>
      <c r="AH34" s="103">
        <f t="shared" si="50"/>
        <v>0</v>
      </c>
      <c r="AI34" s="33"/>
      <c r="AK34" s="102">
        <f>AH34</f>
        <v>0</v>
      </c>
      <c r="AL34" s="101">
        <f t="shared" ref="AL34:AN35" si="51">AK34</f>
        <v>0</v>
      </c>
      <c r="AM34" s="101">
        <f t="shared" si="51"/>
        <v>0</v>
      </c>
      <c r="AN34" s="103">
        <f t="shared" si="51"/>
        <v>0</v>
      </c>
      <c r="AO34" s="33"/>
      <c r="AQ34" s="104">
        <f>AN34</f>
        <v>0</v>
      </c>
    </row>
    <row r="35" spans="1:43" s="13" customFormat="1" ht="14.1" customHeight="1">
      <c r="A35" s="20"/>
      <c r="B35" s="34" t="s">
        <v>21</v>
      </c>
      <c r="C35" s="146">
        <v>0</v>
      </c>
      <c r="D35" s="147">
        <f t="shared" ref="D35:N35" si="52">C35</f>
        <v>0</v>
      </c>
      <c r="E35" s="147">
        <f t="shared" si="52"/>
        <v>0</v>
      </c>
      <c r="F35" s="147">
        <f t="shared" si="52"/>
        <v>0</v>
      </c>
      <c r="G35" s="147">
        <f t="shared" si="52"/>
        <v>0</v>
      </c>
      <c r="H35" s="147">
        <f t="shared" si="52"/>
        <v>0</v>
      </c>
      <c r="I35" s="147">
        <f t="shared" si="52"/>
        <v>0</v>
      </c>
      <c r="J35" s="147">
        <f t="shared" si="52"/>
        <v>0</v>
      </c>
      <c r="K35" s="147">
        <f t="shared" si="52"/>
        <v>0</v>
      </c>
      <c r="L35" s="147">
        <f t="shared" si="52"/>
        <v>0</v>
      </c>
      <c r="M35" s="147">
        <f t="shared" si="52"/>
        <v>0</v>
      </c>
      <c r="N35" s="147">
        <f t="shared" si="52"/>
        <v>0</v>
      </c>
      <c r="O35" s="162">
        <f>(C34*C35)+(D34*D35)+(E34*E35)+(F34*F35)+(G34*G35)+(H34*H35)+(I34*I35)+(J34*J35)+(K34*K35)+(L34*L35)+(M34*M35)+(N34*N35)</f>
        <v>0</v>
      </c>
      <c r="P35" s="710"/>
      <c r="Q35" s="146">
        <f>N35*(1+SalIncreaseRate)</f>
        <v>0</v>
      </c>
      <c r="R35" s="147">
        <f t="shared" ref="R35:AB35" si="53">Q35</f>
        <v>0</v>
      </c>
      <c r="S35" s="147">
        <f t="shared" si="53"/>
        <v>0</v>
      </c>
      <c r="T35" s="147">
        <f t="shared" si="53"/>
        <v>0</v>
      </c>
      <c r="U35" s="147">
        <f t="shared" si="53"/>
        <v>0</v>
      </c>
      <c r="V35" s="147">
        <f t="shared" si="53"/>
        <v>0</v>
      </c>
      <c r="W35" s="147">
        <f t="shared" si="53"/>
        <v>0</v>
      </c>
      <c r="X35" s="147">
        <f t="shared" si="53"/>
        <v>0</v>
      </c>
      <c r="Y35" s="147">
        <f t="shared" si="53"/>
        <v>0</v>
      </c>
      <c r="Z35" s="147">
        <f t="shared" si="53"/>
        <v>0</v>
      </c>
      <c r="AA35" s="147">
        <f t="shared" si="53"/>
        <v>0</v>
      </c>
      <c r="AB35" s="146">
        <f t="shared" si="53"/>
        <v>0</v>
      </c>
      <c r="AC35" s="162">
        <f>(Q34*Q35)+(R34*R35)+(S34*S35)+(T34*T35)+(U34*U35)+(V34*V35)+(W34*W35)+(X34*X35)+(Y34*Y35)+(Z34*Z35)+(AA34*AA35)+(AB34*AB35)</f>
        <v>0</v>
      </c>
      <c r="AD35" s="719"/>
      <c r="AE35" s="146">
        <f>AB35*(1+SalIncreaseRate)*3</f>
        <v>0</v>
      </c>
      <c r="AF35" s="147">
        <f t="shared" si="50"/>
        <v>0</v>
      </c>
      <c r="AG35" s="147">
        <f t="shared" si="50"/>
        <v>0</v>
      </c>
      <c r="AH35" s="173">
        <f t="shared" si="50"/>
        <v>0</v>
      </c>
      <c r="AI35" s="160">
        <f>(AE34*AE35)+(AF34*AF35)+(AG34*AG35)+(AH34*AH35)</f>
        <v>0</v>
      </c>
      <c r="AJ35" s="149"/>
      <c r="AK35" s="172">
        <f>AH35*(1+SalIncreaseRate)</f>
        <v>0</v>
      </c>
      <c r="AL35" s="147">
        <f t="shared" si="51"/>
        <v>0</v>
      </c>
      <c r="AM35" s="147">
        <f t="shared" si="51"/>
        <v>0</v>
      </c>
      <c r="AN35" s="173">
        <f t="shared" si="51"/>
        <v>0</v>
      </c>
      <c r="AO35" s="160">
        <f>(AK34*AK35)+(AL34*AL35)+(AM34*AM35)+(AN34*AN35)</f>
        <v>0</v>
      </c>
      <c r="AP35" s="149"/>
      <c r="AQ35" s="154">
        <f>AN35*(1+SalIncreaseRate)*4</f>
        <v>0</v>
      </c>
    </row>
    <row r="36" spans="1:43" s="13" customFormat="1" ht="14.1" customHeight="1">
      <c r="A36" s="20"/>
      <c r="B36" s="34" t="s">
        <v>22</v>
      </c>
      <c r="C36" s="176">
        <f t="shared" ref="C36:N36" si="54">C34*EmpBenes/12</f>
        <v>0</v>
      </c>
      <c r="D36" s="174">
        <f t="shared" si="54"/>
        <v>0</v>
      </c>
      <c r="E36" s="174">
        <f t="shared" si="54"/>
        <v>0</v>
      </c>
      <c r="F36" s="174">
        <f t="shared" si="54"/>
        <v>0</v>
      </c>
      <c r="G36" s="174">
        <f t="shared" si="54"/>
        <v>0</v>
      </c>
      <c r="H36" s="174">
        <f t="shared" si="54"/>
        <v>0</v>
      </c>
      <c r="I36" s="174">
        <f t="shared" si="54"/>
        <v>0</v>
      </c>
      <c r="J36" s="174">
        <f t="shared" si="54"/>
        <v>0</v>
      </c>
      <c r="K36" s="174">
        <f t="shared" si="54"/>
        <v>0</v>
      </c>
      <c r="L36" s="174">
        <f t="shared" si="54"/>
        <v>0</v>
      </c>
      <c r="M36" s="174">
        <f t="shared" si="54"/>
        <v>0</v>
      </c>
      <c r="N36" s="174">
        <f t="shared" si="54"/>
        <v>0</v>
      </c>
      <c r="O36" s="162">
        <f>SUM(C36:N36)</f>
        <v>0</v>
      </c>
      <c r="P36" s="710"/>
      <c r="Q36" s="161">
        <f t="shared" ref="Q36:AB36" si="55">Q34*(EmpBenes*(1+EmpBeneIncrease))/12</f>
        <v>0</v>
      </c>
      <c r="R36" s="164">
        <f t="shared" si="55"/>
        <v>0</v>
      </c>
      <c r="S36" s="164">
        <f t="shared" si="55"/>
        <v>0</v>
      </c>
      <c r="T36" s="164">
        <f t="shared" si="55"/>
        <v>0</v>
      </c>
      <c r="U36" s="164">
        <f t="shared" si="55"/>
        <v>0</v>
      </c>
      <c r="V36" s="164">
        <f t="shared" si="55"/>
        <v>0</v>
      </c>
      <c r="W36" s="164">
        <f t="shared" si="55"/>
        <v>0</v>
      </c>
      <c r="X36" s="164">
        <f t="shared" si="55"/>
        <v>0</v>
      </c>
      <c r="Y36" s="164">
        <f t="shared" si="55"/>
        <v>0</v>
      </c>
      <c r="Z36" s="164">
        <f t="shared" si="55"/>
        <v>0</v>
      </c>
      <c r="AA36" s="164">
        <f t="shared" si="55"/>
        <v>0</v>
      </c>
      <c r="AB36" s="161">
        <f t="shared" si="55"/>
        <v>0</v>
      </c>
      <c r="AC36" s="162">
        <f>SUM(Q36:AB36)</f>
        <v>0</v>
      </c>
      <c r="AD36" s="719"/>
      <c r="AE36" s="161">
        <f>AE34*(EmpBenes*(1+EmpBeneIncrease)^2)/4</f>
        <v>0</v>
      </c>
      <c r="AF36" s="164">
        <f>AF34*(EmpBenes*(1+EmpBeneIncrease)^2)/4</f>
        <v>0</v>
      </c>
      <c r="AG36" s="164">
        <f>AG34*(EmpBenes*(1+EmpBeneIncrease)^2)/4</f>
        <v>0</v>
      </c>
      <c r="AH36" s="176">
        <f>AH34*(EmpBenes*(1+EmpBeneIncrease)^2)/4</f>
        <v>0</v>
      </c>
      <c r="AI36" s="160">
        <f>SUM(AE36:AH36)</f>
        <v>0</v>
      </c>
      <c r="AJ36" s="149"/>
      <c r="AK36" s="177">
        <f>AK34*(EmpBenes*(1+EmpBeneIncrease)^3)/4</f>
        <v>0</v>
      </c>
      <c r="AL36" s="174">
        <f>AL34*(EmpBenes*(1+EmpBeneIncrease)^3)/4</f>
        <v>0</v>
      </c>
      <c r="AM36" s="174">
        <f>AM34*(EmpBenes*(1+EmpBeneIncrease)^3)/4</f>
        <v>0</v>
      </c>
      <c r="AN36" s="175">
        <f>AN34*(EmpBenes*(1+EmpBeneIncrease)^3)/4</f>
        <v>0</v>
      </c>
      <c r="AO36" s="160">
        <f>SUM(AK36:AN36)</f>
        <v>0</v>
      </c>
      <c r="AP36" s="149"/>
      <c r="AQ36" s="160">
        <f>AQ34*(EmpBenes*(1+EmpBeneIncrease)^4)</f>
        <v>0</v>
      </c>
    </row>
    <row r="37" spans="1:43" s="13" customFormat="1" ht="14.1" customHeight="1" thickBot="1">
      <c r="A37" s="20"/>
      <c r="B37" s="12" t="s">
        <v>23</v>
      </c>
      <c r="C37" s="176">
        <f t="shared" ref="C37:N37" si="56">C35*C34*PayrollTaxes</f>
        <v>0</v>
      </c>
      <c r="D37" s="174">
        <f t="shared" si="56"/>
        <v>0</v>
      </c>
      <c r="E37" s="174">
        <f t="shared" si="56"/>
        <v>0</v>
      </c>
      <c r="F37" s="174">
        <f t="shared" si="56"/>
        <v>0</v>
      </c>
      <c r="G37" s="174">
        <f t="shared" si="56"/>
        <v>0</v>
      </c>
      <c r="H37" s="174">
        <f t="shared" si="56"/>
        <v>0</v>
      </c>
      <c r="I37" s="174">
        <f t="shared" si="56"/>
        <v>0</v>
      </c>
      <c r="J37" s="174">
        <f t="shared" si="56"/>
        <v>0</v>
      </c>
      <c r="K37" s="174">
        <f t="shared" si="56"/>
        <v>0</v>
      </c>
      <c r="L37" s="174">
        <f t="shared" si="56"/>
        <v>0</v>
      </c>
      <c r="M37" s="174">
        <f t="shared" si="56"/>
        <v>0</v>
      </c>
      <c r="N37" s="174">
        <f t="shared" si="56"/>
        <v>0</v>
      </c>
      <c r="O37" s="158">
        <f>SUM(C37:N37)</f>
        <v>0</v>
      </c>
      <c r="P37" s="710"/>
      <c r="Q37" s="176">
        <f t="shared" ref="Q37:AB37" si="57">Q35*Q34*PayrollTaxes</f>
        <v>0</v>
      </c>
      <c r="R37" s="174">
        <f t="shared" si="57"/>
        <v>0</v>
      </c>
      <c r="S37" s="174">
        <f t="shared" si="57"/>
        <v>0</v>
      </c>
      <c r="T37" s="672">
        <f t="shared" si="57"/>
        <v>0</v>
      </c>
      <c r="U37" s="672">
        <f t="shared" si="57"/>
        <v>0</v>
      </c>
      <c r="V37" s="176">
        <f t="shared" si="57"/>
        <v>0</v>
      </c>
      <c r="W37" s="174">
        <f t="shared" si="57"/>
        <v>0</v>
      </c>
      <c r="X37" s="174">
        <f t="shared" si="57"/>
        <v>0</v>
      </c>
      <c r="Y37" s="174">
        <f t="shared" si="57"/>
        <v>0</v>
      </c>
      <c r="Z37" s="174">
        <f t="shared" si="57"/>
        <v>0</v>
      </c>
      <c r="AA37" s="174">
        <f t="shared" si="57"/>
        <v>0</v>
      </c>
      <c r="AB37" s="174">
        <f t="shared" si="57"/>
        <v>0</v>
      </c>
      <c r="AC37" s="158">
        <f>SUM(Q37:AB37)</f>
        <v>0</v>
      </c>
      <c r="AD37" s="719"/>
      <c r="AE37" s="176">
        <f>AE35*AE34*PayrollTaxes</f>
        <v>0</v>
      </c>
      <c r="AF37" s="174">
        <f>AF35*AF34*PayrollTaxes</f>
        <v>0</v>
      </c>
      <c r="AG37" s="174">
        <f>AG35*AG34*PayrollTaxes</f>
        <v>0</v>
      </c>
      <c r="AH37" s="175">
        <f>AH35*AH34*PayrollTaxes</f>
        <v>0</v>
      </c>
      <c r="AI37" s="160">
        <f>SUM(AE37:AH37)</f>
        <v>0</v>
      </c>
      <c r="AJ37" s="149"/>
      <c r="AK37" s="177">
        <f>AK35*AK34*PayrollTaxes</f>
        <v>0</v>
      </c>
      <c r="AL37" s="174">
        <f>AL35*AL34*PayrollTaxes</f>
        <v>0</v>
      </c>
      <c r="AM37" s="174">
        <f>AM35*AM34*PayrollTaxes</f>
        <v>0</v>
      </c>
      <c r="AN37" s="175">
        <f>AN35*AN34*PayrollTaxes</f>
        <v>0</v>
      </c>
      <c r="AO37" s="160">
        <f>SUM(AK37:AN37)</f>
        <v>0</v>
      </c>
      <c r="AP37" s="149"/>
      <c r="AQ37" s="160">
        <f>AQ34*AQ35*PayrollTaxes</f>
        <v>0</v>
      </c>
    </row>
    <row r="38" spans="1:43" s="13" customFormat="1" ht="14.1" customHeight="1" thickBot="1">
      <c r="A38" s="20"/>
      <c r="B38" s="686" t="s">
        <v>24</v>
      </c>
      <c r="C38" s="180">
        <f t="shared" ref="C38:N38" si="58">C34*C35+C36+C37</f>
        <v>0</v>
      </c>
      <c r="D38" s="181">
        <f t="shared" si="58"/>
        <v>0</v>
      </c>
      <c r="E38" s="181">
        <f t="shared" si="58"/>
        <v>0</v>
      </c>
      <c r="F38" s="181">
        <f t="shared" si="58"/>
        <v>0</v>
      </c>
      <c r="G38" s="181">
        <f t="shared" si="58"/>
        <v>0</v>
      </c>
      <c r="H38" s="181">
        <f t="shared" si="58"/>
        <v>0</v>
      </c>
      <c r="I38" s="181">
        <f t="shared" si="58"/>
        <v>0</v>
      </c>
      <c r="J38" s="181">
        <f t="shared" si="58"/>
        <v>0</v>
      </c>
      <c r="K38" s="181">
        <f t="shared" si="58"/>
        <v>0</v>
      </c>
      <c r="L38" s="181">
        <f t="shared" si="58"/>
        <v>0</v>
      </c>
      <c r="M38" s="181">
        <f t="shared" si="58"/>
        <v>0</v>
      </c>
      <c r="N38" s="181">
        <f t="shared" si="58"/>
        <v>0</v>
      </c>
      <c r="O38" s="165">
        <f>SUM(O35:O37)</f>
        <v>0</v>
      </c>
      <c r="P38" s="710"/>
      <c r="Q38" s="180">
        <f t="shared" ref="Q38:AB38" si="59">Q34*Q35+Q36+Q37</f>
        <v>0</v>
      </c>
      <c r="R38" s="181">
        <f t="shared" si="59"/>
        <v>0</v>
      </c>
      <c r="S38" s="181">
        <f t="shared" si="59"/>
        <v>0</v>
      </c>
      <c r="T38" s="180">
        <f t="shared" si="59"/>
        <v>0</v>
      </c>
      <c r="U38" s="181">
        <f t="shared" si="59"/>
        <v>0</v>
      </c>
      <c r="V38" s="181">
        <f t="shared" si="59"/>
        <v>0</v>
      </c>
      <c r="W38" s="181">
        <f t="shared" si="59"/>
        <v>0</v>
      </c>
      <c r="X38" s="181">
        <f t="shared" si="59"/>
        <v>0</v>
      </c>
      <c r="Y38" s="181">
        <f t="shared" si="59"/>
        <v>0</v>
      </c>
      <c r="Z38" s="181">
        <f t="shared" si="59"/>
        <v>0</v>
      </c>
      <c r="AA38" s="181">
        <f t="shared" si="59"/>
        <v>0</v>
      </c>
      <c r="AB38" s="181">
        <f t="shared" si="59"/>
        <v>0</v>
      </c>
      <c r="AC38" s="165">
        <f>SUM(AC35:AC37)</f>
        <v>0</v>
      </c>
      <c r="AD38" s="719"/>
      <c r="AE38" s="180">
        <f>(AE34*AE35)+AE36+AE37</f>
        <v>0</v>
      </c>
      <c r="AF38" s="181">
        <f>(AF34*AF35)+AF36+AF37</f>
        <v>0</v>
      </c>
      <c r="AG38" s="181">
        <f>(AG34*AG35)+AG36+AG37</f>
        <v>0</v>
      </c>
      <c r="AH38" s="185">
        <f>(AH34*AH35)+AH36+AH37</f>
        <v>0</v>
      </c>
      <c r="AI38" s="165">
        <f>SUM(AI35:AI37)</f>
        <v>0</v>
      </c>
      <c r="AJ38" s="149"/>
      <c r="AK38" s="183">
        <f>(AK34*AK35)+AK36+AK37</f>
        <v>0</v>
      </c>
      <c r="AL38" s="181">
        <f>(AL34*AL35)+AL36+AL37</f>
        <v>0</v>
      </c>
      <c r="AM38" s="181">
        <f>(AM34*AM35)+AM36+AM37</f>
        <v>0</v>
      </c>
      <c r="AN38" s="185">
        <f>(AN34*AN35)+AN36+AN37</f>
        <v>0</v>
      </c>
      <c r="AO38" s="165">
        <f>SUM(AO35:AO37)</f>
        <v>0</v>
      </c>
      <c r="AP38" s="149"/>
      <c r="AQ38" s="165">
        <f>(AQ35*AQ34)+AQ36+AQ37</f>
        <v>0</v>
      </c>
    </row>
    <row r="39" spans="1:43" s="13" customFormat="1" ht="14.1" customHeight="1">
      <c r="A39" s="20"/>
      <c r="B39" s="687"/>
      <c r="C39" s="20"/>
      <c r="D39" s="35"/>
      <c r="E39" s="35"/>
      <c r="F39" s="35"/>
      <c r="G39" s="35"/>
      <c r="I39" s="35"/>
      <c r="J39" s="35"/>
      <c r="K39" s="35"/>
      <c r="L39" s="35"/>
      <c r="M39" s="35"/>
      <c r="N39" s="44"/>
      <c r="O39" s="45"/>
      <c r="P39" s="709"/>
      <c r="Q39" s="20"/>
      <c r="R39" s="35"/>
      <c r="S39" s="35"/>
      <c r="T39" s="20"/>
      <c r="U39" s="35"/>
      <c r="W39" s="35"/>
      <c r="X39" s="35"/>
      <c r="Y39" s="35"/>
      <c r="Z39" s="35"/>
      <c r="AA39" s="35"/>
      <c r="AB39" s="44"/>
      <c r="AC39" s="45"/>
      <c r="AD39" s="718"/>
      <c r="AE39" s="20"/>
      <c r="AF39" s="35"/>
      <c r="AG39" s="35"/>
      <c r="AH39" s="44"/>
      <c r="AI39" s="45"/>
      <c r="AK39" s="46"/>
      <c r="AL39" s="35"/>
      <c r="AM39" s="35"/>
      <c r="AN39" s="44"/>
      <c r="AO39" s="45"/>
      <c r="AQ39" s="45"/>
    </row>
    <row r="40" spans="1:43" s="13" customFormat="1" ht="14.1" customHeight="1">
      <c r="A40" s="20"/>
      <c r="B40" s="685" t="s">
        <v>18</v>
      </c>
      <c r="C40" s="20"/>
      <c r="D40" s="35"/>
      <c r="E40" s="35"/>
      <c r="F40" s="35"/>
      <c r="G40" s="35"/>
      <c r="I40" s="35"/>
      <c r="J40" s="35"/>
      <c r="K40" s="35"/>
      <c r="L40" s="35"/>
      <c r="M40" s="35"/>
      <c r="N40" s="44"/>
      <c r="O40" s="45"/>
      <c r="P40" s="709"/>
      <c r="Q40" s="20"/>
      <c r="R40" s="35"/>
      <c r="S40" s="40"/>
      <c r="T40" s="20"/>
      <c r="U40" s="35"/>
      <c r="W40" s="35"/>
      <c r="X40" s="35"/>
      <c r="Y40" s="35"/>
      <c r="Z40" s="35"/>
      <c r="AA40" s="35"/>
      <c r="AB40" s="44"/>
      <c r="AC40" s="45"/>
      <c r="AD40" s="718"/>
      <c r="AE40" s="20"/>
      <c r="AF40" s="35"/>
      <c r="AG40" s="35"/>
      <c r="AH40" s="44"/>
      <c r="AI40" s="45"/>
      <c r="AK40" s="46"/>
      <c r="AL40" s="35"/>
      <c r="AM40" s="35"/>
      <c r="AN40" s="44"/>
      <c r="AO40" s="45"/>
      <c r="AQ40" s="45"/>
    </row>
    <row r="41" spans="1:43" s="13" customFormat="1" ht="14.1" customHeight="1">
      <c r="A41" s="20"/>
      <c r="B41" s="34" t="s">
        <v>20</v>
      </c>
      <c r="C41" s="78">
        <f t="shared" ref="C41:N41" si="60">SUM(C34,C27,C20,C13,C6)</f>
        <v>0</v>
      </c>
      <c r="D41" s="75">
        <f t="shared" si="60"/>
        <v>0</v>
      </c>
      <c r="E41" s="75">
        <f t="shared" si="60"/>
        <v>0</v>
      </c>
      <c r="F41" s="75">
        <f t="shared" si="60"/>
        <v>0</v>
      </c>
      <c r="G41" s="75">
        <f t="shared" si="60"/>
        <v>0</v>
      </c>
      <c r="H41" s="77">
        <f t="shared" si="60"/>
        <v>0</v>
      </c>
      <c r="I41" s="75">
        <f t="shared" si="60"/>
        <v>0</v>
      </c>
      <c r="J41" s="75">
        <f t="shared" si="60"/>
        <v>0</v>
      </c>
      <c r="K41" s="75">
        <f t="shared" si="60"/>
        <v>0</v>
      </c>
      <c r="L41" s="75">
        <f t="shared" si="60"/>
        <v>0</v>
      </c>
      <c r="M41" s="75">
        <f t="shared" si="60"/>
        <v>0</v>
      </c>
      <c r="N41" s="76">
        <f t="shared" si="60"/>
        <v>0</v>
      </c>
      <c r="O41" s="47"/>
      <c r="P41" s="709"/>
      <c r="Q41" s="78">
        <f t="shared" ref="Q41:R44" si="61">SUM(Q34,Q27,Q20,Q13,Q6)</f>
        <v>0</v>
      </c>
      <c r="R41" s="75">
        <f t="shared" si="61"/>
        <v>0</v>
      </c>
      <c r="S41" s="75">
        <f t="shared" ref="S41:AB41" si="62">SUM(S34,S27,S20,S13,S6)</f>
        <v>0</v>
      </c>
      <c r="T41" s="75">
        <f t="shared" si="62"/>
        <v>0</v>
      </c>
      <c r="U41" s="75">
        <f t="shared" si="62"/>
        <v>0</v>
      </c>
      <c r="V41" s="77">
        <f t="shared" si="62"/>
        <v>0</v>
      </c>
      <c r="W41" s="75">
        <f t="shared" si="62"/>
        <v>0</v>
      </c>
      <c r="X41" s="75">
        <f t="shared" si="62"/>
        <v>0</v>
      </c>
      <c r="Y41" s="75">
        <f t="shared" si="62"/>
        <v>0</v>
      </c>
      <c r="Z41" s="75">
        <f t="shared" si="62"/>
        <v>0</v>
      </c>
      <c r="AA41" s="75">
        <f t="shared" si="62"/>
        <v>0</v>
      </c>
      <c r="AB41" s="76">
        <f t="shared" si="62"/>
        <v>0</v>
      </c>
      <c r="AC41" s="47"/>
      <c r="AD41" s="718"/>
      <c r="AE41" s="78">
        <f t="shared" ref="AE41:AH44" si="63">SUM(AE34,AE27,AE20,AE13,AE6)</f>
        <v>0</v>
      </c>
      <c r="AF41" s="75">
        <f t="shared" si="63"/>
        <v>0</v>
      </c>
      <c r="AG41" s="75">
        <f t="shared" si="63"/>
        <v>0</v>
      </c>
      <c r="AH41" s="76">
        <f t="shared" si="63"/>
        <v>0</v>
      </c>
      <c r="AI41" s="47"/>
      <c r="AK41" s="74">
        <f t="shared" ref="AK41:AN44" si="64">SUM(AK34,AK27,AK20,AK13,AK6)</f>
        <v>0</v>
      </c>
      <c r="AL41" s="75">
        <f t="shared" si="64"/>
        <v>0</v>
      </c>
      <c r="AM41" s="75">
        <f t="shared" si="64"/>
        <v>0</v>
      </c>
      <c r="AN41" s="76">
        <f t="shared" si="64"/>
        <v>0</v>
      </c>
      <c r="AO41" s="47"/>
      <c r="AQ41" s="73">
        <f>SUM(AQ34,AQ27,AQ20,AQ13,AQ6)</f>
        <v>0</v>
      </c>
    </row>
    <row r="42" spans="1:43" s="13" customFormat="1" ht="14.1" customHeight="1">
      <c r="A42" s="20"/>
      <c r="B42" s="34" t="s">
        <v>21</v>
      </c>
      <c r="C42" s="161">
        <f>(C6*C7)+(C13*C14)+(C20*C21)+(C27*C28)+(C34*C35)</f>
        <v>0</v>
      </c>
      <c r="D42" s="164">
        <f t="shared" ref="D42:N42" si="65">(D6*D7)+(D13*D14)+(D20*D21)+(D27*D28)+(D34*D35)</f>
        <v>0</v>
      </c>
      <c r="E42" s="164">
        <f t="shared" si="65"/>
        <v>0</v>
      </c>
      <c r="F42" s="164">
        <f t="shared" si="65"/>
        <v>0</v>
      </c>
      <c r="G42" s="164">
        <f t="shared" si="65"/>
        <v>0</v>
      </c>
      <c r="H42" s="189">
        <f t="shared" si="65"/>
        <v>0</v>
      </c>
      <c r="I42" s="164">
        <f t="shared" si="65"/>
        <v>0</v>
      </c>
      <c r="J42" s="164">
        <f t="shared" si="65"/>
        <v>0</v>
      </c>
      <c r="K42" s="164">
        <f t="shared" si="65"/>
        <v>0</v>
      </c>
      <c r="L42" s="164">
        <f t="shared" si="65"/>
        <v>0</v>
      </c>
      <c r="M42" s="164">
        <f t="shared" si="65"/>
        <v>0</v>
      </c>
      <c r="N42" s="190">
        <f t="shared" si="65"/>
        <v>0</v>
      </c>
      <c r="O42" s="162">
        <f>SUM(C42:N42)</f>
        <v>0</v>
      </c>
      <c r="P42" s="710"/>
      <c r="Q42" s="161">
        <f>(Q6*Q7)+(Q13*Q14)+(Q20*Q21)+(Q27*Q28)+(Q34*Q35)</f>
        <v>0</v>
      </c>
      <c r="R42" s="164">
        <f t="shared" ref="R42:AB42" si="66">(R6*R7)+(R13*R14)+(R20*R21)+(R27*R28)+(R34*R35)</f>
        <v>0</v>
      </c>
      <c r="S42" s="164">
        <f t="shared" si="66"/>
        <v>0</v>
      </c>
      <c r="T42" s="164">
        <f t="shared" si="66"/>
        <v>0</v>
      </c>
      <c r="U42" s="164">
        <f t="shared" si="66"/>
        <v>0</v>
      </c>
      <c r="V42" s="189">
        <f t="shared" si="66"/>
        <v>0</v>
      </c>
      <c r="W42" s="164">
        <f t="shared" si="66"/>
        <v>0</v>
      </c>
      <c r="X42" s="164">
        <f t="shared" si="66"/>
        <v>0</v>
      </c>
      <c r="Y42" s="164">
        <f t="shared" si="66"/>
        <v>0</v>
      </c>
      <c r="Z42" s="164">
        <f t="shared" si="66"/>
        <v>0</v>
      </c>
      <c r="AA42" s="164">
        <f t="shared" si="66"/>
        <v>0</v>
      </c>
      <c r="AB42" s="190">
        <f t="shared" si="66"/>
        <v>0</v>
      </c>
      <c r="AC42" s="162">
        <f>SUM(Q42:AB42)</f>
        <v>0</v>
      </c>
      <c r="AD42" s="719"/>
      <c r="AE42" s="161">
        <f>(AE6*AE7)+(AE13*AE14)+(AE20*AE21)+(AE27*AE28)+(AE34*AE35)</f>
        <v>0</v>
      </c>
      <c r="AF42" s="164">
        <f>(AF6*AF7)+(AF13*AF14)+(AF20*AF21)+(AF27*AF28)+(AF34*AF35)</f>
        <v>0</v>
      </c>
      <c r="AG42" s="164">
        <f>(AG6*AG7)+(AG13*AG14)+(AG20*AG21)+(AG27*AG28)+(AG34*AG35)</f>
        <v>0</v>
      </c>
      <c r="AH42" s="190">
        <f>(AH6*AH7)+(AH13*AH14)+(AH20*AH21)+(AH27*AH28)+(AH34*AH35)</f>
        <v>0</v>
      </c>
      <c r="AI42" s="160">
        <f>SUM(AE42:AH42)</f>
        <v>0</v>
      </c>
      <c r="AJ42" s="149"/>
      <c r="AK42" s="191">
        <f>(AK6*AK7)+(AK13*AK14)+(AK20*AK21)+(AK27*AK28)+(AK34*AK35)</f>
        <v>0</v>
      </c>
      <c r="AL42" s="164">
        <f>(AL6*AL7)+(AL13*AL14)+(AL20*AL21)+(AL27*AL28)+(AL34*AL35)</f>
        <v>0</v>
      </c>
      <c r="AM42" s="164">
        <f>(AM6*AM7)+(AM13*AM14)+(AM20*AM21)+(AM27*AM28)+(AM34*AM35)</f>
        <v>0</v>
      </c>
      <c r="AN42" s="190">
        <f>(AN6*AN7)+(AN13*AN14)+(AN20*AN21)+(AN27*AN28)+(AN34*AN35)</f>
        <v>0</v>
      </c>
      <c r="AO42" s="160">
        <f>SUM(AK42:AN42)</f>
        <v>0</v>
      </c>
      <c r="AP42" s="149"/>
      <c r="AQ42" s="162">
        <f>AQ45-AQ44-AQ43</f>
        <v>0</v>
      </c>
    </row>
    <row r="43" spans="1:43" s="13" customFormat="1" ht="14.1" customHeight="1">
      <c r="A43" s="20"/>
      <c r="B43" s="34" t="s">
        <v>22</v>
      </c>
      <c r="C43" s="161">
        <f t="shared" ref="C43:N43" si="67">SUM(C36,C29,C22,C15,C8)</f>
        <v>0</v>
      </c>
      <c r="D43" s="164">
        <f t="shared" si="67"/>
        <v>0</v>
      </c>
      <c r="E43" s="164">
        <f t="shared" si="67"/>
        <v>0</v>
      </c>
      <c r="F43" s="164">
        <f t="shared" si="67"/>
        <v>0</v>
      </c>
      <c r="G43" s="164">
        <f t="shared" si="67"/>
        <v>0</v>
      </c>
      <c r="H43" s="189">
        <f t="shared" si="67"/>
        <v>0</v>
      </c>
      <c r="I43" s="164">
        <f t="shared" si="67"/>
        <v>0</v>
      </c>
      <c r="J43" s="164">
        <f t="shared" si="67"/>
        <v>0</v>
      </c>
      <c r="K43" s="164">
        <f t="shared" si="67"/>
        <v>0</v>
      </c>
      <c r="L43" s="164">
        <f t="shared" si="67"/>
        <v>0</v>
      </c>
      <c r="M43" s="164">
        <f t="shared" si="67"/>
        <v>0</v>
      </c>
      <c r="N43" s="190">
        <f t="shared" si="67"/>
        <v>0</v>
      </c>
      <c r="O43" s="162">
        <f>SUM(C43:N43)</f>
        <v>0</v>
      </c>
      <c r="P43" s="710"/>
      <c r="Q43" s="161">
        <f t="shared" si="61"/>
        <v>0</v>
      </c>
      <c r="R43" s="164">
        <f t="shared" si="61"/>
        <v>0</v>
      </c>
      <c r="S43" s="164">
        <f t="shared" ref="S43:AB43" si="68">SUM(S36,S29,S22,S15,S8)</f>
        <v>0</v>
      </c>
      <c r="T43" s="164">
        <f t="shared" si="68"/>
        <v>0</v>
      </c>
      <c r="U43" s="164">
        <f t="shared" si="68"/>
        <v>0</v>
      </c>
      <c r="V43" s="189">
        <f t="shared" si="68"/>
        <v>0</v>
      </c>
      <c r="W43" s="164">
        <f t="shared" si="68"/>
        <v>0</v>
      </c>
      <c r="X43" s="164">
        <f t="shared" si="68"/>
        <v>0</v>
      </c>
      <c r="Y43" s="164">
        <f t="shared" si="68"/>
        <v>0</v>
      </c>
      <c r="Z43" s="164">
        <f t="shared" si="68"/>
        <v>0</v>
      </c>
      <c r="AA43" s="164">
        <f t="shared" si="68"/>
        <v>0</v>
      </c>
      <c r="AB43" s="190">
        <f t="shared" si="68"/>
        <v>0</v>
      </c>
      <c r="AC43" s="162">
        <f>SUM(Q43:AB43)</f>
        <v>0</v>
      </c>
      <c r="AD43" s="719"/>
      <c r="AE43" s="161">
        <f t="shared" si="63"/>
        <v>0</v>
      </c>
      <c r="AF43" s="164">
        <f t="shared" si="63"/>
        <v>0</v>
      </c>
      <c r="AG43" s="164">
        <f t="shared" si="63"/>
        <v>0</v>
      </c>
      <c r="AH43" s="190">
        <f t="shared" si="63"/>
        <v>0</v>
      </c>
      <c r="AI43" s="160">
        <f>SUM(AE43:AH43)</f>
        <v>0</v>
      </c>
      <c r="AJ43" s="149"/>
      <c r="AK43" s="191">
        <f t="shared" si="64"/>
        <v>0</v>
      </c>
      <c r="AL43" s="164">
        <f t="shared" si="64"/>
        <v>0</v>
      </c>
      <c r="AM43" s="164">
        <f t="shared" si="64"/>
        <v>0</v>
      </c>
      <c r="AN43" s="190">
        <f t="shared" si="64"/>
        <v>0</v>
      </c>
      <c r="AO43" s="160">
        <f>SUM(AK43:AN43)</f>
        <v>0</v>
      </c>
      <c r="AP43" s="149"/>
      <c r="AQ43" s="162">
        <f>SUM(AQ36,AQ29,AQ22,AQ15,AQ8)</f>
        <v>0</v>
      </c>
    </row>
    <row r="44" spans="1:43" s="13" customFormat="1" ht="14.1" customHeight="1" thickBot="1">
      <c r="A44" s="20"/>
      <c r="B44" s="12" t="s">
        <v>23</v>
      </c>
      <c r="C44" s="155">
        <f t="shared" ref="C44:N44" si="69">SUM(C37,C30,C23,C16,C9)</f>
        <v>0</v>
      </c>
      <c r="D44" s="156">
        <f t="shared" si="69"/>
        <v>0</v>
      </c>
      <c r="E44" s="156">
        <f t="shared" si="69"/>
        <v>0</v>
      </c>
      <c r="F44" s="156">
        <f t="shared" si="69"/>
        <v>0</v>
      </c>
      <c r="G44" s="156">
        <f t="shared" si="69"/>
        <v>0</v>
      </c>
      <c r="H44" s="192">
        <f t="shared" si="69"/>
        <v>0</v>
      </c>
      <c r="I44" s="156">
        <f t="shared" si="69"/>
        <v>0</v>
      </c>
      <c r="J44" s="156">
        <f t="shared" si="69"/>
        <v>0</v>
      </c>
      <c r="K44" s="156">
        <f t="shared" si="69"/>
        <v>0</v>
      </c>
      <c r="L44" s="156">
        <f t="shared" si="69"/>
        <v>0</v>
      </c>
      <c r="M44" s="156">
        <f t="shared" si="69"/>
        <v>0</v>
      </c>
      <c r="N44" s="157">
        <f t="shared" si="69"/>
        <v>0</v>
      </c>
      <c r="O44" s="158">
        <f>SUM(C44:N44)</f>
        <v>0</v>
      </c>
      <c r="P44" s="710"/>
      <c r="Q44" s="155">
        <f t="shared" si="61"/>
        <v>0</v>
      </c>
      <c r="R44" s="156">
        <f t="shared" si="61"/>
        <v>0</v>
      </c>
      <c r="S44" s="156">
        <f t="shared" ref="S44:AB44" si="70">SUM(S37,S30,S23,S16,S9)</f>
        <v>0</v>
      </c>
      <c r="T44" s="156">
        <f t="shared" si="70"/>
        <v>0</v>
      </c>
      <c r="U44" s="156">
        <f t="shared" si="70"/>
        <v>0</v>
      </c>
      <c r="V44" s="192">
        <f t="shared" si="70"/>
        <v>0</v>
      </c>
      <c r="W44" s="156">
        <f t="shared" si="70"/>
        <v>0</v>
      </c>
      <c r="X44" s="156">
        <f t="shared" si="70"/>
        <v>0</v>
      </c>
      <c r="Y44" s="156">
        <f t="shared" si="70"/>
        <v>0</v>
      </c>
      <c r="Z44" s="156">
        <f t="shared" si="70"/>
        <v>0</v>
      </c>
      <c r="AA44" s="156">
        <f t="shared" si="70"/>
        <v>0</v>
      </c>
      <c r="AB44" s="157">
        <f t="shared" si="70"/>
        <v>0</v>
      </c>
      <c r="AC44" s="158">
        <f>SUM(Q44:AB44)</f>
        <v>0</v>
      </c>
      <c r="AD44" s="719"/>
      <c r="AE44" s="155">
        <f t="shared" si="63"/>
        <v>0</v>
      </c>
      <c r="AF44" s="156">
        <f t="shared" si="63"/>
        <v>0</v>
      </c>
      <c r="AG44" s="156">
        <f t="shared" si="63"/>
        <v>0</v>
      </c>
      <c r="AH44" s="157">
        <f t="shared" si="63"/>
        <v>0</v>
      </c>
      <c r="AI44" s="163">
        <f>SUM(AE44:AH44)</f>
        <v>0</v>
      </c>
      <c r="AJ44" s="149"/>
      <c r="AK44" s="159">
        <f t="shared" si="64"/>
        <v>0</v>
      </c>
      <c r="AL44" s="156">
        <f t="shared" si="64"/>
        <v>0</v>
      </c>
      <c r="AM44" s="156">
        <f t="shared" si="64"/>
        <v>0</v>
      </c>
      <c r="AN44" s="157">
        <f t="shared" si="64"/>
        <v>0</v>
      </c>
      <c r="AO44" s="163">
        <f>SUM(AK44:AN44)</f>
        <v>0</v>
      </c>
      <c r="AP44" s="149"/>
      <c r="AQ44" s="158">
        <f>SUM(AQ37,AQ30,AQ23,AQ16,AQ9)</f>
        <v>0</v>
      </c>
    </row>
    <row r="45" spans="1:43" s="13" customFormat="1" ht="14.1" customHeight="1" thickBot="1">
      <c r="A45" s="20"/>
      <c r="B45" s="82" t="s">
        <v>29</v>
      </c>
      <c r="C45" s="166">
        <f t="shared" ref="C45:O45" si="71">SUM(C42:C44)</f>
        <v>0</v>
      </c>
      <c r="D45" s="193">
        <f t="shared" si="71"/>
        <v>0</v>
      </c>
      <c r="E45" s="193">
        <f t="shared" si="71"/>
        <v>0</v>
      </c>
      <c r="F45" s="193">
        <f t="shared" si="71"/>
        <v>0</v>
      </c>
      <c r="G45" s="193">
        <f t="shared" si="71"/>
        <v>0</v>
      </c>
      <c r="H45" s="194">
        <f t="shared" si="71"/>
        <v>0</v>
      </c>
      <c r="I45" s="193">
        <f t="shared" si="71"/>
        <v>0</v>
      </c>
      <c r="J45" s="193">
        <f t="shared" si="71"/>
        <v>0</v>
      </c>
      <c r="K45" s="193">
        <f t="shared" si="71"/>
        <v>0</v>
      </c>
      <c r="L45" s="193">
        <f t="shared" si="71"/>
        <v>0</v>
      </c>
      <c r="M45" s="193">
        <f t="shared" si="71"/>
        <v>0</v>
      </c>
      <c r="N45" s="195">
        <f t="shared" si="71"/>
        <v>0</v>
      </c>
      <c r="O45" s="167">
        <f t="shared" si="71"/>
        <v>0</v>
      </c>
      <c r="P45" s="710"/>
      <c r="Q45" s="166">
        <f t="shared" ref="Q45:AB45" si="72">SUM(Q42:Q44)</f>
        <v>0</v>
      </c>
      <c r="R45" s="193">
        <f t="shared" si="72"/>
        <v>0</v>
      </c>
      <c r="S45" s="193">
        <f t="shared" si="72"/>
        <v>0</v>
      </c>
      <c r="T45" s="193">
        <f t="shared" si="72"/>
        <v>0</v>
      </c>
      <c r="U45" s="193">
        <f t="shared" si="72"/>
        <v>0</v>
      </c>
      <c r="V45" s="194">
        <f t="shared" si="72"/>
        <v>0</v>
      </c>
      <c r="W45" s="193">
        <f t="shared" si="72"/>
        <v>0</v>
      </c>
      <c r="X45" s="193">
        <f t="shared" si="72"/>
        <v>0</v>
      </c>
      <c r="Y45" s="193">
        <f t="shared" si="72"/>
        <v>0</v>
      </c>
      <c r="Z45" s="193">
        <f t="shared" si="72"/>
        <v>0</v>
      </c>
      <c r="AA45" s="193">
        <f t="shared" si="72"/>
        <v>0</v>
      </c>
      <c r="AB45" s="195">
        <f t="shared" si="72"/>
        <v>0</v>
      </c>
      <c r="AC45" s="167">
        <f>SUM(AC42:AC44)</f>
        <v>0</v>
      </c>
      <c r="AD45" s="719"/>
      <c r="AE45" s="166">
        <f>SUM(AE42:AE44)</f>
        <v>0</v>
      </c>
      <c r="AF45" s="193">
        <f>SUM(AF42:AF44)</f>
        <v>0</v>
      </c>
      <c r="AG45" s="193">
        <f>SUM(AG42:AG44)</f>
        <v>0</v>
      </c>
      <c r="AH45" s="195">
        <f>SUM(AH42:AH44)</f>
        <v>0</v>
      </c>
      <c r="AI45" s="167">
        <f>SUM(AI42:AI44)</f>
        <v>0</v>
      </c>
      <c r="AJ45" s="149"/>
      <c r="AK45" s="196">
        <f>SUM(AK42:AK44)</f>
        <v>0</v>
      </c>
      <c r="AL45" s="193">
        <f>SUM(AL42:AL44)</f>
        <v>0</v>
      </c>
      <c r="AM45" s="193">
        <f>SUM(AM42:AM44)</f>
        <v>0</v>
      </c>
      <c r="AN45" s="195">
        <f>SUM(AN42:AN44)</f>
        <v>0</v>
      </c>
      <c r="AO45" s="167">
        <f>SUM(AO42:AO44)</f>
        <v>0</v>
      </c>
      <c r="AP45" s="149"/>
      <c r="AQ45" s="167">
        <f>SUM(AQ10,AQ17,AQ24,AQ31,AQ38)</f>
        <v>0</v>
      </c>
    </row>
  </sheetData>
  <sheetProtection sheet="1" objects="1" scenarios="1"/>
  <phoneticPr fontId="3" type="noConversion"/>
  <printOptions horizontalCentered="1"/>
  <pageMargins left="0.75" right="0.75" top="1.25" bottom="1" header="0.5" footer="0.5"/>
  <pageSetup scale="69" orientation="landscape" horizontalDpi="4294967292" verticalDpi="4294967292" r:id="rId1"/>
  <headerFooter alignWithMargins="0">
    <oddHeader>&amp;CStaffing Budget</oddHeader>
    <oddFooter>Page &amp;P of &amp;N</oddFooter>
  </headerFooter>
  <colBreaks count="1" manualBreakCount="1">
    <brk id="15" min="1" max="44" man="1"/>
  </colBreaks>
  <legacyDrawing r:id="rId2"/>
</worksheet>
</file>

<file path=xl/worksheets/sheet12.xml><?xml version="1.0" encoding="utf-8"?>
<worksheet xmlns="http://schemas.openxmlformats.org/spreadsheetml/2006/main" xmlns:r="http://schemas.openxmlformats.org/officeDocument/2006/relationships">
  <sheetPr codeName="MktBudj">
    <pageSetUpPr autoPageBreaks="0"/>
  </sheetPr>
  <dimension ref="A1:AQ33"/>
  <sheetViews>
    <sheetView showGridLines="0" showOutlineSymbols="0" zoomScaleSheetLayoutView="100" workbookViewId="0">
      <pane xSplit="2" ySplit="3" topLeftCell="C4" activePane="bottomRight" state="frozenSplit"/>
      <selection pane="topRight" activeCell="C1" sqref="C1"/>
      <selection pane="bottomLeft" activeCell="A4" sqref="A4"/>
      <selection pane="bottomRight" activeCell="C5" sqref="C5"/>
    </sheetView>
  </sheetViews>
  <sheetFormatPr defaultRowHeight="15"/>
  <cols>
    <col min="1" max="1" width="1.7109375" style="4" customWidth="1"/>
    <col min="2" max="2" width="32.85546875" style="4" customWidth="1"/>
    <col min="3" max="14" width="10.7109375" style="4" customWidth="1"/>
    <col min="15" max="15" width="12.7109375" style="4" customWidth="1"/>
    <col min="16" max="16" width="1.7109375" style="4" customWidth="1"/>
    <col min="17" max="28" width="10.7109375" style="4" customWidth="1"/>
    <col min="29" max="29" width="12.7109375" style="4" customWidth="1"/>
    <col min="30" max="30" width="1.7109375" style="4" customWidth="1"/>
    <col min="31" max="34" width="10.7109375" style="4" customWidth="1"/>
    <col min="35" max="35" width="12.7109375" style="4" customWidth="1"/>
    <col min="36" max="36" width="1.7109375" style="4" customWidth="1"/>
    <col min="37" max="40" width="10.7109375" style="4" customWidth="1"/>
    <col min="41" max="41" width="12.7109375" style="4" customWidth="1"/>
    <col min="42" max="42" width="1.7109375" style="4" customWidth="1"/>
    <col min="43" max="43" width="12.7109375" style="4" customWidth="1"/>
    <col min="44" max="16384" width="9.140625" style="4"/>
  </cols>
  <sheetData>
    <row r="1" spans="1:43" ht="9.75" customHeight="1"/>
    <row r="2" spans="1:43" s="7" customFormat="1" ht="24.95" customHeight="1">
      <c r="A2" s="2"/>
      <c r="B2" s="26" t="s">
        <v>97</v>
      </c>
      <c r="C2" s="97">
        <f xml:space="preserve"> SalesProj!E2</f>
        <v>2008</v>
      </c>
      <c r="D2" s="5"/>
      <c r="E2" s="5"/>
      <c r="F2" s="5"/>
      <c r="G2" s="5"/>
      <c r="H2" s="5"/>
      <c r="I2" s="5"/>
      <c r="J2" s="5"/>
      <c r="K2" s="5"/>
      <c r="L2" s="5"/>
      <c r="M2" s="5"/>
      <c r="N2" s="5"/>
      <c r="O2" s="10"/>
      <c r="P2" s="135"/>
      <c r="Q2" s="98">
        <f xml:space="preserve"> SalesProj!S2</f>
        <v>2009</v>
      </c>
      <c r="R2" s="5"/>
      <c r="S2" s="5"/>
      <c r="T2" s="5"/>
      <c r="U2" s="5"/>
      <c r="V2" s="5"/>
      <c r="W2" s="5"/>
      <c r="X2" s="5"/>
      <c r="Y2" s="5"/>
      <c r="Z2" s="5"/>
      <c r="AA2" s="5"/>
      <c r="AB2" s="5"/>
      <c r="AC2" s="10"/>
      <c r="AE2" s="97">
        <f xml:space="preserve"> SalesProj!AG2</f>
        <v>2010</v>
      </c>
      <c r="AF2" s="5"/>
      <c r="AG2" s="5"/>
      <c r="AH2" s="5"/>
      <c r="AI2" s="10"/>
      <c r="AK2" s="97">
        <f xml:space="preserve"> SalesProj!AM2</f>
        <v>2011</v>
      </c>
      <c r="AL2" s="5"/>
      <c r="AM2" s="5"/>
      <c r="AN2" s="5"/>
      <c r="AO2" s="10"/>
      <c r="AQ2" s="97">
        <f xml:space="preserve"> SalesProj!AS2</f>
        <v>2012</v>
      </c>
    </row>
    <row r="3" spans="1:43" s="8" customFormat="1" ht="14.1" customHeight="1" thickBot="1">
      <c r="A3" s="3"/>
      <c r="B3" s="15"/>
      <c r="C3" s="93" t="str">
        <f>SalesProj!E3</f>
        <v>January</v>
      </c>
      <c r="D3" s="93" t="str">
        <f>SalesProj!F3</f>
        <v>February</v>
      </c>
      <c r="E3" s="93" t="str">
        <f>SalesProj!G3</f>
        <v>March</v>
      </c>
      <c r="F3" s="93" t="str">
        <f>SalesProj!H3</f>
        <v>April</v>
      </c>
      <c r="G3" s="93" t="str">
        <f>SalesProj!I3</f>
        <v>May</v>
      </c>
      <c r="H3" s="93" t="str">
        <f>SalesProj!J3</f>
        <v>June</v>
      </c>
      <c r="I3" s="93" t="str">
        <f>SalesProj!K3</f>
        <v>July</v>
      </c>
      <c r="J3" s="93" t="str">
        <f>SalesProj!L3</f>
        <v>August</v>
      </c>
      <c r="K3" s="93" t="str">
        <f>SalesProj!M3</f>
        <v>September</v>
      </c>
      <c r="L3" s="93" t="str">
        <f>SalesProj!N3</f>
        <v>October</v>
      </c>
      <c r="M3" s="93" t="str">
        <f>SalesProj!O3</f>
        <v>November</v>
      </c>
      <c r="N3" s="93" t="str">
        <f>SalesProj!P3</f>
        <v>December</v>
      </c>
      <c r="O3" s="18" t="s">
        <v>18</v>
      </c>
      <c r="P3" s="29"/>
      <c r="Q3" s="93" t="str">
        <f>SalesProj!S3</f>
        <v>January</v>
      </c>
      <c r="R3" s="93" t="str">
        <f>SalesProj!T3</f>
        <v>February</v>
      </c>
      <c r="S3" s="93" t="str">
        <f>SalesProj!U3</f>
        <v>March</v>
      </c>
      <c r="T3" s="93" t="str">
        <f>SalesProj!V3</f>
        <v>April</v>
      </c>
      <c r="U3" s="93" t="str">
        <f>SalesProj!W3</f>
        <v>May</v>
      </c>
      <c r="V3" s="93" t="str">
        <f>SalesProj!X3</f>
        <v>June</v>
      </c>
      <c r="W3" s="93" t="str">
        <f>SalesProj!Y3</f>
        <v>July</v>
      </c>
      <c r="X3" s="93" t="str">
        <f>SalesProj!Z3</f>
        <v>August</v>
      </c>
      <c r="Y3" s="93" t="str">
        <f>SalesProj!AA3</f>
        <v>September</v>
      </c>
      <c r="Z3" s="93" t="str">
        <f>SalesProj!AB3</f>
        <v>October</v>
      </c>
      <c r="AA3" s="93" t="str">
        <f>SalesProj!AC3</f>
        <v>November</v>
      </c>
      <c r="AB3" s="93" t="str">
        <f>SalesProj!AD3</f>
        <v>December</v>
      </c>
      <c r="AC3" s="18" t="s">
        <v>18</v>
      </c>
      <c r="AD3" s="19"/>
      <c r="AE3" s="49" t="s">
        <v>50</v>
      </c>
      <c r="AF3" s="17" t="s">
        <v>51</v>
      </c>
      <c r="AG3" s="17" t="s">
        <v>52</v>
      </c>
      <c r="AH3" s="48" t="s">
        <v>53</v>
      </c>
      <c r="AI3" s="18" t="s">
        <v>18</v>
      </c>
      <c r="AJ3" s="19"/>
      <c r="AK3" s="49" t="s">
        <v>50</v>
      </c>
      <c r="AL3" s="17" t="s">
        <v>51</v>
      </c>
      <c r="AM3" s="17" t="s">
        <v>52</v>
      </c>
      <c r="AN3" s="48" t="s">
        <v>53</v>
      </c>
      <c r="AO3" s="18" t="s">
        <v>18</v>
      </c>
      <c r="AP3" s="19"/>
      <c r="AQ3" s="18"/>
    </row>
    <row r="4" spans="1:43" ht="14.1" customHeight="1">
      <c r="A4" s="1"/>
      <c r="B4" s="689" t="s">
        <v>57</v>
      </c>
      <c r="C4" s="50"/>
      <c r="D4" s="50"/>
      <c r="E4" s="50"/>
      <c r="F4" s="50"/>
      <c r="G4" s="50"/>
      <c r="H4" s="50"/>
      <c r="I4" s="50"/>
      <c r="J4" s="50"/>
      <c r="K4" s="50"/>
      <c r="L4" s="50"/>
      <c r="M4" s="50"/>
      <c r="N4" s="51"/>
      <c r="O4" s="52"/>
      <c r="P4" s="136"/>
      <c r="Q4" s="50"/>
      <c r="R4" s="50"/>
      <c r="S4" s="50"/>
      <c r="T4" s="50"/>
      <c r="U4" s="50"/>
      <c r="V4" s="50"/>
      <c r="W4" s="50"/>
      <c r="X4" s="50"/>
      <c r="Y4" s="50"/>
      <c r="Z4" s="50"/>
      <c r="AA4" s="50"/>
      <c r="AB4" s="51"/>
      <c r="AC4" s="52"/>
      <c r="AD4" s="53"/>
      <c r="AE4" s="54"/>
      <c r="AF4" s="50"/>
      <c r="AG4" s="50"/>
      <c r="AH4" s="51"/>
      <c r="AI4" s="52"/>
      <c r="AJ4" s="53"/>
      <c r="AK4" s="54"/>
      <c r="AL4" s="50"/>
      <c r="AM4" s="50"/>
      <c r="AN4" s="51"/>
      <c r="AO4" s="52"/>
      <c r="AP4" s="53"/>
      <c r="AQ4" s="52"/>
    </row>
    <row r="5" spans="1:43" ht="14.1" customHeight="1">
      <c r="B5" s="56" t="s">
        <v>58</v>
      </c>
      <c r="C5" s="146">
        <v>0</v>
      </c>
      <c r="D5" s="147">
        <f>C5</f>
        <v>0</v>
      </c>
      <c r="E5" s="147">
        <f>D5</f>
        <v>0</v>
      </c>
      <c r="F5" s="147">
        <f>E5</f>
        <v>0</v>
      </c>
      <c r="G5" s="147">
        <f t="shared" ref="G5:N5" si="0">F5</f>
        <v>0</v>
      </c>
      <c r="H5" s="147">
        <f t="shared" si="0"/>
        <v>0</v>
      </c>
      <c r="I5" s="147">
        <f t="shared" si="0"/>
        <v>0</v>
      </c>
      <c r="J5" s="147">
        <f t="shared" si="0"/>
        <v>0</v>
      </c>
      <c r="K5" s="147">
        <f t="shared" si="0"/>
        <v>0</v>
      </c>
      <c r="L5" s="147">
        <f t="shared" si="0"/>
        <v>0</v>
      </c>
      <c r="M5" s="147">
        <f t="shared" si="0"/>
        <v>0</v>
      </c>
      <c r="N5" s="173">
        <f t="shared" si="0"/>
        <v>0</v>
      </c>
      <c r="O5" s="197">
        <f t="shared" ref="O5:O12" si="1">SUM(C5:N5)</f>
        <v>0</v>
      </c>
      <c r="P5" s="198"/>
      <c r="Q5" s="146">
        <f>N5</f>
        <v>0</v>
      </c>
      <c r="R5" s="147">
        <f>Q5</f>
        <v>0</v>
      </c>
      <c r="S5" s="147">
        <f>R5</f>
        <v>0</v>
      </c>
      <c r="T5" s="147">
        <f>S5</f>
        <v>0</v>
      </c>
      <c r="U5" s="147">
        <f t="shared" ref="U5:AB5" si="2">T5</f>
        <v>0</v>
      </c>
      <c r="V5" s="147">
        <f t="shared" si="2"/>
        <v>0</v>
      </c>
      <c r="W5" s="147">
        <f t="shared" si="2"/>
        <v>0</v>
      </c>
      <c r="X5" s="147">
        <f t="shared" si="2"/>
        <v>0</v>
      </c>
      <c r="Y5" s="147">
        <f t="shared" si="2"/>
        <v>0</v>
      </c>
      <c r="Z5" s="147">
        <f t="shared" si="2"/>
        <v>0</v>
      </c>
      <c r="AA5" s="147">
        <f t="shared" si="2"/>
        <v>0</v>
      </c>
      <c r="AB5" s="173">
        <f t="shared" si="2"/>
        <v>0</v>
      </c>
      <c r="AC5" s="197">
        <f t="shared" ref="AC5:AC12" si="3">SUM(Q5:AB5)</f>
        <v>0</v>
      </c>
      <c r="AD5" s="199"/>
      <c r="AE5" s="172">
        <f>AB5*3</f>
        <v>0</v>
      </c>
      <c r="AF5" s="147">
        <f>AE5</f>
        <v>0</v>
      </c>
      <c r="AG5" s="147">
        <f t="shared" ref="AG5:AH12" si="4">AF5</f>
        <v>0</v>
      </c>
      <c r="AH5" s="173">
        <f t="shared" si="4"/>
        <v>0</v>
      </c>
      <c r="AI5" s="197">
        <f t="shared" ref="AI5:AI12" si="5">SUM(AE5:AH5)</f>
        <v>0</v>
      </c>
      <c r="AJ5" s="199"/>
      <c r="AK5" s="172">
        <f t="shared" ref="AK5:AK12" si="6">AH5</f>
        <v>0</v>
      </c>
      <c r="AL5" s="147">
        <f>AK5</f>
        <v>0</v>
      </c>
      <c r="AM5" s="147">
        <f>AL5</f>
        <v>0</v>
      </c>
      <c r="AN5" s="173">
        <f>AM5</f>
        <v>0</v>
      </c>
      <c r="AO5" s="197">
        <f t="shared" ref="AO5:AO12" si="7">SUM(AK5:AN5)</f>
        <v>0</v>
      </c>
      <c r="AP5" s="199"/>
      <c r="AQ5" s="154">
        <f>AN5*4</f>
        <v>0</v>
      </c>
    </row>
    <row r="6" spans="1:43" ht="14.1" customHeight="1">
      <c r="A6" s="1"/>
      <c r="B6" s="55" t="s">
        <v>59</v>
      </c>
      <c r="C6" s="146">
        <v>0</v>
      </c>
      <c r="D6" s="147">
        <f t="shared" ref="D6:N6" si="8">C6</f>
        <v>0</v>
      </c>
      <c r="E6" s="147">
        <f t="shared" si="8"/>
        <v>0</v>
      </c>
      <c r="F6" s="147">
        <f t="shared" si="8"/>
        <v>0</v>
      </c>
      <c r="G6" s="147">
        <f t="shared" si="8"/>
        <v>0</v>
      </c>
      <c r="H6" s="147">
        <f t="shared" si="8"/>
        <v>0</v>
      </c>
      <c r="I6" s="147">
        <f t="shared" si="8"/>
        <v>0</v>
      </c>
      <c r="J6" s="147">
        <f t="shared" si="8"/>
        <v>0</v>
      </c>
      <c r="K6" s="147">
        <f t="shared" si="8"/>
        <v>0</v>
      </c>
      <c r="L6" s="147">
        <f t="shared" si="8"/>
        <v>0</v>
      </c>
      <c r="M6" s="147">
        <f t="shared" si="8"/>
        <v>0</v>
      </c>
      <c r="N6" s="173">
        <f t="shared" si="8"/>
        <v>0</v>
      </c>
      <c r="O6" s="200">
        <f t="shared" si="1"/>
        <v>0</v>
      </c>
      <c r="P6" s="198"/>
      <c r="Q6" s="146">
        <f t="shared" ref="Q6:Q12" si="9">N6</f>
        <v>0</v>
      </c>
      <c r="R6" s="147">
        <f t="shared" ref="R6:AB6" si="10">Q6</f>
        <v>0</v>
      </c>
      <c r="S6" s="147">
        <f t="shared" si="10"/>
        <v>0</v>
      </c>
      <c r="T6" s="147">
        <f t="shared" si="10"/>
        <v>0</v>
      </c>
      <c r="U6" s="147">
        <f t="shared" si="10"/>
        <v>0</v>
      </c>
      <c r="V6" s="147">
        <f t="shared" si="10"/>
        <v>0</v>
      </c>
      <c r="W6" s="147">
        <f t="shared" si="10"/>
        <v>0</v>
      </c>
      <c r="X6" s="147">
        <f t="shared" si="10"/>
        <v>0</v>
      </c>
      <c r="Y6" s="147">
        <f t="shared" si="10"/>
        <v>0</v>
      </c>
      <c r="Z6" s="147">
        <f t="shared" si="10"/>
        <v>0</v>
      </c>
      <c r="AA6" s="147">
        <f t="shared" si="10"/>
        <v>0</v>
      </c>
      <c r="AB6" s="173">
        <f t="shared" si="10"/>
        <v>0</v>
      </c>
      <c r="AC6" s="200">
        <f t="shared" si="3"/>
        <v>0</v>
      </c>
      <c r="AD6" s="199"/>
      <c r="AE6" s="172">
        <f t="shared" ref="AE6:AE12" si="11">AB6*3</f>
        <v>0</v>
      </c>
      <c r="AF6" s="147">
        <f t="shared" ref="AF6:AF12" si="12">AE6</f>
        <v>0</v>
      </c>
      <c r="AG6" s="147">
        <f t="shared" si="4"/>
        <v>0</v>
      </c>
      <c r="AH6" s="173">
        <f t="shared" si="4"/>
        <v>0</v>
      </c>
      <c r="AI6" s="197">
        <f t="shared" si="5"/>
        <v>0</v>
      </c>
      <c r="AJ6" s="199"/>
      <c r="AK6" s="172">
        <f t="shared" si="6"/>
        <v>0</v>
      </c>
      <c r="AL6" s="147">
        <f t="shared" ref="AL6:AN12" si="13">AK6</f>
        <v>0</v>
      </c>
      <c r="AM6" s="147">
        <f t="shared" si="13"/>
        <v>0</v>
      </c>
      <c r="AN6" s="173">
        <f t="shared" si="13"/>
        <v>0</v>
      </c>
      <c r="AO6" s="197">
        <f t="shared" si="7"/>
        <v>0</v>
      </c>
      <c r="AP6" s="199"/>
      <c r="AQ6" s="154">
        <f t="shared" ref="AQ6:AQ32" si="14">AN6*4</f>
        <v>0</v>
      </c>
    </row>
    <row r="7" spans="1:43" ht="14.1" customHeight="1">
      <c r="A7" s="1"/>
      <c r="B7" s="56" t="s">
        <v>60</v>
      </c>
      <c r="C7" s="146">
        <v>0</v>
      </c>
      <c r="D7" s="147">
        <f t="shared" ref="D7:N7" si="15">C7</f>
        <v>0</v>
      </c>
      <c r="E7" s="147">
        <f t="shared" si="15"/>
        <v>0</v>
      </c>
      <c r="F7" s="147">
        <f t="shared" si="15"/>
        <v>0</v>
      </c>
      <c r="G7" s="147">
        <f t="shared" si="15"/>
        <v>0</v>
      </c>
      <c r="H7" s="147">
        <f t="shared" si="15"/>
        <v>0</v>
      </c>
      <c r="I7" s="147">
        <f t="shared" si="15"/>
        <v>0</v>
      </c>
      <c r="J7" s="147">
        <f t="shared" si="15"/>
        <v>0</v>
      </c>
      <c r="K7" s="147">
        <f t="shared" si="15"/>
        <v>0</v>
      </c>
      <c r="L7" s="147">
        <f t="shared" si="15"/>
        <v>0</v>
      </c>
      <c r="M7" s="147">
        <f t="shared" si="15"/>
        <v>0</v>
      </c>
      <c r="N7" s="173">
        <f t="shared" si="15"/>
        <v>0</v>
      </c>
      <c r="O7" s="197">
        <f t="shared" si="1"/>
        <v>0</v>
      </c>
      <c r="P7" s="198"/>
      <c r="Q7" s="146">
        <f t="shared" si="9"/>
        <v>0</v>
      </c>
      <c r="R7" s="147">
        <f t="shared" ref="R7:AB7" si="16">Q7</f>
        <v>0</v>
      </c>
      <c r="S7" s="147">
        <f t="shared" si="16"/>
        <v>0</v>
      </c>
      <c r="T7" s="147">
        <f t="shared" si="16"/>
        <v>0</v>
      </c>
      <c r="U7" s="147">
        <f t="shared" si="16"/>
        <v>0</v>
      </c>
      <c r="V7" s="147">
        <f t="shared" si="16"/>
        <v>0</v>
      </c>
      <c r="W7" s="147">
        <f t="shared" si="16"/>
        <v>0</v>
      </c>
      <c r="X7" s="147">
        <f t="shared" si="16"/>
        <v>0</v>
      </c>
      <c r="Y7" s="147">
        <f t="shared" si="16"/>
        <v>0</v>
      </c>
      <c r="Z7" s="147">
        <f t="shared" si="16"/>
        <v>0</v>
      </c>
      <c r="AA7" s="147">
        <f t="shared" si="16"/>
        <v>0</v>
      </c>
      <c r="AB7" s="173">
        <f t="shared" si="16"/>
        <v>0</v>
      </c>
      <c r="AC7" s="197">
        <f t="shared" si="3"/>
        <v>0</v>
      </c>
      <c r="AD7" s="199"/>
      <c r="AE7" s="172">
        <f t="shared" si="11"/>
        <v>0</v>
      </c>
      <c r="AF7" s="147">
        <f t="shared" si="12"/>
        <v>0</v>
      </c>
      <c r="AG7" s="147">
        <f t="shared" si="4"/>
        <v>0</v>
      </c>
      <c r="AH7" s="173">
        <f t="shared" si="4"/>
        <v>0</v>
      </c>
      <c r="AI7" s="197">
        <f t="shared" si="5"/>
        <v>0</v>
      </c>
      <c r="AJ7" s="199"/>
      <c r="AK7" s="172">
        <f t="shared" si="6"/>
        <v>0</v>
      </c>
      <c r="AL7" s="147">
        <f t="shared" si="13"/>
        <v>0</v>
      </c>
      <c r="AM7" s="147">
        <f t="shared" si="13"/>
        <v>0</v>
      </c>
      <c r="AN7" s="173">
        <f t="shared" si="13"/>
        <v>0</v>
      </c>
      <c r="AO7" s="197">
        <f t="shared" si="7"/>
        <v>0</v>
      </c>
      <c r="AP7" s="199"/>
      <c r="AQ7" s="154">
        <f t="shared" si="14"/>
        <v>0</v>
      </c>
    </row>
    <row r="8" spans="1:43" ht="14.1" customHeight="1">
      <c r="A8" s="1"/>
      <c r="B8" s="57" t="s">
        <v>86</v>
      </c>
      <c r="C8" s="146">
        <v>0</v>
      </c>
      <c r="D8" s="147">
        <f t="shared" ref="D8:N8" si="17">C8</f>
        <v>0</v>
      </c>
      <c r="E8" s="147">
        <f t="shared" si="17"/>
        <v>0</v>
      </c>
      <c r="F8" s="147">
        <f t="shared" si="17"/>
        <v>0</v>
      </c>
      <c r="G8" s="147">
        <f t="shared" si="17"/>
        <v>0</v>
      </c>
      <c r="H8" s="147">
        <f t="shared" si="17"/>
        <v>0</v>
      </c>
      <c r="I8" s="147">
        <f t="shared" si="17"/>
        <v>0</v>
      </c>
      <c r="J8" s="147">
        <f t="shared" si="17"/>
        <v>0</v>
      </c>
      <c r="K8" s="147">
        <f t="shared" si="17"/>
        <v>0</v>
      </c>
      <c r="L8" s="147">
        <f t="shared" si="17"/>
        <v>0</v>
      </c>
      <c r="M8" s="147">
        <f t="shared" si="17"/>
        <v>0</v>
      </c>
      <c r="N8" s="173">
        <f t="shared" si="17"/>
        <v>0</v>
      </c>
      <c r="O8" s="201">
        <f t="shared" si="1"/>
        <v>0</v>
      </c>
      <c r="P8" s="198"/>
      <c r="Q8" s="146">
        <f t="shared" si="9"/>
        <v>0</v>
      </c>
      <c r="R8" s="147">
        <f t="shared" ref="R8:AB8" si="18">Q8</f>
        <v>0</v>
      </c>
      <c r="S8" s="147">
        <f t="shared" si="18"/>
        <v>0</v>
      </c>
      <c r="T8" s="147">
        <f t="shared" si="18"/>
        <v>0</v>
      </c>
      <c r="U8" s="147">
        <f t="shared" si="18"/>
        <v>0</v>
      </c>
      <c r="V8" s="147">
        <f t="shared" si="18"/>
        <v>0</v>
      </c>
      <c r="W8" s="147">
        <f t="shared" si="18"/>
        <v>0</v>
      </c>
      <c r="X8" s="147">
        <f t="shared" si="18"/>
        <v>0</v>
      </c>
      <c r="Y8" s="147">
        <f t="shared" si="18"/>
        <v>0</v>
      </c>
      <c r="Z8" s="147">
        <f t="shared" si="18"/>
        <v>0</v>
      </c>
      <c r="AA8" s="147">
        <f t="shared" si="18"/>
        <v>0</v>
      </c>
      <c r="AB8" s="173">
        <f t="shared" si="18"/>
        <v>0</v>
      </c>
      <c r="AC8" s="201">
        <f t="shared" si="3"/>
        <v>0</v>
      </c>
      <c r="AD8" s="199"/>
      <c r="AE8" s="172">
        <f t="shared" si="11"/>
        <v>0</v>
      </c>
      <c r="AF8" s="147">
        <f t="shared" si="12"/>
        <v>0</v>
      </c>
      <c r="AG8" s="147">
        <f t="shared" si="4"/>
        <v>0</v>
      </c>
      <c r="AH8" s="173">
        <f t="shared" si="4"/>
        <v>0</v>
      </c>
      <c r="AI8" s="197">
        <f t="shared" si="5"/>
        <v>0</v>
      </c>
      <c r="AJ8" s="199"/>
      <c r="AK8" s="172">
        <f t="shared" si="6"/>
        <v>0</v>
      </c>
      <c r="AL8" s="147">
        <f t="shared" si="13"/>
        <v>0</v>
      </c>
      <c r="AM8" s="147">
        <f t="shared" si="13"/>
        <v>0</v>
      </c>
      <c r="AN8" s="173">
        <f t="shared" si="13"/>
        <v>0</v>
      </c>
      <c r="AO8" s="197">
        <f t="shared" si="7"/>
        <v>0</v>
      </c>
      <c r="AP8" s="199"/>
      <c r="AQ8" s="154">
        <f t="shared" si="14"/>
        <v>0</v>
      </c>
    </row>
    <row r="9" spans="1:43" ht="14.1" customHeight="1">
      <c r="B9" s="690" t="s">
        <v>61</v>
      </c>
      <c r="C9" s="146">
        <v>0</v>
      </c>
      <c r="D9" s="147">
        <f t="shared" ref="D9:N9" si="19">C9</f>
        <v>0</v>
      </c>
      <c r="E9" s="147">
        <f t="shared" si="19"/>
        <v>0</v>
      </c>
      <c r="F9" s="147">
        <f t="shared" si="19"/>
        <v>0</v>
      </c>
      <c r="G9" s="147">
        <f t="shared" si="19"/>
        <v>0</v>
      </c>
      <c r="H9" s="147">
        <f t="shared" si="19"/>
        <v>0</v>
      </c>
      <c r="I9" s="147">
        <f t="shared" si="19"/>
        <v>0</v>
      </c>
      <c r="J9" s="147">
        <f t="shared" si="19"/>
        <v>0</v>
      </c>
      <c r="K9" s="147">
        <f t="shared" si="19"/>
        <v>0</v>
      </c>
      <c r="L9" s="147">
        <f t="shared" si="19"/>
        <v>0</v>
      </c>
      <c r="M9" s="147">
        <f t="shared" si="19"/>
        <v>0</v>
      </c>
      <c r="N9" s="173">
        <f t="shared" si="19"/>
        <v>0</v>
      </c>
      <c r="O9" s="201">
        <f t="shared" si="1"/>
        <v>0</v>
      </c>
      <c r="P9" s="198"/>
      <c r="Q9" s="146">
        <f t="shared" si="9"/>
        <v>0</v>
      </c>
      <c r="R9" s="147">
        <f t="shared" ref="R9:AB9" si="20">Q9</f>
        <v>0</v>
      </c>
      <c r="S9" s="147">
        <f t="shared" si="20"/>
        <v>0</v>
      </c>
      <c r="T9" s="147">
        <f t="shared" si="20"/>
        <v>0</v>
      </c>
      <c r="U9" s="147">
        <f t="shared" si="20"/>
        <v>0</v>
      </c>
      <c r="V9" s="147">
        <f t="shared" si="20"/>
        <v>0</v>
      </c>
      <c r="W9" s="147">
        <f t="shared" si="20"/>
        <v>0</v>
      </c>
      <c r="X9" s="147">
        <f t="shared" si="20"/>
        <v>0</v>
      </c>
      <c r="Y9" s="147">
        <f t="shared" si="20"/>
        <v>0</v>
      </c>
      <c r="Z9" s="147">
        <f t="shared" si="20"/>
        <v>0</v>
      </c>
      <c r="AA9" s="147">
        <f t="shared" si="20"/>
        <v>0</v>
      </c>
      <c r="AB9" s="173">
        <f t="shared" si="20"/>
        <v>0</v>
      </c>
      <c r="AC9" s="201">
        <f t="shared" si="3"/>
        <v>0</v>
      </c>
      <c r="AD9" s="199"/>
      <c r="AE9" s="172">
        <f t="shared" si="11"/>
        <v>0</v>
      </c>
      <c r="AF9" s="147">
        <f t="shared" si="12"/>
        <v>0</v>
      </c>
      <c r="AG9" s="147">
        <f t="shared" si="4"/>
        <v>0</v>
      </c>
      <c r="AH9" s="173">
        <f t="shared" si="4"/>
        <v>0</v>
      </c>
      <c r="AI9" s="197">
        <f t="shared" si="5"/>
        <v>0</v>
      </c>
      <c r="AJ9" s="199"/>
      <c r="AK9" s="172">
        <f t="shared" si="6"/>
        <v>0</v>
      </c>
      <c r="AL9" s="147">
        <f t="shared" si="13"/>
        <v>0</v>
      </c>
      <c r="AM9" s="147">
        <f t="shared" si="13"/>
        <v>0</v>
      </c>
      <c r="AN9" s="173">
        <f t="shared" si="13"/>
        <v>0</v>
      </c>
      <c r="AO9" s="197">
        <f t="shared" si="7"/>
        <v>0</v>
      </c>
      <c r="AP9" s="199"/>
      <c r="AQ9" s="154">
        <f t="shared" si="14"/>
        <v>0</v>
      </c>
    </row>
    <row r="10" spans="1:43" ht="14.1" customHeight="1">
      <c r="B10" s="690" t="s">
        <v>91</v>
      </c>
      <c r="C10" s="146">
        <v>0</v>
      </c>
      <c r="D10" s="147">
        <f t="shared" ref="D10:N10" si="21">C10</f>
        <v>0</v>
      </c>
      <c r="E10" s="147">
        <f t="shared" si="21"/>
        <v>0</v>
      </c>
      <c r="F10" s="147">
        <f t="shared" si="21"/>
        <v>0</v>
      </c>
      <c r="G10" s="147">
        <f t="shared" si="21"/>
        <v>0</v>
      </c>
      <c r="H10" s="147">
        <f t="shared" si="21"/>
        <v>0</v>
      </c>
      <c r="I10" s="147">
        <f t="shared" si="21"/>
        <v>0</v>
      </c>
      <c r="J10" s="147">
        <f t="shared" si="21"/>
        <v>0</v>
      </c>
      <c r="K10" s="147">
        <f t="shared" si="21"/>
        <v>0</v>
      </c>
      <c r="L10" s="147">
        <f t="shared" si="21"/>
        <v>0</v>
      </c>
      <c r="M10" s="147">
        <f t="shared" si="21"/>
        <v>0</v>
      </c>
      <c r="N10" s="173">
        <f t="shared" si="21"/>
        <v>0</v>
      </c>
      <c r="O10" s="201">
        <f t="shared" si="1"/>
        <v>0</v>
      </c>
      <c r="P10" s="198"/>
      <c r="Q10" s="146">
        <f t="shared" si="9"/>
        <v>0</v>
      </c>
      <c r="R10" s="147">
        <f t="shared" ref="R10:AB10" si="22">Q10</f>
        <v>0</v>
      </c>
      <c r="S10" s="147">
        <f t="shared" si="22"/>
        <v>0</v>
      </c>
      <c r="T10" s="147">
        <f t="shared" si="22"/>
        <v>0</v>
      </c>
      <c r="U10" s="147">
        <f t="shared" si="22"/>
        <v>0</v>
      </c>
      <c r="V10" s="147">
        <f t="shared" si="22"/>
        <v>0</v>
      </c>
      <c r="W10" s="147">
        <f t="shared" si="22"/>
        <v>0</v>
      </c>
      <c r="X10" s="147">
        <f t="shared" si="22"/>
        <v>0</v>
      </c>
      <c r="Y10" s="147">
        <f t="shared" si="22"/>
        <v>0</v>
      </c>
      <c r="Z10" s="147">
        <f t="shared" si="22"/>
        <v>0</v>
      </c>
      <c r="AA10" s="147">
        <f t="shared" si="22"/>
        <v>0</v>
      </c>
      <c r="AB10" s="173">
        <f t="shared" si="22"/>
        <v>0</v>
      </c>
      <c r="AC10" s="201">
        <f t="shared" si="3"/>
        <v>0</v>
      </c>
      <c r="AD10" s="199"/>
      <c r="AE10" s="172">
        <f t="shared" si="11"/>
        <v>0</v>
      </c>
      <c r="AF10" s="147">
        <f t="shared" si="12"/>
        <v>0</v>
      </c>
      <c r="AG10" s="147">
        <f t="shared" si="4"/>
        <v>0</v>
      </c>
      <c r="AH10" s="173">
        <f t="shared" si="4"/>
        <v>0</v>
      </c>
      <c r="AI10" s="197">
        <f t="shared" si="5"/>
        <v>0</v>
      </c>
      <c r="AJ10" s="199"/>
      <c r="AK10" s="172">
        <f t="shared" si="6"/>
        <v>0</v>
      </c>
      <c r="AL10" s="147">
        <f t="shared" si="13"/>
        <v>0</v>
      </c>
      <c r="AM10" s="147">
        <f t="shared" si="13"/>
        <v>0</v>
      </c>
      <c r="AN10" s="173">
        <f t="shared" si="13"/>
        <v>0</v>
      </c>
      <c r="AO10" s="197">
        <f t="shared" si="7"/>
        <v>0</v>
      </c>
      <c r="AP10" s="199"/>
      <c r="AQ10" s="154">
        <f t="shared" si="14"/>
        <v>0</v>
      </c>
    </row>
    <row r="11" spans="1:43" ht="14.1" customHeight="1">
      <c r="B11" s="690" t="s">
        <v>62</v>
      </c>
      <c r="C11" s="146">
        <v>0</v>
      </c>
      <c r="D11" s="147">
        <f t="shared" ref="D11:N11" si="23">C11</f>
        <v>0</v>
      </c>
      <c r="E11" s="147">
        <f t="shared" si="23"/>
        <v>0</v>
      </c>
      <c r="F11" s="147">
        <f t="shared" si="23"/>
        <v>0</v>
      </c>
      <c r="G11" s="147">
        <f t="shared" si="23"/>
        <v>0</v>
      </c>
      <c r="H11" s="147">
        <f t="shared" si="23"/>
        <v>0</v>
      </c>
      <c r="I11" s="147">
        <f t="shared" si="23"/>
        <v>0</v>
      </c>
      <c r="J11" s="147">
        <f t="shared" si="23"/>
        <v>0</v>
      </c>
      <c r="K11" s="147">
        <f t="shared" si="23"/>
        <v>0</v>
      </c>
      <c r="L11" s="147">
        <f t="shared" si="23"/>
        <v>0</v>
      </c>
      <c r="M11" s="147">
        <f t="shared" si="23"/>
        <v>0</v>
      </c>
      <c r="N11" s="173">
        <f t="shared" si="23"/>
        <v>0</v>
      </c>
      <c r="O11" s="201">
        <f t="shared" si="1"/>
        <v>0</v>
      </c>
      <c r="P11" s="198"/>
      <c r="Q11" s="146">
        <f t="shared" si="9"/>
        <v>0</v>
      </c>
      <c r="R11" s="147">
        <f t="shared" ref="R11:AB11" si="24">Q11</f>
        <v>0</v>
      </c>
      <c r="S11" s="147">
        <f t="shared" si="24"/>
        <v>0</v>
      </c>
      <c r="T11" s="147">
        <f t="shared" si="24"/>
        <v>0</v>
      </c>
      <c r="U11" s="147">
        <f t="shared" si="24"/>
        <v>0</v>
      </c>
      <c r="V11" s="147">
        <f t="shared" si="24"/>
        <v>0</v>
      </c>
      <c r="W11" s="147">
        <f t="shared" si="24"/>
        <v>0</v>
      </c>
      <c r="X11" s="147">
        <f t="shared" si="24"/>
        <v>0</v>
      </c>
      <c r="Y11" s="147">
        <f t="shared" si="24"/>
        <v>0</v>
      </c>
      <c r="Z11" s="147">
        <f t="shared" si="24"/>
        <v>0</v>
      </c>
      <c r="AA11" s="147">
        <f t="shared" si="24"/>
        <v>0</v>
      </c>
      <c r="AB11" s="173">
        <f t="shared" si="24"/>
        <v>0</v>
      </c>
      <c r="AC11" s="201">
        <f t="shared" si="3"/>
        <v>0</v>
      </c>
      <c r="AD11" s="199"/>
      <c r="AE11" s="172">
        <f t="shared" si="11"/>
        <v>0</v>
      </c>
      <c r="AF11" s="147">
        <f t="shared" si="12"/>
        <v>0</v>
      </c>
      <c r="AG11" s="147">
        <f t="shared" si="4"/>
        <v>0</v>
      </c>
      <c r="AH11" s="173">
        <f t="shared" si="4"/>
        <v>0</v>
      </c>
      <c r="AI11" s="197">
        <f t="shared" si="5"/>
        <v>0</v>
      </c>
      <c r="AJ11" s="199"/>
      <c r="AK11" s="172">
        <f t="shared" si="6"/>
        <v>0</v>
      </c>
      <c r="AL11" s="147">
        <f t="shared" si="13"/>
        <v>0</v>
      </c>
      <c r="AM11" s="147">
        <f t="shared" si="13"/>
        <v>0</v>
      </c>
      <c r="AN11" s="173">
        <f t="shared" si="13"/>
        <v>0</v>
      </c>
      <c r="AO11" s="197">
        <f t="shared" si="7"/>
        <v>0</v>
      </c>
      <c r="AP11" s="199"/>
      <c r="AQ11" s="154">
        <f t="shared" si="14"/>
        <v>0</v>
      </c>
    </row>
    <row r="12" spans="1:43" ht="14.1" customHeight="1">
      <c r="B12" s="690" t="s">
        <v>63</v>
      </c>
      <c r="C12" s="146">
        <v>0</v>
      </c>
      <c r="D12" s="147">
        <f t="shared" ref="D12:N12" si="25">C12</f>
        <v>0</v>
      </c>
      <c r="E12" s="147">
        <f t="shared" si="25"/>
        <v>0</v>
      </c>
      <c r="F12" s="147">
        <f t="shared" si="25"/>
        <v>0</v>
      </c>
      <c r="G12" s="147">
        <f t="shared" si="25"/>
        <v>0</v>
      </c>
      <c r="H12" s="147">
        <f t="shared" si="25"/>
        <v>0</v>
      </c>
      <c r="I12" s="147">
        <f t="shared" si="25"/>
        <v>0</v>
      </c>
      <c r="J12" s="147">
        <f t="shared" si="25"/>
        <v>0</v>
      </c>
      <c r="K12" s="147">
        <f t="shared" si="25"/>
        <v>0</v>
      </c>
      <c r="L12" s="147">
        <f t="shared" si="25"/>
        <v>0</v>
      </c>
      <c r="M12" s="147">
        <f t="shared" si="25"/>
        <v>0</v>
      </c>
      <c r="N12" s="173">
        <f t="shared" si="25"/>
        <v>0</v>
      </c>
      <c r="O12" s="201">
        <f t="shared" si="1"/>
        <v>0</v>
      </c>
      <c r="P12" s="198"/>
      <c r="Q12" s="146">
        <f t="shared" si="9"/>
        <v>0</v>
      </c>
      <c r="R12" s="147">
        <f t="shared" ref="R12:AB12" si="26">Q12</f>
        <v>0</v>
      </c>
      <c r="S12" s="147">
        <f t="shared" si="26"/>
        <v>0</v>
      </c>
      <c r="T12" s="147">
        <f t="shared" si="26"/>
        <v>0</v>
      </c>
      <c r="U12" s="147">
        <f t="shared" si="26"/>
        <v>0</v>
      </c>
      <c r="V12" s="147">
        <f t="shared" si="26"/>
        <v>0</v>
      </c>
      <c r="W12" s="147">
        <f t="shared" si="26"/>
        <v>0</v>
      </c>
      <c r="X12" s="147">
        <f t="shared" si="26"/>
        <v>0</v>
      </c>
      <c r="Y12" s="147">
        <f t="shared" si="26"/>
        <v>0</v>
      </c>
      <c r="Z12" s="147">
        <f t="shared" si="26"/>
        <v>0</v>
      </c>
      <c r="AA12" s="147">
        <f t="shared" si="26"/>
        <v>0</v>
      </c>
      <c r="AB12" s="173">
        <f t="shared" si="26"/>
        <v>0</v>
      </c>
      <c r="AC12" s="201">
        <f t="shared" si="3"/>
        <v>0</v>
      </c>
      <c r="AD12" s="198"/>
      <c r="AE12" s="172">
        <f t="shared" si="11"/>
        <v>0</v>
      </c>
      <c r="AF12" s="147">
        <f t="shared" si="12"/>
        <v>0</v>
      </c>
      <c r="AG12" s="147">
        <f t="shared" si="4"/>
        <v>0</v>
      </c>
      <c r="AH12" s="173">
        <f t="shared" si="4"/>
        <v>0</v>
      </c>
      <c r="AI12" s="197">
        <f t="shared" si="5"/>
        <v>0</v>
      </c>
      <c r="AJ12" s="198"/>
      <c r="AK12" s="172">
        <f t="shared" si="6"/>
        <v>0</v>
      </c>
      <c r="AL12" s="147">
        <f t="shared" si="13"/>
        <v>0</v>
      </c>
      <c r="AM12" s="147">
        <f t="shared" si="13"/>
        <v>0</v>
      </c>
      <c r="AN12" s="173">
        <f t="shared" si="13"/>
        <v>0</v>
      </c>
      <c r="AO12" s="197">
        <f t="shared" si="7"/>
        <v>0</v>
      </c>
      <c r="AP12" s="198"/>
      <c r="AQ12" s="154">
        <f t="shared" si="14"/>
        <v>0</v>
      </c>
    </row>
    <row r="13" spans="1:43" ht="14.1" customHeight="1">
      <c r="B13" s="690" t="s">
        <v>64</v>
      </c>
      <c r="C13" s="202"/>
      <c r="D13" s="202"/>
      <c r="E13" s="202"/>
      <c r="F13" s="202"/>
      <c r="G13" s="202"/>
      <c r="H13" s="202"/>
      <c r="I13" s="202"/>
      <c r="J13" s="202"/>
      <c r="K13" s="202"/>
      <c r="L13" s="202"/>
      <c r="M13" s="202"/>
      <c r="N13" s="203"/>
      <c r="O13" s="197"/>
      <c r="P13" s="198"/>
      <c r="Q13" s="202"/>
      <c r="R13" s="202"/>
      <c r="S13" s="202"/>
      <c r="T13" s="202"/>
      <c r="U13" s="202"/>
      <c r="V13" s="202"/>
      <c r="W13" s="202"/>
      <c r="X13" s="202"/>
      <c r="Y13" s="202"/>
      <c r="Z13" s="202"/>
      <c r="AA13" s="202"/>
      <c r="AB13" s="203"/>
      <c r="AC13" s="197"/>
      <c r="AD13" s="199"/>
      <c r="AE13" s="204"/>
      <c r="AF13" s="202"/>
      <c r="AG13" s="202"/>
      <c r="AH13" s="203"/>
      <c r="AI13" s="197"/>
      <c r="AJ13" s="199"/>
      <c r="AK13" s="204"/>
      <c r="AL13" s="202"/>
      <c r="AM13" s="202"/>
      <c r="AN13" s="203"/>
      <c r="AO13" s="197"/>
      <c r="AP13" s="199"/>
      <c r="AQ13" s="197"/>
    </row>
    <row r="14" spans="1:43" ht="14.1" customHeight="1">
      <c r="B14" s="55" t="s">
        <v>87</v>
      </c>
      <c r="C14" s="146">
        <v>0</v>
      </c>
      <c r="D14" s="147">
        <f t="shared" ref="D14:N14" si="27">C14</f>
        <v>0</v>
      </c>
      <c r="E14" s="147">
        <f t="shared" si="27"/>
        <v>0</v>
      </c>
      <c r="F14" s="147">
        <f t="shared" si="27"/>
        <v>0</v>
      </c>
      <c r="G14" s="147">
        <f t="shared" si="27"/>
        <v>0</v>
      </c>
      <c r="H14" s="147">
        <f t="shared" si="27"/>
        <v>0</v>
      </c>
      <c r="I14" s="147">
        <f t="shared" si="27"/>
        <v>0</v>
      </c>
      <c r="J14" s="147">
        <f t="shared" si="27"/>
        <v>0</v>
      </c>
      <c r="K14" s="147">
        <f t="shared" si="27"/>
        <v>0</v>
      </c>
      <c r="L14" s="147">
        <f t="shared" si="27"/>
        <v>0</v>
      </c>
      <c r="M14" s="147">
        <f t="shared" si="27"/>
        <v>0</v>
      </c>
      <c r="N14" s="173">
        <f t="shared" si="27"/>
        <v>0</v>
      </c>
      <c r="O14" s="201">
        <f t="shared" ref="O14:O22" si="28">SUM(C14:N14)</f>
        <v>0</v>
      </c>
      <c r="P14" s="198"/>
      <c r="Q14" s="146">
        <f>N14</f>
        <v>0</v>
      </c>
      <c r="R14" s="147">
        <f t="shared" ref="R14:AB14" si="29">Q14</f>
        <v>0</v>
      </c>
      <c r="S14" s="147">
        <f t="shared" si="29"/>
        <v>0</v>
      </c>
      <c r="T14" s="147">
        <f t="shared" si="29"/>
        <v>0</v>
      </c>
      <c r="U14" s="147">
        <f t="shared" si="29"/>
        <v>0</v>
      </c>
      <c r="V14" s="147">
        <f t="shared" si="29"/>
        <v>0</v>
      </c>
      <c r="W14" s="147">
        <f t="shared" si="29"/>
        <v>0</v>
      </c>
      <c r="X14" s="147">
        <f t="shared" si="29"/>
        <v>0</v>
      </c>
      <c r="Y14" s="147">
        <f t="shared" si="29"/>
        <v>0</v>
      </c>
      <c r="Z14" s="147">
        <f t="shared" si="29"/>
        <v>0</v>
      </c>
      <c r="AA14" s="147">
        <f t="shared" si="29"/>
        <v>0</v>
      </c>
      <c r="AB14" s="173">
        <f t="shared" si="29"/>
        <v>0</v>
      </c>
      <c r="AC14" s="201">
        <f t="shared" ref="AC14:AC20" si="30">SUM(Q14:AB14)</f>
        <v>0</v>
      </c>
      <c r="AD14" s="199"/>
      <c r="AE14" s="172">
        <f>AB14*3</f>
        <v>0</v>
      </c>
      <c r="AF14" s="147">
        <f t="shared" ref="AF14:AH18" si="31">AE14</f>
        <v>0</v>
      </c>
      <c r="AG14" s="147">
        <f t="shared" si="31"/>
        <v>0</v>
      </c>
      <c r="AH14" s="173">
        <f t="shared" si="31"/>
        <v>0</v>
      </c>
      <c r="AI14" s="197">
        <f t="shared" ref="AI14:AI20" si="32">SUM(AE14:AH14)</f>
        <v>0</v>
      </c>
      <c r="AJ14" s="199"/>
      <c r="AK14" s="172">
        <f t="shared" ref="AK14:AK20" si="33">AH14</f>
        <v>0</v>
      </c>
      <c r="AL14" s="147">
        <f t="shared" ref="AL14:AN18" si="34">AK14</f>
        <v>0</v>
      </c>
      <c r="AM14" s="147">
        <f t="shared" si="34"/>
        <v>0</v>
      </c>
      <c r="AN14" s="173">
        <f t="shared" si="34"/>
        <v>0</v>
      </c>
      <c r="AO14" s="197">
        <f t="shared" ref="AO14:AO20" si="35">SUM(AK14:AN14)</f>
        <v>0</v>
      </c>
      <c r="AP14" s="199"/>
      <c r="AQ14" s="154">
        <f t="shared" si="14"/>
        <v>0</v>
      </c>
    </row>
    <row r="15" spans="1:43" ht="14.1" customHeight="1">
      <c r="B15" s="56" t="s">
        <v>66</v>
      </c>
      <c r="C15" s="146">
        <v>0</v>
      </c>
      <c r="D15" s="147">
        <f t="shared" ref="D15:N15" si="36">C15</f>
        <v>0</v>
      </c>
      <c r="E15" s="147">
        <f t="shared" si="36"/>
        <v>0</v>
      </c>
      <c r="F15" s="147">
        <f t="shared" si="36"/>
        <v>0</v>
      </c>
      <c r="G15" s="147">
        <f t="shared" si="36"/>
        <v>0</v>
      </c>
      <c r="H15" s="147">
        <f t="shared" si="36"/>
        <v>0</v>
      </c>
      <c r="I15" s="147">
        <f t="shared" si="36"/>
        <v>0</v>
      </c>
      <c r="J15" s="147">
        <f t="shared" si="36"/>
        <v>0</v>
      </c>
      <c r="K15" s="147">
        <f t="shared" si="36"/>
        <v>0</v>
      </c>
      <c r="L15" s="147">
        <f t="shared" si="36"/>
        <v>0</v>
      </c>
      <c r="M15" s="147">
        <f t="shared" si="36"/>
        <v>0</v>
      </c>
      <c r="N15" s="173">
        <f t="shared" si="36"/>
        <v>0</v>
      </c>
      <c r="O15" s="201">
        <f t="shared" si="28"/>
        <v>0</v>
      </c>
      <c r="P15" s="198"/>
      <c r="Q15" s="146">
        <f t="shared" ref="Q15:Q20" si="37">N15</f>
        <v>0</v>
      </c>
      <c r="R15" s="147">
        <f t="shared" ref="R15:AB15" si="38">Q15</f>
        <v>0</v>
      </c>
      <c r="S15" s="147">
        <f t="shared" si="38"/>
        <v>0</v>
      </c>
      <c r="T15" s="147">
        <f t="shared" si="38"/>
        <v>0</v>
      </c>
      <c r="U15" s="147">
        <f t="shared" si="38"/>
        <v>0</v>
      </c>
      <c r="V15" s="147">
        <f t="shared" si="38"/>
        <v>0</v>
      </c>
      <c r="W15" s="147">
        <f t="shared" si="38"/>
        <v>0</v>
      </c>
      <c r="X15" s="147">
        <f t="shared" si="38"/>
        <v>0</v>
      </c>
      <c r="Y15" s="147">
        <f t="shared" si="38"/>
        <v>0</v>
      </c>
      <c r="Z15" s="147">
        <f t="shared" si="38"/>
        <v>0</v>
      </c>
      <c r="AA15" s="147">
        <f t="shared" si="38"/>
        <v>0</v>
      </c>
      <c r="AB15" s="173">
        <f t="shared" si="38"/>
        <v>0</v>
      </c>
      <c r="AC15" s="201">
        <f t="shared" si="30"/>
        <v>0</v>
      </c>
      <c r="AD15" s="199"/>
      <c r="AE15" s="172">
        <f t="shared" ref="AE15:AE20" si="39">AB15*3</f>
        <v>0</v>
      </c>
      <c r="AF15" s="147">
        <f t="shared" si="31"/>
        <v>0</v>
      </c>
      <c r="AG15" s="147">
        <f t="shared" si="31"/>
        <v>0</v>
      </c>
      <c r="AH15" s="173">
        <f t="shared" si="31"/>
        <v>0</v>
      </c>
      <c r="AI15" s="197">
        <f t="shared" si="32"/>
        <v>0</v>
      </c>
      <c r="AJ15" s="199"/>
      <c r="AK15" s="172">
        <f t="shared" si="33"/>
        <v>0</v>
      </c>
      <c r="AL15" s="147">
        <f t="shared" si="34"/>
        <v>0</v>
      </c>
      <c r="AM15" s="147">
        <f t="shared" si="34"/>
        <v>0</v>
      </c>
      <c r="AN15" s="173">
        <f t="shared" si="34"/>
        <v>0</v>
      </c>
      <c r="AO15" s="197">
        <f t="shared" si="35"/>
        <v>0</v>
      </c>
      <c r="AP15" s="199"/>
      <c r="AQ15" s="154">
        <f t="shared" si="14"/>
        <v>0</v>
      </c>
    </row>
    <row r="16" spans="1:43" ht="14.1" customHeight="1">
      <c r="B16" s="56" t="s">
        <v>65</v>
      </c>
      <c r="C16" s="146">
        <v>0</v>
      </c>
      <c r="D16" s="147">
        <f t="shared" ref="D16:N16" si="40">C16</f>
        <v>0</v>
      </c>
      <c r="E16" s="147">
        <f t="shared" si="40"/>
        <v>0</v>
      </c>
      <c r="F16" s="147">
        <f t="shared" si="40"/>
        <v>0</v>
      </c>
      <c r="G16" s="147">
        <f t="shared" si="40"/>
        <v>0</v>
      </c>
      <c r="H16" s="147">
        <f t="shared" si="40"/>
        <v>0</v>
      </c>
      <c r="I16" s="147">
        <f t="shared" si="40"/>
        <v>0</v>
      </c>
      <c r="J16" s="147">
        <f t="shared" si="40"/>
        <v>0</v>
      </c>
      <c r="K16" s="147">
        <f t="shared" si="40"/>
        <v>0</v>
      </c>
      <c r="L16" s="147">
        <f t="shared" si="40"/>
        <v>0</v>
      </c>
      <c r="M16" s="147">
        <f t="shared" si="40"/>
        <v>0</v>
      </c>
      <c r="N16" s="173">
        <f t="shared" si="40"/>
        <v>0</v>
      </c>
      <c r="O16" s="201">
        <f t="shared" si="28"/>
        <v>0</v>
      </c>
      <c r="P16" s="198"/>
      <c r="Q16" s="146">
        <f t="shared" si="37"/>
        <v>0</v>
      </c>
      <c r="R16" s="147">
        <f t="shared" ref="R16:AB16" si="41">Q16</f>
        <v>0</v>
      </c>
      <c r="S16" s="147">
        <f t="shared" si="41"/>
        <v>0</v>
      </c>
      <c r="T16" s="147">
        <f t="shared" si="41"/>
        <v>0</v>
      </c>
      <c r="U16" s="147">
        <f t="shared" si="41"/>
        <v>0</v>
      </c>
      <c r="V16" s="147">
        <f t="shared" si="41"/>
        <v>0</v>
      </c>
      <c r="W16" s="147">
        <f t="shared" si="41"/>
        <v>0</v>
      </c>
      <c r="X16" s="147">
        <f t="shared" si="41"/>
        <v>0</v>
      </c>
      <c r="Y16" s="147">
        <f t="shared" si="41"/>
        <v>0</v>
      </c>
      <c r="Z16" s="147">
        <f t="shared" si="41"/>
        <v>0</v>
      </c>
      <c r="AA16" s="147">
        <f t="shared" si="41"/>
        <v>0</v>
      </c>
      <c r="AB16" s="173">
        <f t="shared" si="41"/>
        <v>0</v>
      </c>
      <c r="AC16" s="201">
        <f t="shared" si="30"/>
        <v>0</v>
      </c>
      <c r="AD16" s="199"/>
      <c r="AE16" s="172">
        <f t="shared" si="39"/>
        <v>0</v>
      </c>
      <c r="AF16" s="147">
        <f t="shared" si="31"/>
        <v>0</v>
      </c>
      <c r="AG16" s="147">
        <f t="shared" si="31"/>
        <v>0</v>
      </c>
      <c r="AH16" s="173">
        <f t="shared" si="31"/>
        <v>0</v>
      </c>
      <c r="AI16" s="197">
        <f t="shared" si="32"/>
        <v>0</v>
      </c>
      <c r="AJ16" s="199"/>
      <c r="AK16" s="172">
        <f t="shared" si="33"/>
        <v>0</v>
      </c>
      <c r="AL16" s="147">
        <f t="shared" si="34"/>
        <v>0</v>
      </c>
      <c r="AM16" s="147">
        <f t="shared" si="34"/>
        <v>0</v>
      </c>
      <c r="AN16" s="173">
        <f t="shared" si="34"/>
        <v>0</v>
      </c>
      <c r="AO16" s="197">
        <f t="shared" si="35"/>
        <v>0</v>
      </c>
      <c r="AP16" s="199"/>
      <c r="AQ16" s="154">
        <f t="shared" si="14"/>
        <v>0</v>
      </c>
    </row>
    <row r="17" spans="2:43" ht="14.1" customHeight="1">
      <c r="B17" s="56" t="s">
        <v>67</v>
      </c>
      <c r="C17" s="146">
        <v>0</v>
      </c>
      <c r="D17" s="147">
        <f t="shared" ref="D17:N17" si="42">C17</f>
        <v>0</v>
      </c>
      <c r="E17" s="147">
        <f t="shared" si="42"/>
        <v>0</v>
      </c>
      <c r="F17" s="147">
        <f t="shared" si="42"/>
        <v>0</v>
      </c>
      <c r="G17" s="147">
        <f t="shared" si="42"/>
        <v>0</v>
      </c>
      <c r="H17" s="147">
        <f t="shared" si="42"/>
        <v>0</v>
      </c>
      <c r="I17" s="147">
        <f t="shared" si="42"/>
        <v>0</v>
      </c>
      <c r="J17" s="147">
        <f t="shared" si="42"/>
        <v>0</v>
      </c>
      <c r="K17" s="147">
        <f t="shared" si="42"/>
        <v>0</v>
      </c>
      <c r="L17" s="147">
        <f t="shared" si="42"/>
        <v>0</v>
      </c>
      <c r="M17" s="147">
        <f t="shared" si="42"/>
        <v>0</v>
      </c>
      <c r="N17" s="173">
        <f t="shared" si="42"/>
        <v>0</v>
      </c>
      <c r="O17" s="201">
        <f t="shared" si="28"/>
        <v>0</v>
      </c>
      <c r="P17" s="198"/>
      <c r="Q17" s="146">
        <f t="shared" si="37"/>
        <v>0</v>
      </c>
      <c r="R17" s="147">
        <f t="shared" ref="R17:AB17" si="43">Q17</f>
        <v>0</v>
      </c>
      <c r="S17" s="147">
        <f t="shared" si="43"/>
        <v>0</v>
      </c>
      <c r="T17" s="147">
        <f t="shared" si="43"/>
        <v>0</v>
      </c>
      <c r="U17" s="147">
        <f t="shared" si="43"/>
        <v>0</v>
      </c>
      <c r="V17" s="147">
        <f t="shared" si="43"/>
        <v>0</v>
      </c>
      <c r="W17" s="147">
        <f t="shared" si="43"/>
        <v>0</v>
      </c>
      <c r="X17" s="147">
        <f t="shared" si="43"/>
        <v>0</v>
      </c>
      <c r="Y17" s="147">
        <f t="shared" si="43"/>
        <v>0</v>
      </c>
      <c r="Z17" s="147">
        <f t="shared" si="43"/>
        <v>0</v>
      </c>
      <c r="AA17" s="147">
        <f t="shared" si="43"/>
        <v>0</v>
      </c>
      <c r="AB17" s="173">
        <f t="shared" si="43"/>
        <v>0</v>
      </c>
      <c r="AC17" s="201">
        <f t="shared" si="30"/>
        <v>0</v>
      </c>
      <c r="AD17" s="199"/>
      <c r="AE17" s="172">
        <f t="shared" si="39"/>
        <v>0</v>
      </c>
      <c r="AF17" s="147">
        <f t="shared" si="31"/>
        <v>0</v>
      </c>
      <c r="AG17" s="147">
        <f t="shared" si="31"/>
        <v>0</v>
      </c>
      <c r="AH17" s="173">
        <f t="shared" si="31"/>
        <v>0</v>
      </c>
      <c r="AI17" s="197">
        <f t="shared" si="32"/>
        <v>0</v>
      </c>
      <c r="AJ17" s="199"/>
      <c r="AK17" s="172">
        <f t="shared" si="33"/>
        <v>0</v>
      </c>
      <c r="AL17" s="147">
        <f t="shared" si="34"/>
        <v>0</v>
      </c>
      <c r="AM17" s="147">
        <f t="shared" si="34"/>
        <v>0</v>
      </c>
      <c r="AN17" s="173">
        <f t="shared" si="34"/>
        <v>0</v>
      </c>
      <c r="AO17" s="197">
        <f t="shared" si="35"/>
        <v>0</v>
      </c>
      <c r="AP17" s="199"/>
      <c r="AQ17" s="154">
        <f t="shared" si="14"/>
        <v>0</v>
      </c>
    </row>
    <row r="18" spans="2:43" ht="14.1" customHeight="1">
      <c r="B18" s="690" t="s">
        <v>68</v>
      </c>
      <c r="C18" s="146">
        <v>0</v>
      </c>
      <c r="D18" s="147">
        <f t="shared" ref="D18:N18" si="44">C18</f>
        <v>0</v>
      </c>
      <c r="E18" s="147">
        <f t="shared" si="44"/>
        <v>0</v>
      </c>
      <c r="F18" s="147">
        <f t="shared" si="44"/>
        <v>0</v>
      </c>
      <c r="G18" s="147">
        <f t="shared" si="44"/>
        <v>0</v>
      </c>
      <c r="H18" s="147">
        <f t="shared" si="44"/>
        <v>0</v>
      </c>
      <c r="I18" s="147">
        <f t="shared" si="44"/>
        <v>0</v>
      </c>
      <c r="J18" s="147">
        <f t="shared" si="44"/>
        <v>0</v>
      </c>
      <c r="K18" s="147">
        <f t="shared" si="44"/>
        <v>0</v>
      </c>
      <c r="L18" s="147">
        <f t="shared" si="44"/>
        <v>0</v>
      </c>
      <c r="M18" s="147">
        <f t="shared" si="44"/>
        <v>0</v>
      </c>
      <c r="N18" s="173">
        <f t="shared" si="44"/>
        <v>0</v>
      </c>
      <c r="O18" s="201">
        <f t="shared" si="28"/>
        <v>0</v>
      </c>
      <c r="P18" s="198"/>
      <c r="Q18" s="146">
        <f t="shared" si="37"/>
        <v>0</v>
      </c>
      <c r="R18" s="147">
        <f t="shared" ref="R18:AB18" si="45">Q18</f>
        <v>0</v>
      </c>
      <c r="S18" s="147">
        <f t="shared" si="45"/>
        <v>0</v>
      </c>
      <c r="T18" s="147">
        <f t="shared" si="45"/>
        <v>0</v>
      </c>
      <c r="U18" s="147">
        <f t="shared" si="45"/>
        <v>0</v>
      </c>
      <c r="V18" s="147">
        <f t="shared" si="45"/>
        <v>0</v>
      </c>
      <c r="W18" s="147">
        <f t="shared" si="45"/>
        <v>0</v>
      </c>
      <c r="X18" s="147">
        <f t="shared" si="45"/>
        <v>0</v>
      </c>
      <c r="Y18" s="147">
        <f t="shared" si="45"/>
        <v>0</v>
      </c>
      <c r="Z18" s="147">
        <f t="shared" si="45"/>
        <v>0</v>
      </c>
      <c r="AA18" s="147">
        <f t="shared" si="45"/>
        <v>0</v>
      </c>
      <c r="AB18" s="173">
        <f t="shared" si="45"/>
        <v>0</v>
      </c>
      <c r="AC18" s="201">
        <f t="shared" si="30"/>
        <v>0</v>
      </c>
      <c r="AD18" s="199"/>
      <c r="AE18" s="172">
        <f t="shared" si="39"/>
        <v>0</v>
      </c>
      <c r="AF18" s="147">
        <f t="shared" si="31"/>
        <v>0</v>
      </c>
      <c r="AG18" s="147">
        <f t="shared" si="31"/>
        <v>0</v>
      </c>
      <c r="AH18" s="173">
        <f t="shared" si="31"/>
        <v>0</v>
      </c>
      <c r="AI18" s="197">
        <f t="shared" si="32"/>
        <v>0</v>
      </c>
      <c r="AJ18" s="199"/>
      <c r="AK18" s="172">
        <f t="shared" si="33"/>
        <v>0</v>
      </c>
      <c r="AL18" s="147">
        <f t="shared" si="34"/>
        <v>0</v>
      </c>
      <c r="AM18" s="147">
        <f t="shared" si="34"/>
        <v>0</v>
      </c>
      <c r="AN18" s="173">
        <f t="shared" si="34"/>
        <v>0</v>
      </c>
      <c r="AO18" s="197">
        <f t="shared" si="35"/>
        <v>0</v>
      </c>
      <c r="AP18" s="199"/>
      <c r="AQ18" s="154">
        <f t="shared" si="14"/>
        <v>0</v>
      </c>
    </row>
    <row r="19" spans="2:43" ht="14.1" customHeight="1">
      <c r="B19" s="690" t="s">
        <v>69</v>
      </c>
      <c r="C19" s="146">
        <v>0</v>
      </c>
      <c r="D19" s="147">
        <f t="shared" ref="D19:N19" si="46">C19</f>
        <v>0</v>
      </c>
      <c r="E19" s="147">
        <f t="shared" si="46"/>
        <v>0</v>
      </c>
      <c r="F19" s="147">
        <f t="shared" si="46"/>
        <v>0</v>
      </c>
      <c r="G19" s="147">
        <f t="shared" si="46"/>
        <v>0</v>
      </c>
      <c r="H19" s="147">
        <f t="shared" si="46"/>
        <v>0</v>
      </c>
      <c r="I19" s="147">
        <f t="shared" si="46"/>
        <v>0</v>
      </c>
      <c r="J19" s="147">
        <f t="shared" si="46"/>
        <v>0</v>
      </c>
      <c r="K19" s="147">
        <f t="shared" si="46"/>
        <v>0</v>
      </c>
      <c r="L19" s="147">
        <f t="shared" si="46"/>
        <v>0</v>
      </c>
      <c r="M19" s="147">
        <f t="shared" si="46"/>
        <v>0</v>
      </c>
      <c r="N19" s="173">
        <f t="shared" si="46"/>
        <v>0</v>
      </c>
      <c r="O19" s="201">
        <f t="shared" si="28"/>
        <v>0</v>
      </c>
      <c r="P19" s="198"/>
      <c r="Q19" s="146">
        <f t="shared" si="37"/>
        <v>0</v>
      </c>
      <c r="R19" s="147">
        <f t="shared" ref="R19:AB19" si="47">Q19</f>
        <v>0</v>
      </c>
      <c r="S19" s="147">
        <f t="shared" si="47"/>
        <v>0</v>
      </c>
      <c r="T19" s="147">
        <f t="shared" si="47"/>
        <v>0</v>
      </c>
      <c r="U19" s="147">
        <f t="shared" si="47"/>
        <v>0</v>
      </c>
      <c r="V19" s="147">
        <f t="shared" si="47"/>
        <v>0</v>
      </c>
      <c r="W19" s="147">
        <f t="shared" si="47"/>
        <v>0</v>
      </c>
      <c r="X19" s="147">
        <f t="shared" si="47"/>
        <v>0</v>
      </c>
      <c r="Y19" s="147">
        <f t="shared" si="47"/>
        <v>0</v>
      </c>
      <c r="Z19" s="147">
        <f t="shared" si="47"/>
        <v>0</v>
      </c>
      <c r="AA19" s="147">
        <f t="shared" si="47"/>
        <v>0</v>
      </c>
      <c r="AB19" s="173">
        <f t="shared" si="47"/>
        <v>0</v>
      </c>
      <c r="AC19" s="201">
        <f t="shared" si="30"/>
        <v>0</v>
      </c>
      <c r="AD19" s="199"/>
      <c r="AE19" s="172">
        <f t="shared" si="39"/>
        <v>0</v>
      </c>
      <c r="AF19" s="147">
        <f t="shared" ref="AF19:AH20" si="48">AE19</f>
        <v>0</v>
      </c>
      <c r="AG19" s="147">
        <f t="shared" si="48"/>
        <v>0</v>
      </c>
      <c r="AH19" s="173">
        <f t="shared" si="48"/>
        <v>0</v>
      </c>
      <c r="AI19" s="197">
        <f t="shared" si="32"/>
        <v>0</v>
      </c>
      <c r="AJ19" s="198"/>
      <c r="AK19" s="172">
        <f t="shared" si="33"/>
        <v>0</v>
      </c>
      <c r="AL19" s="147">
        <f t="shared" ref="AL19:AN20" si="49">AK19</f>
        <v>0</v>
      </c>
      <c r="AM19" s="147">
        <f t="shared" si="49"/>
        <v>0</v>
      </c>
      <c r="AN19" s="173">
        <f t="shared" si="49"/>
        <v>0</v>
      </c>
      <c r="AO19" s="197">
        <f t="shared" si="35"/>
        <v>0</v>
      </c>
      <c r="AP19" s="198"/>
      <c r="AQ19" s="154">
        <f t="shared" si="14"/>
        <v>0</v>
      </c>
    </row>
    <row r="20" spans="2:43" ht="14.1" customHeight="1">
      <c r="B20" s="690" t="s">
        <v>70</v>
      </c>
      <c r="C20" s="146">
        <v>0</v>
      </c>
      <c r="D20" s="147">
        <f t="shared" ref="D20:N20" si="50">C20</f>
        <v>0</v>
      </c>
      <c r="E20" s="147">
        <f t="shared" si="50"/>
        <v>0</v>
      </c>
      <c r="F20" s="147">
        <f t="shared" si="50"/>
        <v>0</v>
      </c>
      <c r="G20" s="147">
        <f t="shared" si="50"/>
        <v>0</v>
      </c>
      <c r="H20" s="147">
        <f t="shared" si="50"/>
        <v>0</v>
      </c>
      <c r="I20" s="147">
        <f t="shared" si="50"/>
        <v>0</v>
      </c>
      <c r="J20" s="147">
        <f t="shared" si="50"/>
        <v>0</v>
      </c>
      <c r="K20" s="147">
        <f t="shared" si="50"/>
        <v>0</v>
      </c>
      <c r="L20" s="147">
        <f t="shared" si="50"/>
        <v>0</v>
      </c>
      <c r="M20" s="147">
        <f t="shared" si="50"/>
        <v>0</v>
      </c>
      <c r="N20" s="173">
        <f t="shared" si="50"/>
        <v>0</v>
      </c>
      <c r="O20" s="201">
        <f t="shared" si="28"/>
        <v>0</v>
      </c>
      <c r="P20" s="198"/>
      <c r="Q20" s="146">
        <f t="shared" si="37"/>
        <v>0</v>
      </c>
      <c r="R20" s="147">
        <f t="shared" ref="R20:AB20" si="51">Q20</f>
        <v>0</v>
      </c>
      <c r="S20" s="147">
        <f t="shared" si="51"/>
        <v>0</v>
      </c>
      <c r="T20" s="147">
        <f t="shared" si="51"/>
        <v>0</v>
      </c>
      <c r="U20" s="147">
        <f t="shared" si="51"/>
        <v>0</v>
      </c>
      <c r="V20" s="147">
        <f t="shared" si="51"/>
        <v>0</v>
      </c>
      <c r="W20" s="147">
        <f t="shared" si="51"/>
        <v>0</v>
      </c>
      <c r="X20" s="147">
        <f t="shared" si="51"/>
        <v>0</v>
      </c>
      <c r="Y20" s="147">
        <f t="shared" si="51"/>
        <v>0</v>
      </c>
      <c r="Z20" s="147">
        <f t="shared" si="51"/>
        <v>0</v>
      </c>
      <c r="AA20" s="147">
        <f t="shared" si="51"/>
        <v>0</v>
      </c>
      <c r="AB20" s="173">
        <f t="shared" si="51"/>
        <v>0</v>
      </c>
      <c r="AC20" s="201">
        <f t="shared" si="30"/>
        <v>0</v>
      </c>
      <c r="AD20" s="199"/>
      <c r="AE20" s="172">
        <f t="shared" si="39"/>
        <v>0</v>
      </c>
      <c r="AF20" s="147">
        <f t="shared" si="48"/>
        <v>0</v>
      </c>
      <c r="AG20" s="147">
        <f t="shared" si="48"/>
        <v>0</v>
      </c>
      <c r="AH20" s="173">
        <f t="shared" si="48"/>
        <v>0</v>
      </c>
      <c r="AI20" s="197">
        <f t="shared" si="32"/>
        <v>0</v>
      </c>
      <c r="AJ20" s="199"/>
      <c r="AK20" s="172">
        <f t="shared" si="33"/>
        <v>0</v>
      </c>
      <c r="AL20" s="147">
        <f t="shared" si="49"/>
        <v>0</v>
      </c>
      <c r="AM20" s="147">
        <f t="shared" si="49"/>
        <v>0</v>
      </c>
      <c r="AN20" s="173">
        <f t="shared" si="49"/>
        <v>0</v>
      </c>
      <c r="AO20" s="197">
        <f t="shared" si="35"/>
        <v>0</v>
      </c>
      <c r="AP20" s="199"/>
      <c r="AQ20" s="154">
        <f t="shared" si="14"/>
        <v>0</v>
      </c>
    </row>
    <row r="21" spans="2:43" ht="14.1" customHeight="1">
      <c r="B21" s="690" t="s">
        <v>71</v>
      </c>
      <c r="C21" s="207"/>
      <c r="D21" s="205"/>
      <c r="E21" s="205"/>
      <c r="F21" s="205"/>
      <c r="G21" s="205"/>
      <c r="H21" s="205"/>
      <c r="I21" s="205"/>
      <c r="J21" s="205"/>
      <c r="K21" s="205"/>
      <c r="L21" s="205"/>
      <c r="M21" s="205"/>
      <c r="N21" s="206"/>
      <c r="O21" s="201"/>
      <c r="P21" s="198"/>
      <c r="Q21" s="207"/>
      <c r="R21" s="205"/>
      <c r="S21" s="205"/>
      <c r="T21" s="205"/>
      <c r="U21" s="205"/>
      <c r="V21" s="205"/>
      <c r="W21" s="205"/>
      <c r="X21" s="205"/>
      <c r="Y21" s="205"/>
      <c r="Z21" s="205"/>
      <c r="AA21" s="205"/>
      <c r="AB21" s="206"/>
      <c r="AC21" s="201"/>
      <c r="AD21" s="199"/>
      <c r="AE21" s="208"/>
      <c r="AF21" s="205"/>
      <c r="AG21" s="205"/>
      <c r="AH21" s="206"/>
      <c r="AI21" s="201"/>
      <c r="AJ21" s="198"/>
      <c r="AK21" s="208"/>
      <c r="AL21" s="205"/>
      <c r="AM21" s="205"/>
      <c r="AN21" s="206"/>
      <c r="AO21" s="201"/>
      <c r="AP21" s="198"/>
      <c r="AQ21" s="209"/>
    </row>
    <row r="22" spans="2:43" ht="14.1" customHeight="1">
      <c r="B22" s="56" t="s">
        <v>88</v>
      </c>
      <c r="C22" s="146">
        <v>0</v>
      </c>
      <c r="D22" s="147">
        <f t="shared" ref="D22:N22" si="52">C22</f>
        <v>0</v>
      </c>
      <c r="E22" s="147">
        <f t="shared" si="52"/>
        <v>0</v>
      </c>
      <c r="F22" s="147">
        <f t="shared" si="52"/>
        <v>0</v>
      </c>
      <c r="G22" s="147">
        <f t="shared" si="52"/>
        <v>0</v>
      </c>
      <c r="H22" s="147">
        <f t="shared" si="52"/>
        <v>0</v>
      </c>
      <c r="I22" s="147">
        <f t="shared" si="52"/>
        <v>0</v>
      </c>
      <c r="J22" s="147">
        <f t="shared" si="52"/>
        <v>0</v>
      </c>
      <c r="K22" s="147">
        <f t="shared" si="52"/>
        <v>0</v>
      </c>
      <c r="L22" s="147">
        <f t="shared" si="52"/>
        <v>0</v>
      </c>
      <c r="M22" s="147">
        <f t="shared" si="52"/>
        <v>0</v>
      </c>
      <c r="N22" s="173">
        <f t="shared" si="52"/>
        <v>0</v>
      </c>
      <c r="O22" s="201">
        <f t="shared" si="28"/>
        <v>0</v>
      </c>
      <c r="P22" s="198"/>
      <c r="Q22" s="146">
        <f>N22</f>
        <v>0</v>
      </c>
      <c r="R22" s="147">
        <f t="shared" ref="R22:AB22" si="53">Q22</f>
        <v>0</v>
      </c>
      <c r="S22" s="147">
        <f t="shared" si="53"/>
        <v>0</v>
      </c>
      <c r="T22" s="147">
        <f t="shared" si="53"/>
        <v>0</v>
      </c>
      <c r="U22" s="147">
        <f t="shared" si="53"/>
        <v>0</v>
      </c>
      <c r="V22" s="147">
        <f t="shared" si="53"/>
        <v>0</v>
      </c>
      <c r="W22" s="147">
        <f t="shared" si="53"/>
        <v>0</v>
      </c>
      <c r="X22" s="147">
        <f t="shared" si="53"/>
        <v>0</v>
      </c>
      <c r="Y22" s="147">
        <f t="shared" si="53"/>
        <v>0</v>
      </c>
      <c r="Z22" s="147">
        <f t="shared" si="53"/>
        <v>0</v>
      </c>
      <c r="AA22" s="147">
        <f t="shared" si="53"/>
        <v>0</v>
      </c>
      <c r="AB22" s="173">
        <f t="shared" si="53"/>
        <v>0</v>
      </c>
      <c r="AC22" s="201">
        <f>SUM(Q22:AB22)</f>
        <v>0</v>
      </c>
      <c r="AD22" s="199"/>
      <c r="AE22" s="172">
        <f>AB22*3</f>
        <v>0</v>
      </c>
      <c r="AF22" s="147">
        <f t="shared" ref="AF22:AH23" si="54">AE22</f>
        <v>0</v>
      </c>
      <c r="AG22" s="147">
        <f t="shared" si="54"/>
        <v>0</v>
      </c>
      <c r="AH22" s="173">
        <f t="shared" si="54"/>
        <v>0</v>
      </c>
      <c r="AI22" s="197">
        <f>SUM(AE22:AH22)</f>
        <v>0</v>
      </c>
      <c r="AJ22" s="199"/>
      <c r="AK22" s="172">
        <f>AH22</f>
        <v>0</v>
      </c>
      <c r="AL22" s="147">
        <f t="shared" ref="AL22:AN23" si="55">AK22</f>
        <v>0</v>
      </c>
      <c r="AM22" s="147">
        <f t="shared" si="55"/>
        <v>0</v>
      </c>
      <c r="AN22" s="173">
        <f t="shared" si="55"/>
        <v>0</v>
      </c>
      <c r="AO22" s="197">
        <f>SUM(AK22:AN22)</f>
        <v>0</v>
      </c>
      <c r="AP22" s="199"/>
      <c r="AQ22" s="154">
        <f t="shared" si="14"/>
        <v>0</v>
      </c>
    </row>
    <row r="23" spans="2:43" ht="14.1" customHeight="1">
      <c r="B23" s="55" t="s">
        <v>72</v>
      </c>
      <c r="C23" s="146">
        <v>0</v>
      </c>
      <c r="D23" s="147">
        <f t="shared" ref="D23:N23" si="56">C23</f>
        <v>0</v>
      </c>
      <c r="E23" s="147">
        <f t="shared" si="56"/>
        <v>0</v>
      </c>
      <c r="F23" s="147">
        <f t="shared" si="56"/>
        <v>0</v>
      </c>
      <c r="G23" s="147">
        <f t="shared" si="56"/>
        <v>0</v>
      </c>
      <c r="H23" s="147">
        <f t="shared" si="56"/>
        <v>0</v>
      </c>
      <c r="I23" s="147">
        <f t="shared" si="56"/>
        <v>0</v>
      </c>
      <c r="J23" s="147">
        <f t="shared" si="56"/>
        <v>0</v>
      </c>
      <c r="K23" s="147">
        <f t="shared" si="56"/>
        <v>0</v>
      </c>
      <c r="L23" s="147">
        <f t="shared" si="56"/>
        <v>0</v>
      </c>
      <c r="M23" s="147">
        <f t="shared" si="56"/>
        <v>0</v>
      </c>
      <c r="N23" s="173">
        <f t="shared" si="56"/>
        <v>0</v>
      </c>
      <c r="O23" s="201">
        <f>SUM(C23:N23)</f>
        <v>0</v>
      </c>
      <c r="P23" s="198"/>
      <c r="Q23" s="146">
        <f>N23</f>
        <v>0</v>
      </c>
      <c r="R23" s="147">
        <f t="shared" ref="R23:AB23" si="57">Q23</f>
        <v>0</v>
      </c>
      <c r="S23" s="147">
        <f t="shared" si="57"/>
        <v>0</v>
      </c>
      <c r="T23" s="147">
        <f t="shared" si="57"/>
        <v>0</v>
      </c>
      <c r="U23" s="147">
        <f t="shared" si="57"/>
        <v>0</v>
      </c>
      <c r="V23" s="147">
        <f t="shared" si="57"/>
        <v>0</v>
      </c>
      <c r="W23" s="147">
        <f t="shared" si="57"/>
        <v>0</v>
      </c>
      <c r="X23" s="147">
        <f t="shared" si="57"/>
        <v>0</v>
      </c>
      <c r="Y23" s="147">
        <f t="shared" si="57"/>
        <v>0</v>
      </c>
      <c r="Z23" s="147">
        <f t="shared" si="57"/>
        <v>0</v>
      </c>
      <c r="AA23" s="147">
        <f t="shared" si="57"/>
        <v>0</v>
      </c>
      <c r="AB23" s="173">
        <f t="shared" si="57"/>
        <v>0</v>
      </c>
      <c r="AC23" s="201">
        <f>SUM(Q23:AB23)</f>
        <v>0</v>
      </c>
      <c r="AD23" s="198"/>
      <c r="AE23" s="172">
        <f>AB23*3</f>
        <v>0</v>
      </c>
      <c r="AF23" s="147">
        <f t="shared" si="54"/>
        <v>0</v>
      </c>
      <c r="AG23" s="147">
        <f t="shared" si="54"/>
        <v>0</v>
      </c>
      <c r="AH23" s="173">
        <f t="shared" si="54"/>
        <v>0</v>
      </c>
      <c r="AI23" s="197">
        <f>SUM(AE23:AH23)</f>
        <v>0</v>
      </c>
      <c r="AJ23" s="198"/>
      <c r="AK23" s="172">
        <f>AH23</f>
        <v>0</v>
      </c>
      <c r="AL23" s="147">
        <f t="shared" si="55"/>
        <v>0</v>
      </c>
      <c r="AM23" s="147">
        <f t="shared" si="55"/>
        <v>0</v>
      </c>
      <c r="AN23" s="173">
        <f t="shared" si="55"/>
        <v>0</v>
      </c>
      <c r="AO23" s="197">
        <f>SUM(AK23:AN23)</f>
        <v>0</v>
      </c>
      <c r="AP23" s="198"/>
      <c r="AQ23" s="154">
        <f t="shared" si="14"/>
        <v>0</v>
      </c>
    </row>
    <row r="24" spans="2:43" ht="14.1" customHeight="1">
      <c r="B24" s="690" t="s">
        <v>73</v>
      </c>
      <c r="C24" s="202"/>
      <c r="D24" s="202"/>
      <c r="E24" s="202"/>
      <c r="F24" s="202"/>
      <c r="G24" s="202"/>
      <c r="H24" s="202"/>
      <c r="I24" s="202"/>
      <c r="J24" s="202"/>
      <c r="K24" s="202"/>
      <c r="L24" s="202"/>
      <c r="M24" s="202"/>
      <c r="N24" s="203"/>
      <c r="O24" s="197"/>
      <c r="P24" s="198"/>
      <c r="Q24" s="202"/>
      <c r="R24" s="202"/>
      <c r="S24" s="202"/>
      <c r="T24" s="202"/>
      <c r="U24" s="202"/>
      <c r="V24" s="202"/>
      <c r="W24" s="202"/>
      <c r="X24" s="202"/>
      <c r="Y24" s="202"/>
      <c r="Z24" s="202"/>
      <c r="AA24" s="202"/>
      <c r="AB24" s="203"/>
      <c r="AC24" s="197"/>
      <c r="AD24" s="199"/>
      <c r="AE24" s="204"/>
      <c r="AF24" s="202"/>
      <c r="AG24" s="202"/>
      <c r="AH24" s="203"/>
      <c r="AI24" s="197"/>
      <c r="AJ24" s="199"/>
      <c r="AK24" s="204"/>
      <c r="AL24" s="202"/>
      <c r="AM24" s="202"/>
      <c r="AN24" s="203"/>
      <c r="AO24" s="197"/>
      <c r="AP24" s="199"/>
      <c r="AQ24" s="197"/>
    </row>
    <row r="25" spans="2:43" ht="14.1" customHeight="1">
      <c r="B25" s="55" t="s">
        <v>74</v>
      </c>
      <c r="C25" s="146">
        <v>0</v>
      </c>
      <c r="D25" s="147">
        <f t="shared" ref="D25:N25" si="58">C25</f>
        <v>0</v>
      </c>
      <c r="E25" s="147">
        <f t="shared" si="58"/>
        <v>0</v>
      </c>
      <c r="F25" s="147">
        <f t="shared" si="58"/>
        <v>0</v>
      </c>
      <c r="G25" s="147">
        <f t="shared" si="58"/>
        <v>0</v>
      </c>
      <c r="H25" s="147">
        <f t="shared" si="58"/>
        <v>0</v>
      </c>
      <c r="I25" s="147">
        <f t="shared" si="58"/>
        <v>0</v>
      </c>
      <c r="J25" s="147">
        <f t="shared" si="58"/>
        <v>0</v>
      </c>
      <c r="K25" s="147">
        <f t="shared" si="58"/>
        <v>0</v>
      </c>
      <c r="L25" s="147">
        <f t="shared" si="58"/>
        <v>0</v>
      </c>
      <c r="M25" s="147">
        <f t="shared" si="58"/>
        <v>0</v>
      </c>
      <c r="N25" s="173">
        <f t="shared" si="58"/>
        <v>0</v>
      </c>
      <c r="O25" s="201">
        <f>SUM(C25:N25)</f>
        <v>0</v>
      </c>
      <c r="P25" s="198"/>
      <c r="Q25" s="146">
        <f>N25</f>
        <v>0</v>
      </c>
      <c r="R25" s="147">
        <f t="shared" ref="R25:AB25" si="59">Q25</f>
        <v>0</v>
      </c>
      <c r="S25" s="147">
        <f t="shared" si="59"/>
        <v>0</v>
      </c>
      <c r="T25" s="147">
        <f t="shared" si="59"/>
        <v>0</v>
      </c>
      <c r="U25" s="147">
        <f t="shared" si="59"/>
        <v>0</v>
      </c>
      <c r="V25" s="147">
        <f t="shared" si="59"/>
        <v>0</v>
      </c>
      <c r="W25" s="147">
        <f t="shared" si="59"/>
        <v>0</v>
      </c>
      <c r="X25" s="147">
        <f t="shared" si="59"/>
        <v>0</v>
      </c>
      <c r="Y25" s="147">
        <f t="shared" si="59"/>
        <v>0</v>
      </c>
      <c r="Z25" s="147">
        <f t="shared" si="59"/>
        <v>0</v>
      </c>
      <c r="AA25" s="147">
        <f t="shared" si="59"/>
        <v>0</v>
      </c>
      <c r="AB25" s="173">
        <f t="shared" si="59"/>
        <v>0</v>
      </c>
      <c r="AC25" s="201">
        <f>SUM(Q25:AB25)</f>
        <v>0</v>
      </c>
      <c r="AD25" s="199"/>
      <c r="AE25" s="172">
        <f>AB25*3</f>
        <v>0</v>
      </c>
      <c r="AF25" s="147">
        <f t="shared" ref="AF25:AH26" si="60">AE25</f>
        <v>0</v>
      </c>
      <c r="AG25" s="147">
        <f t="shared" si="60"/>
        <v>0</v>
      </c>
      <c r="AH25" s="173">
        <f t="shared" si="60"/>
        <v>0</v>
      </c>
      <c r="AI25" s="197">
        <f>SUM(AE25:AH25)</f>
        <v>0</v>
      </c>
      <c r="AJ25" s="199"/>
      <c r="AK25" s="172">
        <f>AH25</f>
        <v>0</v>
      </c>
      <c r="AL25" s="147">
        <f t="shared" ref="AL25:AN26" si="61">AK25</f>
        <v>0</v>
      </c>
      <c r="AM25" s="147">
        <f t="shared" si="61"/>
        <v>0</v>
      </c>
      <c r="AN25" s="173">
        <f t="shared" si="61"/>
        <v>0</v>
      </c>
      <c r="AO25" s="197">
        <f>SUM(AK25:AN25)</f>
        <v>0</v>
      </c>
      <c r="AP25" s="199"/>
      <c r="AQ25" s="154">
        <f t="shared" si="14"/>
        <v>0</v>
      </c>
    </row>
    <row r="26" spans="2:43" ht="14.1" customHeight="1">
      <c r="B26" s="56" t="s">
        <v>75</v>
      </c>
      <c r="C26" s="146">
        <v>0</v>
      </c>
      <c r="D26" s="147">
        <f t="shared" ref="D26:N26" si="62">C26</f>
        <v>0</v>
      </c>
      <c r="E26" s="147">
        <f t="shared" si="62"/>
        <v>0</v>
      </c>
      <c r="F26" s="147">
        <f t="shared" si="62"/>
        <v>0</v>
      </c>
      <c r="G26" s="147">
        <f t="shared" si="62"/>
        <v>0</v>
      </c>
      <c r="H26" s="147">
        <f t="shared" si="62"/>
        <v>0</v>
      </c>
      <c r="I26" s="147">
        <f t="shared" si="62"/>
        <v>0</v>
      </c>
      <c r="J26" s="147">
        <f t="shared" si="62"/>
        <v>0</v>
      </c>
      <c r="K26" s="147">
        <f t="shared" si="62"/>
        <v>0</v>
      </c>
      <c r="L26" s="147">
        <f t="shared" si="62"/>
        <v>0</v>
      </c>
      <c r="M26" s="147">
        <f t="shared" si="62"/>
        <v>0</v>
      </c>
      <c r="N26" s="173">
        <f t="shared" si="62"/>
        <v>0</v>
      </c>
      <c r="O26" s="201">
        <f>SUM(C26:N26)</f>
        <v>0</v>
      </c>
      <c r="P26" s="198"/>
      <c r="Q26" s="146">
        <f>N26</f>
        <v>0</v>
      </c>
      <c r="R26" s="147">
        <f t="shared" ref="R26:AB26" si="63">Q26</f>
        <v>0</v>
      </c>
      <c r="S26" s="147">
        <f t="shared" si="63"/>
        <v>0</v>
      </c>
      <c r="T26" s="147">
        <f t="shared" si="63"/>
        <v>0</v>
      </c>
      <c r="U26" s="147">
        <f t="shared" si="63"/>
        <v>0</v>
      </c>
      <c r="V26" s="147">
        <f t="shared" si="63"/>
        <v>0</v>
      </c>
      <c r="W26" s="147">
        <f t="shared" si="63"/>
        <v>0</v>
      </c>
      <c r="X26" s="147">
        <f t="shared" si="63"/>
        <v>0</v>
      </c>
      <c r="Y26" s="147">
        <f t="shared" si="63"/>
        <v>0</v>
      </c>
      <c r="Z26" s="147">
        <f t="shared" si="63"/>
        <v>0</v>
      </c>
      <c r="AA26" s="147">
        <f t="shared" si="63"/>
        <v>0</v>
      </c>
      <c r="AB26" s="173">
        <f t="shared" si="63"/>
        <v>0</v>
      </c>
      <c r="AC26" s="201">
        <f>SUM(Q26:AB26)</f>
        <v>0</v>
      </c>
      <c r="AD26" s="199"/>
      <c r="AE26" s="172">
        <f>AB26*3</f>
        <v>0</v>
      </c>
      <c r="AF26" s="147">
        <f t="shared" si="60"/>
        <v>0</v>
      </c>
      <c r="AG26" s="147">
        <f t="shared" si="60"/>
        <v>0</v>
      </c>
      <c r="AH26" s="173">
        <f t="shared" si="60"/>
        <v>0</v>
      </c>
      <c r="AI26" s="197">
        <f>SUM(AE26:AH26)</f>
        <v>0</v>
      </c>
      <c r="AJ26" s="199"/>
      <c r="AK26" s="172">
        <f>AH26</f>
        <v>0</v>
      </c>
      <c r="AL26" s="147">
        <f t="shared" si="61"/>
        <v>0</v>
      </c>
      <c r="AM26" s="147">
        <f t="shared" si="61"/>
        <v>0</v>
      </c>
      <c r="AN26" s="173">
        <f t="shared" si="61"/>
        <v>0</v>
      </c>
      <c r="AO26" s="197">
        <f>SUM(AK26:AN26)</f>
        <v>0</v>
      </c>
      <c r="AP26" s="199"/>
      <c r="AQ26" s="154">
        <f t="shared" si="14"/>
        <v>0</v>
      </c>
    </row>
    <row r="27" spans="2:43" ht="14.1" customHeight="1">
      <c r="B27" s="56" t="s">
        <v>76</v>
      </c>
      <c r="C27" s="146">
        <v>0</v>
      </c>
      <c r="D27" s="147">
        <f t="shared" ref="D27:N27" si="64">C27</f>
        <v>0</v>
      </c>
      <c r="E27" s="147">
        <f t="shared" si="64"/>
        <v>0</v>
      </c>
      <c r="F27" s="147">
        <f t="shared" si="64"/>
        <v>0</v>
      </c>
      <c r="G27" s="147">
        <f t="shared" si="64"/>
        <v>0</v>
      </c>
      <c r="H27" s="147">
        <f t="shared" si="64"/>
        <v>0</v>
      </c>
      <c r="I27" s="147">
        <f t="shared" si="64"/>
        <v>0</v>
      </c>
      <c r="J27" s="147">
        <f t="shared" si="64"/>
        <v>0</v>
      </c>
      <c r="K27" s="147">
        <f t="shared" si="64"/>
        <v>0</v>
      </c>
      <c r="L27" s="147">
        <f t="shared" si="64"/>
        <v>0</v>
      </c>
      <c r="M27" s="147">
        <f t="shared" si="64"/>
        <v>0</v>
      </c>
      <c r="N27" s="173">
        <f t="shared" si="64"/>
        <v>0</v>
      </c>
      <c r="O27" s="201">
        <f>SUM(C27:N27)</f>
        <v>0</v>
      </c>
      <c r="P27" s="198"/>
      <c r="Q27" s="146">
        <f>N27</f>
        <v>0</v>
      </c>
      <c r="R27" s="147">
        <f t="shared" ref="R27:AB27" si="65">Q27</f>
        <v>0</v>
      </c>
      <c r="S27" s="147">
        <f t="shared" si="65"/>
        <v>0</v>
      </c>
      <c r="T27" s="147">
        <f t="shared" si="65"/>
        <v>0</v>
      </c>
      <c r="U27" s="147">
        <f t="shared" si="65"/>
        <v>0</v>
      </c>
      <c r="V27" s="147">
        <f t="shared" si="65"/>
        <v>0</v>
      </c>
      <c r="W27" s="147">
        <f t="shared" si="65"/>
        <v>0</v>
      </c>
      <c r="X27" s="147">
        <f t="shared" si="65"/>
        <v>0</v>
      </c>
      <c r="Y27" s="147">
        <f t="shared" si="65"/>
        <v>0</v>
      </c>
      <c r="Z27" s="147">
        <f t="shared" si="65"/>
        <v>0</v>
      </c>
      <c r="AA27" s="147">
        <f t="shared" si="65"/>
        <v>0</v>
      </c>
      <c r="AB27" s="173">
        <f t="shared" si="65"/>
        <v>0</v>
      </c>
      <c r="AC27" s="201">
        <f>SUM(Q27:AB27)</f>
        <v>0</v>
      </c>
      <c r="AD27" s="199"/>
      <c r="AE27" s="172">
        <f>AB27*3</f>
        <v>0</v>
      </c>
      <c r="AF27" s="147">
        <f t="shared" ref="AF27:AH28" si="66">AE27</f>
        <v>0</v>
      </c>
      <c r="AG27" s="147">
        <f t="shared" si="66"/>
        <v>0</v>
      </c>
      <c r="AH27" s="173">
        <f t="shared" si="66"/>
        <v>0</v>
      </c>
      <c r="AI27" s="197">
        <f>SUM(AE27:AH27)</f>
        <v>0</v>
      </c>
      <c r="AJ27" s="199"/>
      <c r="AK27" s="172">
        <f>AH27</f>
        <v>0</v>
      </c>
      <c r="AL27" s="147">
        <f t="shared" ref="AL27:AN28" si="67">AK27</f>
        <v>0</v>
      </c>
      <c r="AM27" s="147">
        <f t="shared" si="67"/>
        <v>0</v>
      </c>
      <c r="AN27" s="173">
        <f t="shared" si="67"/>
        <v>0</v>
      </c>
      <c r="AO27" s="197">
        <f>SUM(AK27:AN27)</f>
        <v>0</v>
      </c>
      <c r="AP27" s="199"/>
      <c r="AQ27" s="154">
        <f t="shared" si="14"/>
        <v>0</v>
      </c>
    </row>
    <row r="28" spans="2:43" ht="14.1" customHeight="1">
      <c r="B28" s="690" t="s">
        <v>89</v>
      </c>
      <c r="C28" s="146">
        <v>0</v>
      </c>
      <c r="D28" s="147">
        <f t="shared" ref="D28:N28" si="68">C28</f>
        <v>0</v>
      </c>
      <c r="E28" s="147">
        <f t="shared" si="68"/>
        <v>0</v>
      </c>
      <c r="F28" s="147">
        <f t="shared" si="68"/>
        <v>0</v>
      </c>
      <c r="G28" s="147">
        <f t="shared" si="68"/>
        <v>0</v>
      </c>
      <c r="H28" s="147">
        <f t="shared" si="68"/>
        <v>0</v>
      </c>
      <c r="I28" s="147">
        <f t="shared" si="68"/>
        <v>0</v>
      </c>
      <c r="J28" s="147">
        <f t="shared" si="68"/>
        <v>0</v>
      </c>
      <c r="K28" s="147">
        <f t="shared" si="68"/>
        <v>0</v>
      </c>
      <c r="L28" s="147">
        <f t="shared" si="68"/>
        <v>0</v>
      </c>
      <c r="M28" s="147">
        <f t="shared" si="68"/>
        <v>0</v>
      </c>
      <c r="N28" s="173">
        <f t="shared" si="68"/>
        <v>0</v>
      </c>
      <c r="O28" s="201">
        <f>SUM(C28:N28)</f>
        <v>0</v>
      </c>
      <c r="P28" s="198"/>
      <c r="Q28" s="146">
        <f>N28</f>
        <v>0</v>
      </c>
      <c r="R28" s="147">
        <f t="shared" ref="R28:AB28" si="69">Q28</f>
        <v>0</v>
      </c>
      <c r="S28" s="147">
        <f t="shared" si="69"/>
        <v>0</v>
      </c>
      <c r="T28" s="147">
        <f t="shared" si="69"/>
        <v>0</v>
      </c>
      <c r="U28" s="147">
        <f t="shared" si="69"/>
        <v>0</v>
      </c>
      <c r="V28" s="147">
        <f t="shared" si="69"/>
        <v>0</v>
      </c>
      <c r="W28" s="147">
        <f t="shared" si="69"/>
        <v>0</v>
      </c>
      <c r="X28" s="147">
        <f t="shared" si="69"/>
        <v>0</v>
      </c>
      <c r="Y28" s="147">
        <f t="shared" si="69"/>
        <v>0</v>
      </c>
      <c r="Z28" s="147">
        <f t="shared" si="69"/>
        <v>0</v>
      </c>
      <c r="AA28" s="147">
        <f t="shared" si="69"/>
        <v>0</v>
      </c>
      <c r="AB28" s="173">
        <f t="shared" si="69"/>
        <v>0</v>
      </c>
      <c r="AC28" s="201">
        <f>SUM(Q28:AB28)</f>
        <v>0</v>
      </c>
      <c r="AD28" s="198"/>
      <c r="AE28" s="172">
        <f>AB28*3</f>
        <v>0</v>
      </c>
      <c r="AF28" s="147">
        <f t="shared" si="66"/>
        <v>0</v>
      </c>
      <c r="AG28" s="147">
        <f t="shared" si="66"/>
        <v>0</v>
      </c>
      <c r="AH28" s="173">
        <f t="shared" si="66"/>
        <v>0</v>
      </c>
      <c r="AI28" s="197">
        <f>SUM(AE28:AH28)</f>
        <v>0</v>
      </c>
      <c r="AJ28" s="198"/>
      <c r="AK28" s="172">
        <f>AH28</f>
        <v>0</v>
      </c>
      <c r="AL28" s="147">
        <f t="shared" si="67"/>
        <v>0</v>
      </c>
      <c r="AM28" s="147">
        <f t="shared" si="67"/>
        <v>0</v>
      </c>
      <c r="AN28" s="173">
        <f t="shared" si="67"/>
        <v>0</v>
      </c>
      <c r="AO28" s="197">
        <f>SUM(AK28:AN28)</f>
        <v>0</v>
      </c>
      <c r="AP28" s="198"/>
      <c r="AQ28" s="154">
        <f t="shared" si="14"/>
        <v>0</v>
      </c>
    </row>
    <row r="29" spans="2:43" ht="14.1" customHeight="1">
      <c r="B29" s="690" t="s">
        <v>77</v>
      </c>
      <c r="C29" s="202"/>
      <c r="D29" s="202"/>
      <c r="E29" s="202"/>
      <c r="F29" s="202"/>
      <c r="G29" s="202"/>
      <c r="H29" s="202"/>
      <c r="I29" s="202"/>
      <c r="J29" s="202"/>
      <c r="K29" s="202"/>
      <c r="L29" s="202"/>
      <c r="M29" s="202"/>
      <c r="N29" s="203"/>
      <c r="O29" s="197"/>
      <c r="P29" s="198"/>
      <c r="Q29" s="202"/>
      <c r="R29" s="202"/>
      <c r="S29" s="202"/>
      <c r="T29" s="202"/>
      <c r="U29" s="202"/>
      <c r="V29" s="202"/>
      <c r="W29" s="202"/>
      <c r="X29" s="202"/>
      <c r="Y29" s="202"/>
      <c r="Z29" s="202"/>
      <c r="AA29" s="202"/>
      <c r="AB29" s="203"/>
      <c r="AC29" s="197"/>
      <c r="AD29" s="199"/>
      <c r="AE29" s="204"/>
      <c r="AF29" s="202"/>
      <c r="AG29" s="202"/>
      <c r="AH29" s="203"/>
      <c r="AI29" s="197"/>
      <c r="AJ29" s="199"/>
      <c r="AK29" s="204"/>
      <c r="AL29" s="202"/>
      <c r="AM29" s="202"/>
      <c r="AN29" s="203"/>
      <c r="AO29" s="197"/>
      <c r="AP29" s="199"/>
      <c r="AQ29" s="197"/>
    </row>
    <row r="30" spans="2:43" ht="14.1" customHeight="1">
      <c r="B30" s="55" t="s">
        <v>90</v>
      </c>
      <c r="C30" s="146">
        <v>0</v>
      </c>
      <c r="D30" s="147">
        <f t="shared" ref="D30:N30" si="70">C30</f>
        <v>0</v>
      </c>
      <c r="E30" s="147">
        <f t="shared" si="70"/>
        <v>0</v>
      </c>
      <c r="F30" s="147">
        <f t="shared" si="70"/>
        <v>0</v>
      </c>
      <c r="G30" s="147">
        <f t="shared" si="70"/>
        <v>0</v>
      </c>
      <c r="H30" s="147">
        <f t="shared" si="70"/>
        <v>0</v>
      </c>
      <c r="I30" s="147">
        <f t="shared" si="70"/>
        <v>0</v>
      </c>
      <c r="J30" s="147">
        <f t="shared" si="70"/>
        <v>0</v>
      </c>
      <c r="K30" s="147">
        <f t="shared" si="70"/>
        <v>0</v>
      </c>
      <c r="L30" s="147">
        <f t="shared" si="70"/>
        <v>0</v>
      </c>
      <c r="M30" s="147">
        <f t="shared" si="70"/>
        <v>0</v>
      </c>
      <c r="N30" s="173">
        <f t="shared" si="70"/>
        <v>0</v>
      </c>
      <c r="O30" s="201">
        <f>SUM(C30:N30)</f>
        <v>0</v>
      </c>
      <c r="P30" s="198"/>
      <c r="Q30" s="146">
        <f>N30</f>
        <v>0</v>
      </c>
      <c r="R30" s="147">
        <f t="shared" ref="R30:AB30" si="71">Q30</f>
        <v>0</v>
      </c>
      <c r="S30" s="147">
        <f t="shared" si="71"/>
        <v>0</v>
      </c>
      <c r="T30" s="147">
        <f t="shared" si="71"/>
        <v>0</v>
      </c>
      <c r="U30" s="147">
        <f t="shared" si="71"/>
        <v>0</v>
      </c>
      <c r="V30" s="147">
        <f t="shared" si="71"/>
        <v>0</v>
      </c>
      <c r="W30" s="147">
        <f t="shared" si="71"/>
        <v>0</v>
      </c>
      <c r="X30" s="147">
        <f t="shared" si="71"/>
        <v>0</v>
      </c>
      <c r="Y30" s="147">
        <f t="shared" si="71"/>
        <v>0</v>
      </c>
      <c r="Z30" s="147">
        <f t="shared" si="71"/>
        <v>0</v>
      </c>
      <c r="AA30" s="147">
        <f t="shared" si="71"/>
        <v>0</v>
      </c>
      <c r="AB30" s="173">
        <f t="shared" si="71"/>
        <v>0</v>
      </c>
      <c r="AC30" s="201">
        <f>SUM(Q30:AB30)</f>
        <v>0</v>
      </c>
      <c r="AD30" s="199"/>
      <c r="AE30" s="172">
        <f>AB30*3</f>
        <v>0</v>
      </c>
      <c r="AF30" s="147">
        <f t="shared" ref="AF30:AH32" si="72">AE30</f>
        <v>0</v>
      </c>
      <c r="AG30" s="147">
        <f t="shared" si="72"/>
        <v>0</v>
      </c>
      <c r="AH30" s="173">
        <f t="shared" si="72"/>
        <v>0</v>
      </c>
      <c r="AI30" s="197">
        <f>SUM(AE30:AH30)</f>
        <v>0</v>
      </c>
      <c r="AJ30" s="199"/>
      <c r="AK30" s="172">
        <f>AH30</f>
        <v>0</v>
      </c>
      <c r="AL30" s="147">
        <f t="shared" ref="AL30:AN32" si="73">AK30</f>
        <v>0</v>
      </c>
      <c r="AM30" s="147">
        <f t="shared" si="73"/>
        <v>0</v>
      </c>
      <c r="AN30" s="173">
        <f t="shared" si="73"/>
        <v>0</v>
      </c>
      <c r="AO30" s="197">
        <f>SUM(AK30:AN30)</f>
        <v>0</v>
      </c>
      <c r="AP30" s="199"/>
      <c r="AQ30" s="154">
        <f t="shared" si="14"/>
        <v>0</v>
      </c>
    </row>
    <row r="31" spans="2:43" ht="14.1" customHeight="1">
      <c r="B31" s="56" t="s">
        <v>45</v>
      </c>
      <c r="C31" s="146">
        <v>0</v>
      </c>
      <c r="D31" s="147">
        <f t="shared" ref="D31:N31" si="74">C31</f>
        <v>0</v>
      </c>
      <c r="E31" s="147">
        <f t="shared" si="74"/>
        <v>0</v>
      </c>
      <c r="F31" s="147">
        <f t="shared" si="74"/>
        <v>0</v>
      </c>
      <c r="G31" s="147">
        <f t="shared" si="74"/>
        <v>0</v>
      </c>
      <c r="H31" s="147">
        <f t="shared" si="74"/>
        <v>0</v>
      </c>
      <c r="I31" s="147">
        <f t="shared" si="74"/>
        <v>0</v>
      </c>
      <c r="J31" s="147">
        <f t="shared" si="74"/>
        <v>0</v>
      </c>
      <c r="K31" s="147">
        <f t="shared" si="74"/>
        <v>0</v>
      </c>
      <c r="L31" s="147">
        <f t="shared" si="74"/>
        <v>0</v>
      </c>
      <c r="M31" s="147">
        <f t="shared" si="74"/>
        <v>0</v>
      </c>
      <c r="N31" s="173">
        <f t="shared" si="74"/>
        <v>0</v>
      </c>
      <c r="O31" s="201">
        <f>SUM(C31:N31)</f>
        <v>0</v>
      </c>
      <c r="P31" s="198"/>
      <c r="Q31" s="146">
        <f>N31</f>
        <v>0</v>
      </c>
      <c r="R31" s="147">
        <f t="shared" ref="R31:AB31" si="75">Q31</f>
        <v>0</v>
      </c>
      <c r="S31" s="147">
        <f t="shared" si="75"/>
        <v>0</v>
      </c>
      <c r="T31" s="147">
        <f t="shared" si="75"/>
        <v>0</v>
      </c>
      <c r="U31" s="147">
        <f t="shared" si="75"/>
        <v>0</v>
      </c>
      <c r="V31" s="147">
        <f t="shared" si="75"/>
        <v>0</v>
      </c>
      <c r="W31" s="147">
        <f t="shared" si="75"/>
        <v>0</v>
      </c>
      <c r="X31" s="147">
        <f t="shared" si="75"/>
        <v>0</v>
      </c>
      <c r="Y31" s="147">
        <f t="shared" si="75"/>
        <v>0</v>
      </c>
      <c r="Z31" s="147">
        <f t="shared" si="75"/>
        <v>0</v>
      </c>
      <c r="AA31" s="147">
        <f t="shared" si="75"/>
        <v>0</v>
      </c>
      <c r="AB31" s="173">
        <f t="shared" si="75"/>
        <v>0</v>
      </c>
      <c r="AC31" s="201">
        <f>SUM(Q31:AB31)</f>
        <v>0</v>
      </c>
      <c r="AD31" s="199"/>
      <c r="AE31" s="172">
        <f>AB31*3</f>
        <v>0</v>
      </c>
      <c r="AF31" s="147">
        <f t="shared" si="72"/>
        <v>0</v>
      </c>
      <c r="AG31" s="147">
        <f t="shared" si="72"/>
        <v>0</v>
      </c>
      <c r="AH31" s="173">
        <f t="shared" si="72"/>
        <v>0</v>
      </c>
      <c r="AI31" s="197">
        <f>SUM(AE31:AH31)</f>
        <v>0</v>
      </c>
      <c r="AJ31" s="198"/>
      <c r="AK31" s="172">
        <f>AH31</f>
        <v>0</v>
      </c>
      <c r="AL31" s="147">
        <f t="shared" si="73"/>
        <v>0</v>
      </c>
      <c r="AM31" s="147">
        <f t="shared" si="73"/>
        <v>0</v>
      </c>
      <c r="AN31" s="173">
        <f t="shared" si="73"/>
        <v>0</v>
      </c>
      <c r="AO31" s="197">
        <f>SUM(AK31:AN31)</f>
        <v>0</v>
      </c>
      <c r="AP31" s="198"/>
      <c r="AQ31" s="154">
        <f t="shared" si="14"/>
        <v>0</v>
      </c>
    </row>
    <row r="32" spans="2:43" ht="14.1" customHeight="1" thickBot="1">
      <c r="B32" s="690" t="s">
        <v>28</v>
      </c>
      <c r="C32" s="146">
        <v>0</v>
      </c>
      <c r="D32" s="147">
        <f t="shared" ref="D32:N32" si="76">C32</f>
        <v>0</v>
      </c>
      <c r="E32" s="147">
        <f t="shared" si="76"/>
        <v>0</v>
      </c>
      <c r="F32" s="147">
        <f t="shared" si="76"/>
        <v>0</v>
      </c>
      <c r="G32" s="147">
        <f t="shared" si="76"/>
        <v>0</v>
      </c>
      <c r="H32" s="147">
        <f t="shared" si="76"/>
        <v>0</v>
      </c>
      <c r="I32" s="147">
        <f t="shared" si="76"/>
        <v>0</v>
      </c>
      <c r="J32" s="147">
        <f t="shared" si="76"/>
        <v>0</v>
      </c>
      <c r="K32" s="147">
        <f t="shared" si="76"/>
        <v>0</v>
      </c>
      <c r="L32" s="147">
        <f t="shared" si="76"/>
        <v>0</v>
      </c>
      <c r="M32" s="147">
        <f t="shared" si="76"/>
        <v>0</v>
      </c>
      <c r="N32" s="173">
        <f t="shared" si="76"/>
        <v>0</v>
      </c>
      <c r="O32" s="201">
        <f>SUM(C32:N32)</f>
        <v>0</v>
      </c>
      <c r="P32" s="198"/>
      <c r="Q32" s="146">
        <f>N32</f>
        <v>0</v>
      </c>
      <c r="R32" s="147">
        <f t="shared" ref="R32:AB32" si="77">Q32</f>
        <v>0</v>
      </c>
      <c r="S32" s="147">
        <f t="shared" si="77"/>
        <v>0</v>
      </c>
      <c r="T32" s="147">
        <f t="shared" si="77"/>
        <v>0</v>
      </c>
      <c r="U32" s="147">
        <f t="shared" si="77"/>
        <v>0</v>
      </c>
      <c r="V32" s="147">
        <f t="shared" si="77"/>
        <v>0</v>
      </c>
      <c r="W32" s="147">
        <f t="shared" si="77"/>
        <v>0</v>
      </c>
      <c r="X32" s="147">
        <f t="shared" si="77"/>
        <v>0</v>
      </c>
      <c r="Y32" s="147">
        <f t="shared" si="77"/>
        <v>0</v>
      </c>
      <c r="Z32" s="147">
        <f t="shared" si="77"/>
        <v>0</v>
      </c>
      <c r="AA32" s="147">
        <f t="shared" si="77"/>
        <v>0</v>
      </c>
      <c r="AB32" s="173">
        <f t="shared" si="77"/>
        <v>0</v>
      </c>
      <c r="AC32" s="201">
        <f>SUM(Q32:AB32)</f>
        <v>0</v>
      </c>
      <c r="AD32" s="199"/>
      <c r="AE32" s="172">
        <f>AB32*3</f>
        <v>0</v>
      </c>
      <c r="AF32" s="147">
        <f t="shared" si="72"/>
        <v>0</v>
      </c>
      <c r="AG32" s="147">
        <f t="shared" si="72"/>
        <v>0</v>
      </c>
      <c r="AH32" s="173">
        <f t="shared" si="72"/>
        <v>0</v>
      </c>
      <c r="AI32" s="201">
        <f>SUM(AE32:AH32)</f>
        <v>0</v>
      </c>
      <c r="AJ32" s="199"/>
      <c r="AK32" s="172">
        <f>AH32</f>
        <v>0</v>
      </c>
      <c r="AL32" s="147">
        <f t="shared" si="73"/>
        <v>0</v>
      </c>
      <c r="AM32" s="147">
        <f t="shared" si="73"/>
        <v>0</v>
      </c>
      <c r="AN32" s="173">
        <f t="shared" si="73"/>
        <v>0</v>
      </c>
      <c r="AO32" s="201">
        <f>SUM(AK32:AN32)</f>
        <v>0</v>
      </c>
      <c r="AP32" s="199"/>
      <c r="AQ32" s="154">
        <f t="shared" si="14"/>
        <v>0</v>
      </c>
    </row>
    <row r="33" spans="2:43" ht="14.1" customHeight="1" thickBot="1">
      <c r="B33" s="691" t="s">
        <v>29</v>
      </c>
      <c r="C33" s="166">
        <f t="shared" ref="C33:O33" si="78">SUM(C5:C32)</f>
        <v>0</v>
      </c>
      <c r="D33" s="166">
        <f t="shared" si="78"/>
        <v>0</v>
      </c>
      <c r="E33" s="166">
        <f t="shared" si="78"/>
        <v>0</v>
      </c>
      <c r="F33" s="166">
        <f t="shared" si="78"/>
        <v>0</v>
      </c>
      <c r="G33" s="166">
        <f t="shared" si="78"/>
        <v>0</v>
      </c>
      <c r="H33" s="166">
        <f t="shared" si="78"/>
        <v>0</v>
      </c>
      <c r="I33" s="166">
        <f t="shared" si="78"/>
        <v>0</v>
      </c>
      <c r="J33" s="166">
        <f t="shared" si="78"/>
        <v>0</v>
      </c>
      <c r="K33" s="166">
        <f t="shared" si="78"/>
        <v>0</v>
      </c>
      <c r="L33" s="166">
        <f t="shared" si="78"/>
        <v>0</v>
      </c>
      <c r="M33" s="166">
        <f t="shared" si="78"/>
        <v>0</v>
      </c>
      <c r="N33" s="194">
        <f t="shared" si="78"/>
        <v>0</v>
      </c>
      <c r="O33" s="167">
        <f t="shared" si="78"/>
        <v>0</v>
      </c>
      <c r="P33" s="168"/>
      <c r="Q33" s="166">
        <f t="shared" ref="Q33:AC33" si="79">SUM(Q5:Q32)</f>
        <v>0</v>
      </c>
      <c r="R33" s="166">
        <f t="shared" si="79"/>
        <v>0</v>
      </c>
      <c r="S33" s="166">
        <f t="shared" si="79"/>
        <v>0</v>
      </c>
      <c r="T33" s="166">
        <f t="shared" si="79"/>
        <v>0</v>
      </c>
      <c r="U33" s="166">
        <f t="shared" si="79"/>
        <v>0</v>
      </c>
      <c r="V33" s="166">
        <f t="shared" si="79"/>
        <v>0</v>
      </c>
      <c r="W33" s="166">
        <f t="shared" si="79"/>
        <v>0</v>
      </c>
      <c r="X33" s="166">
        <f t="shared" si="79"/>
        <v>0</v>
      </c>
      <c r="Y33" s="166">
        <f t="shared" si="79"/>
        <v>0</v>
      </c>
      <c r="Z33" s="166">
        <f t="shared" si="79"/>
        <v>0</v>
      </c>
      <c r="AA33" s="166">
        <f t="shared" si="79"/>
        <v>0</v>
      </c>
      <c r="AB33" s="194">
        <f t="shared" si="79"/>
        <v>0</v>
      </c>
      <c r="AC33" s="167">
        <f t="shared" si="79"/>
        <v>0</v>
      </c>
      <c r="AD33" s="210"/>
      <c r="AE33" s="196">
        <f>SUM(AE5:AE32)</f>
        <v>0</v>
      </c>
      <c r="AF33" s="166">
        <f>SUM(AF5:AF32)</f>
        <v>0</v>
      </c>
      <c r="AG33" s="166">
        <f>SUM(AG5:AG32)</f>
        <v>0</v>
      </c>
      <c r="AH33" s="194">
        <f>SUM(AH5:AH32)</f>
        <v>0</v>
      </c>
      <c r="AI33" s="167">
        <f>SUM(AE33:AH33)</f>
        <v>0</v>
      </c>
      <c r="AJ33" s="210"/>
      <c r="AK33" s="196">
        <f>SUM(AK5:AK32)</f>
        <v>0</v>
      </c>
      <c r="AL33" s="166">
        <f>SUM(AL5:AL32)</f>
        <v>0</v>
      </c>
      <c r="AM33" s="166">
        <f>SUM(AM5:AM32)</f>
        <v>0</v>
      </c>
      <c r="AN33" s="194">
        <f>SUM(AN5:AN32)</f>
        <v>0</v>
      </c>
      <c r="AO33" s="167">
        <f>SUM(AK33:AN33)</f>
        <v>0</v>
      </c>
      <c r="AP33" s="210"/>
      <c r="AQ33" s="167">
        <f>SUM(AQ5:AQ32)</f>
        <v>0</v>
      </c>
    </row>
  </sheetData>
  <sheetProtection sheet="1" objects="1" scenarios="1"/>
  <phoneticPr fontId="3" type="noConversion"/>
  <printOptions horizontalCentered="1"/>
  <pageMargins left="0.75" right="0.75" top="1.25" bottom="0.75" header="0.5" footer="0.5"/>
  <pageSetup scale="69" orientation="landscape" horizontalDpi="4294967294" verticalDpi="4294967292" r:id="rId1"/>
  <headerFooter alignWithMargins="0">
    <oddHeader>&amp;CMarketing Budget</oddHeader>
    <oddFooter>Page &amp;P of &amp;N</oddFooter>
  </headerFooter>
  <colBreaks count="1" manualBreakCount="1">
    <brk id="15" max="1048575" man="1"/>
  </colBreaks>
  <legacyDrawing r:id="rId2"/>
</worksheet>
</file>

<file path=xl/worksheets/sheet13.xml><?xml version="1.0" encoding="utf-8"?>
<worksheet xmlns="http://schemas.openxmlformats.org/spreadsheetml/2006/main" xmlns:r="http://schemas.openxmlformats.org/officeDocument/2006/relationships">
  <sheetPr codeName="Sheet2">
    <pageSetUpPr autoPageBreaks="0"/>
  </sheetPr>
  <dimension ref="A1:G15"/>
  <sheetViews>
    <sheetView showGridLines="0" showOutlineSymbols="0" workbookViewId="0">
      <selection activeCell="C6" sqref="C6"/>
    </sheetView>
  </sheetViews>
  <sheetFormatPr defaultRowHeight="12.75"/>
  <cols>
    <col min="1" max="1" width="1.7109375" customWidth="1"/>
    <col min="2" max="2" width="30.28515625" customWidth="1"/>
    <col min="3" max="7" width="10.7109375" customWidth="1"/>
  </cols>
  <sheetData>
    <row r="1" spans="1:7" ht="9.75" customHeight="1">
      <c r="A1" s="4"/>
      <c r="B1" s="4"/>
      <c r="C1" s="4"/>
      <c r="D1" s="4"/>
      <c r="E1" s="4"/>
      <c r="F1" s="4"/>
      <c r="G1" s="4"/>
    </row>
    <row r="2" spans="1:7" ht="24.75" customHeight="1">
      <c r="A2" s="2"/>
      <c r="B2" s="26" t="s">
        <v>155</v>
      </c>
      <c r="C2" s="97">
        <f>SalesProj!E2</f>
        <v>2008</v>
      </c>
      <c r="D2" s="97">
        <f>SalesProj!S2</f>
        <v>2009</v>
      </c>
      <c r="E2" s="97">
        <f>SalesProj!AG2</f>
        <v>2010</v>
      </c>
      <c r="F2" s="97">
        <f>SalesProj!AM2</f>
        <v>2011</v>
      </c>
      <c r="G2" s="97">
        <f>SalesProj!AS2</f>
        <v>2012</v>
      </c>
    </row>
    <row r="3" spans="1:7" ht="13.5" thickBot="1">
      <c r="A3" s="14"/>
      <c r="B3" s="15"/>
      <c r="C3" s="17"/>
      <c r="D3" s="16"/>
      <c r="E3" s="16"/>
      <c r="F3" s="16"/>
      <c r="G3" s="16"/>
    </row>
    <row r="4" spans="1:7" ht="13.5" customHeight="1">
      <c r="A4" s="14"/>
      <c r="B4" s="84"/>
      <c r="C4" s="84"/>
      <c r="D4" s="14"/>
      <c r="E4" s="14"/>
      <c r="F4" s="14"/>
      <c r="G4" s="14"/>
    </row>
    <row r="5" spans="1:7" ht="13.5" customHeight="1">
      <c r="A5" s="20"/>
      <c r="B5" s="86" t="s">
        <v>160</v>
      </c>
      <c r="C5" s="25"/>
      <c r="D5" s="21"/>
      <c r="E5" s="21"/>
      <c r="F5" s="21"/>
      <c r="G5" s="21"/>
    </row>
    <row r="6" spans="1:7" ht="13.5" customHeight="1">
      <c r="A6" s="13"/>
      <c r="B6" s="80" t="s">
        <v>157</v>
      </c>
      <c r="C6" s="152">
        <v>0</v>
      </c>
      <c r="D6" s="152">
        <v>0</v>
      </c>
      <c r="E6" s="152">
        <v>0</v>
      </c>
      <c r="F6" s="152">
        <v>0</v>
      </c>
      <c r="G6" s="152">
        <v>0</v>
      </c>
    </row>
    <row r="7" spans="1:7" ht="13.5" customHeight="1">
      <c r="A7" s="13"/>
      <c r="B7" s="80" t="s">
        <v>158</v>
      </c>
      <c r="C7" s="152">
        <v>0</v>
      </c>
      <c r="D7" s="152">
        <f t="shared" ref="D7:G12" si="0">C7</f>
        <v>0</v>
      </c>
      <c r="E7" s="152">
        <f t="shared" si="0"/>
        <v>0</v>
      </c>
      <c r="F7" s="152">
        <f t="shared" si="0"/>
        <v>0</v>
      </c>
      <c r="G7" s="152">
        <f t="shared" si="0"/>
        <v>0</v>
      </c>
    </row>
    <row r="8" spans="1:7" ht="13.5" customHeight="1">
      <c r="A8" s="13"/>
      <c r="B8" s="34" t="s">
        <v>156</v>
      </c>
      <c r="C8" s="152">
        <v>0</v>
      </c>
      <c r="D8" s="152">
        <f t="shared" si="0"/>
        <v>0</v>
      </c>
      <c r="E8" s="152">
        <f t="shared" si="0"/>
        <v>0</v>
      </c>
      <c r="F8" s="152">
        <f t="shared" si="0"/>
        <v>0</v>
      </c>
      <c r="G8" s="152">
        <f t="shared" si="0"/>
        <v>0</v>
      </c>
    </row>
    <row r="9" spans="1:7" ht="13.5" customHeight="1">
      <c r="A9" s="13"/>
      <c r="B9" s="34" t="s">
        <v>159</v>
      </c>
      <c r="C9" s="152">
        <v>0</v>
      </c>
      <c r="D9" s="152">
        <f t="shared" si="0"/>
        <v>0</v>
      </c>
      <c r="E9" s="152">
        <f t="shared" si="0"/>
        <v>0</v>
      </c>
      <c r="F9" s="152">
        <f t="shared" si="0"/>
        <v>0</v>
      </c>
      <c r="G9" s="152">
        <f t="shared" si="0"/>
        <v>0</v>
      </c>
    </row>
    <row r="10" spans="1:7" ht="13.5" customHeight="1">
      <c r="A10" s="13"/>
      <c r="B10" s="34" t="s">
        <v>206</v>
      </c>
      <c r="C10" s="152">
        <v>0</v>
      </c>
      <c r="D10" s="152">
        <f t="shared" si="0"/>
        <v>0</v>
      </c>
      <c r="E10" s="152">
        <f t="shared" si="0"/>
        <v>0</v>
      </c>
      <c r="F10" s="152">
        <f t="shared" si="0"/>
        <v>0</v>
      </c>
      <c r="G10" s="152">
        <f t="shared" si="0"/>
        <v>0</v>
      </c>
    </row>
    <row r="11" spans="1:7" ht="13.5" customHeight="1">
      <c r="A11" s="13"/>
      <c r="B11" s="105" t="s">
        <v>46</v>
      </c>
      <c r="C11" s="152">
        <v>0</v>
      </c>
      <c r="D11" s="152">
        <f t="shared" si="0"/>
        <v>0</v>
      </c>
      <c r="E11" s="152">
        <f t="shared" si="0"/>
        <v>0</v>
      </c>
      <c r="F11" s="152">
        <f t="shared" si="0"/>
        <v>0</v>
      </c>
      <c r="G11" s="152">
        <f t="shared" si="0"/>
        <v>0</v>
      </c>
    </row>
    <row r="12" spans="1:7" ht="13.5" customHeight="1" thickBot="1">
      <c r="A12" s="13"/>
      <c r="B12" s="105" t="s">
        <v>46</v>
      </c>
      <c r="C12" s="152">
        <v>0</v>
      </c>
      <c r="D12" s="152">
        <f t="shared" si="0"/>
        <v>0</v>
      </c>
      <c r="E12" s="152">
        <f t="shared" si="0"/>
        <v>0</v>
      </c>
      <c r="F12" s="152">
        <f t="shared" si="0"/>
        <v>0</v>
      </c>
      <c r="G12" s="152">
        <f t="shared" si="0"/>
        <v>0</v>
      </c>
    </row>
    <row r="13" spans="1:7" ht="13.5" customHeight="1" thickBot="1">
      <c r="A13" s="13"/>
      <c r="B13" s="81" t="s">
        <v>24</v>
      </c>
      <c r="C13" s="211">
        <f>SUM(C6:C12)</f>
        <v>0</v>
      </c>
      <c r="D13" s="211">
        <f>SUM(D6:D12)</f>
        <v>0</v>
      </c>
      <c r="E13" s="211">
        <f>SUM(E6:E12)</f>
        <v>0</v>
      </c>
      <c r="F13" s="211">
        <f>SUM(F6:F12)</f>
        <v>0</v>
      </c>
      <c r="G13" s="211">
        <f>SUM(G6:G12)</f>
        <v>0</v>
      </c>
    </row>
    <row r="14" spans="1:7" ht="13.5" customHeight="1" thickBot="1">
      <c r="A14" s="20"/>
      <c r="B14" s="83"/>
      <c r="C14" s="181"/>
      <c r="D14" s="180"/>
      <c r="E14" s="180"/>
      <c r="F14" s="180"/>
      <c r="G14" s="180"/>
    </row>
    <row r="15" spans="1:7" ht="13.5" customHeight="1" thickBot="1">
      <c r="A15" s="20"/>
      <c r="B15" s="82" t="s">
        <v>29</v>
      </c>
      <c r="C15" s="193">
        <f>C13</f>
        <v>0</v>
      </c>
      <c r="D15" s="193">
        <f>D13</f>
        <v>0</v>
      </c>
      <c r="E15" s="193">
        <f>E13</f>
        <v>0</v>
      </c>
      <c r="F15" s="193">
        <f>F13</f>
        <v>0</v>
      </c>
      <c r="G15" s="193">
        <f>G13</f>
        <v>0</v>
      </c>
    </row>
  </sheetData>
  <sheetProtection sheet="1" objects="1" scenarios="1"/>
  <phoneticPr fontId="3" type="noConversion"/>
  <printOptions horizontalCentered="1"/>
  <pageMargins left="0.5" right="0.5" top="1.25" bottom="0.5" header="0.5" footer="0.5"/>
  <pageSetup scale="80" orientation="portrait" r:id="rId1"/>
  <headerFooter alignWithMargins="0">
    <oddHeader>&amp;CProfessional Services Budget</oddHeader>
    <oddFooter>Page &amp;P of &amp;N</oddFooter>
  </headerFooter>
  <legacyDrawing r:id="rId2"/>
</worksheet>
</file>

<file path=xl/worksheets/sheet14.xml><?xml version="1.0" encoding="utf-8"?>
<worksheet xmlns="http://schemas.openxmlformats.org/spreadsheetml/2006/main" xmlns:r="http://schemas.openxmlformats.org/officeDocument/2006/relationships">
  <sheetPr codeName="Sheet5">
    <pageSetUpPr autoPageBreaks="0"/>
  </sheetPr>
  <dimension ref="A1:I46"/>
  <sheetViews>
    <sheetView showGridLines="0" showOutlineSymbols="0" workbookViewId="0">
      <selection activeCell="B6" sqref="B6"/>
    </sheetView>
  </sheetViews>
  <sheetFormatPr defaultRowHeight="12.75"/>
  <cols>
    <col min="1" max="1" width="1.7109375" style="106" customWidth="1"/>
    <col min="2" max="2" width="38.42578125" style="106" customWidth="1"/>
    <col min="3" max="3" width="11.28515625" style="106" customWidth="1"/>
    <col min="4" max="5" width="6" style="106" customWidth="1"/>
    <col min="6" max="6" width="8.7109375" style="106" customWidth="1"/>
    <col min="7" max="7" width="10.28515625" style="106" customWidth="1"/>
    <col min="8" max="8" width="1" style="106" customWidth="1"/>
    <col min="9" max="9" width="63.28515625" style="106" customWidth="1"/>
    <col min="10" max="16384" width="9.140625" style="106"/>
  </cols>
  <sheetData>
    <row r="1" spans="1:9" ht="9.75" customHeight="1" thickBot="1">
      <c r="A1" s="431"/>
      <c r="B1" s="431"/>
      <c r="C1" s="431"/>
      <c r="D1" s="431"/>
      <c r="E1" s="431"/>
      <c r="F1" s="431"/>
      <c r="G1" s="431"/>
    </row>
    <row r="2" spans="1:9" ht="24.75" customHeight="1" thickBot="1">
      <c r="A2" s="470"/>
      <c r="B2" s="804" t="s">
        <v>258</v>
      </c>
      <c r="C2" s="797"/>
      <c r="D2" s="797"/>
      <c r="E2" s="798"/>
      <c r="F2" s="797"/>
      <c r="G2" s="803"/>
    </row>
    <row r="3" spans="1:9" ht="33.75" customHeight="1" thickBot="1">
      <c r="A3" s="110"/>
      <c r="B3" s="800" t="s">
        <v>204</v>
      </c>
      <c r="C3" s="800" t="s">
        <v>260</v>
      </c>
      <c r="D3" s="897" t="s">
        <v>261</v>
      </c>
      <c r="E3" s="898"/>
      <c r="F3" s="801" t="s">
        <v>262</v>
      </c>
      <c r="G3" s="802" t="s">
        <v>263</v>
      </c>
    </row>
    <row r="4" spans="1:9" s="442" customFormat="1" ht="15" customHeight="1">
      <c r="A4" s="110"/>
      <c r="B4" s="683"/>
      <c r="C4" s="437"/>
      <c r="D4" s="438"/>
      <c r="E4" s="439"/>
      <c r="F4" s="440"/>
      <c r="G4" s="441"/>
    </row>
    <row r="5" spans="1:9" s="112" customFormat="1" ht="14.1" customHeight="1">
      <c r="B5" s="557" t="s">
        <v>247</v>
      </c>
      <c r="C5" s="114"/>
      <c r="D5" s="287" t="s">
        <v>208</v>
      </c>
      <c r="E5" s="287" t="s">
        <v>209</v>
      </c>
      <c r="F5" s="106"/>
      <c r="G5" s="285"/>
    </row>
    <row r="6" spans="1:9" s="112" customFormat="1" ht="13.5" customHeight="1">
      <c r="B6" s="292" t="s">
        <v>265</v>
      </c>
      <c r="C6" s="169">
        <v>0</v>
      </c>
      <c r="D6" s="405" t="s">
        <v>383</v>
      </c>
      <c r="E6" s="140">
        <v>2008</v>
      </c>
      <c r="F6" s="891" t="s">
        <v>267</v>
      </c>
      <c r="G6" s="899"/>
      <c r="I6" s="112" t="str">
        <f t="shared" ref="I6:I20" si="0">IF(AND(DATEVALUE("01-"&amp; $D6 &amp;"-"&amp; $E6) &lt;cStartDate, C6&gt;0), "WARNING - Investment date must be on or after your business's start date.", "")</f>
        <v/>
      </c>
    </row>
    <row r="7" spans="1:9" s="112" customFormat="1" ht="13.5" customHeight="1">
      <c r="B7" s="292" t="s">
        <v>265</v>
      </c>
      <c r="C7" s="169">
        <v>0</v>
      </c>
      <c r="D7" s="405" t="s">
        <v>383</v>
      </c>
      <c r="E7" s="140">
        <v>2008</v>
      </c>
      <c r="F7" s="900"/>
      <c r="G7" s="901"/>
      <c r="I7" s="112" t="str">
        <f t="shared" si="0"/>
        <v/>
      </c>
    </row>
    <row r="8" spans="1:9" s="112" customFormat="1" ht="13.5" customHeight="1">
      <c r="B8" s="292" t="s">
        <v>265</v>
      </c>
      <c r="C8" s="169">
        <v>0</v>
      </c>
      <c r="D8" s="405" t="s">
        <v>383</v>
      </c>
      <c r="E8" s="140">
        <v>2008</v>
      </c>
      <c r="F8" s="900"/>
      <c r="G8" s="901"/>
      <c r="I8" s="112" t="str">
        <f t="shared" si="0"/>
        <v/>
      </c>
    </row>
    <row r="9" spans="1:9" s="112" customFormat="1" ht="13.5" customHeight="1">
      <c r="B9" s="292" t="s">
        <v>265</v>
      </c>
      <c r="C9" s="169">
        <v>0</v>
      </c>
      <c r="D9" s="405" t="s">
        <v>383</v>
      </c>
      <c r="E9" s="140">
        <v>2008</v>
      </c>
      <c r="F9" s="900"/>
      <c r="G9" s="901"/>
      <c r="I9" s="112" t="str">
        <f t="shared" si="0"/>
        <v/>
      </c>
    </row>
    <row r="10" spans="1:9" s="112" customFormat="1" ht="13.5" customHeight="1">
      <c r="B10" s="292" t="s">
        <v>265</v>
      </c>
      <c r="C10" s="169">
        <v>0</v>
      </c>
      <c r="D10" s="405" t="s">
        <v>383</v>
      </c>
      <c r="E10" s="140">
        <v>2008</v>
      </c>
      <c r="F10" s="900"/>
      <c r="G10" s="901"/>
      <c r="I10" s="112" t="str">
        <f t="shared" si="0"/>
        <v/>
      </c>
    </row>
    <row r="11" spans="1:9" s="112" customFormat="1" ht="13.5" customHeight="1">
      <c r="B11" s="292" t="s">
        <v>265</v>
      </c>
      <c r="C11" s="169">
        <v>0</v>
      </c>
      <c r="D11" s="405" t="s">
        <v>383</v>
      </c>
      <c r="E11" s="140">
        <v>2008</v>
      </c>
      <c r="F11" s="900"/>
      <c r="G11" s="901"/>
      <c r="I11" s="112" t="str">
        <f t="shared" si="0"/>
        <v/>
      </c>
    </row>
    <row r="12" spans="1:9" s="112" customFormat="1" ht="13.5" customHeight="1">
      <c r="B12" s="292" t="s">
        <v>265</v>
      </c>
      <c r="C12" s="169">
        <v>0</v>
      </c>
      <c r="D12" s="405" t="s">
        <v>383</v>
      </c>
      <c r="E12" s="140">
        <v>2008</v>
      </c>
      <c r="F12" s="900"/>
      <c r="G12" s="901"/>
      <c r="I12" s="112" t="str">
        <f t="shared" si="0"/>
        <v/>
      </c>
    </row>
    <row r="13" spans="1:9" s="112" customFormat="1" ht="13.5" customHeight="1">
      <c r="B13" s="292" t="s">
        <v>265</v>
      </c>
      <c r="C13" s="169">
        <v>0</v>
      </c>
      <c r="D13" s="405" t="s">
        <v>383</v>
      </c>
      <c r="E13" s="140">
        <v>2008</v>
      </c>
      <c r="F13" s="900"/>
      <c r="G13" s="901"/>
      <c r="I13" s="112" t="str">
        <f t="shared" si="0"/>
        <v/>
      </c>
    </row>
    <row r="14" spans="1:9" s="112" customFormat="1" ht="13.5" customHeight="1">
      <c r="B14" s="292" t="s">
        <v>265</v>
      </c>
      <c r="C14" s="169">
        <v>0</v>
      </c>
      <c r="D14" s="405" t="s">
        <v>383</v>
      </c>
      <c r="E14" s="140">
        <v>2008</v>
      </c>
      <c r="F14" s="900"/>
      <c r="G14" s="901"/>
      <c r="I14" s="112" t="str">
        <f t="shared" si="0"/>
        <v/>
      </c>
    </row>
    <row r="15" spans="1:9" s="112" customFormat="1" ht="13.5" customHeight="1">
      <c r="A15" s="111"/>
      <c r="B15" s="292" t="s">
        <v>265</v>
      </c>
      <c r="C15" s="169">
        <v>0</v>
      </c>
      <c r="D15" s="405" t="s">
        <v>383</v>
      </c>
      <c r="E15" s="140">
        <v>2008</v>
      </c>
      <c r="F15" s="900"/>
      <c r="G15" s="901"/>
      <c r="I15" s="112" t="str">
        <f t="shared" si="0"/>
        <v/>
      </c>
    </row>
    <row r="16" spans="1:9" s="112" customFormat="1" ht="13.5" customHeight="1">
      <c r="A16" s="111"/>
      <c r="B16" s="292" t="s">
        <v>265</v>
      </c>
      <c r="C16" s="169">
        <v>0</v>
      </c>
      <c r="D16" s="405" t="s">
        <v>383</v>
      </c>
      <c r="E16" s="140">
        <v>2008</v>
      </c>
      <c r="F16" s="900"/>
      <c r="G16" s="901"/>
      <c r="I16" s="112" t="str">
        <f t="shared" si="0"/>
        <v/>
      </c>
    </row>
    <row r="17" spans="1:9" s="112" customFormat="1" ht="13.5" customHeight="1">
      <c r="A17" s="111"/>
      <c r="B17" s="292" t="s">
        <v>265</v>
      </c>
      <c r="C17" s="169">
        <v>0</v>
      </c>
      <c r="D17" s="405" t="s">
        <v>383</v>
      </c>
      <c r="E17" s="140">
        <v>2008</v>
      </c>
      <c r="F17" s="900"/>
      <c r="G17" s="901"/>
      <c r="I17" s="112" t="str">
        <f t="shared" si="0"/>
        <v/>
      </c>
    </row>
    <row r="18" spans="1:9" s="112" customFormat="1" ht="13.5" customHeight="1">
      <c r="A18" s="111"/>
      <c r="B18" s="292" t="s">
        <v>265</v>
      </c>
      <c r="C18" s="169">
        <v>0</v>
      </c>
      <c r="D18" s="405" t="s">
        <v>383</v>
      </c>
      <c r="E18" s="140">
        <v>2008</v>
      </c>
      <c r="F18" s="900"/>
      <c r="G18" s="901"/>
      <c r="I18" s="112" t="str">
        <f t="shared" si="0"/>
        <v/>
      </c>
    </row>
    <row r="19" spans="1:9" s="112" customFormat="1" ht="13.5" customHeight="1">
      <c r="A19" s="111"/>
      <c r="B19" s="292" t="s">
        <v>265</v>
      </c>
      <c r="C19" s="169">
        <v>0</v>
      </c>
      <c r="D19" s="405" t="s">
        <v>383</v>
      </c>
      <c r="E19" s="140">
        <v>2008</v>
      </c>
      <c r="F19" s="900"/>
      <c r="G19" s="901"/>
      <c r="I19" s="112" t="str">
        <f t="shared" si="0"/>
        <v/>
      </c>
    </row>
    <row r="20" spans="1:9" s="112" customFormat="1" ht="13.5" customHeight="1" thickBot="1">
      <c r="A20" s="111"/>
      <c r="B20" s="692" t="s">
        <v>265</v>
      </c>
      <c r="C20" s="406">
        <v>0</v>
      </c>
      <c r="D20" s="405" t="s">
        <v>383</v>
      </c>
      <c r="E20" s="140">
        <v>2008</v>
      </c>
      <c r="F20" s="902"/>
      <c r="G20" s="903"/>
      <c r="I20" s="112" t="str">
        <f t="shared" si="0"/>
        <v/>
      </c>
    </row>
    <row r="21" spans="1:9" s="112" customFormat="1" ht="13.5" customHeight="1" thickBot="1">
      <c r="A21" s="111"/>
      <c r="B21" s="693" t="s">
        <v>266</v>
      </c>
      <c r="C21" s="445">
        <f>SUM(C6:C20)</f>
        <v>0</v>
      </c>
      <c r="D21" s="446"/>
      <c r="E21" s="447"/>
      <c r="F21" s="448"/>
      <c r="G21" s="449"/>
    </row>
    <row r="22" spans="1:9" s="112" customFormat="1" ht="14.1" customHeight="1">
      <c r="B22" s="478"/>
      <c r="C22" s="170"/>
      <c r="D22" s="284"/>
      <c r="E22" s="284"/>
      <c r="F22" s="284"/>
      <c r="G22" s="284"/>
    </row>
    <row r="23" spans="1:9" s="112" customFormat="1" ht="14.1" customHeight="1">
      <c r="B23" s="557" t="s">
        <v>259</v>
      </c>
      <c r="C23" s="171"/>
      <c r="D23" s="285"/>
      <c r="E23" s="285"/>
      <c r="F23" s="286"/>
      <c r="G23" s="285"/>
    </row>
    <row r="24" spans="1:9" s="116" customFormat="1" ht="14.1" customHeight="1">
      <c r="B24" s="292" t="s">
        <v>265</v>
      </c>
      <c r="C24" s="152">
        <v>0</v>
      </c>
      <c r="D24" s="405" t="s">
        <v>383</v>
      </c>
      <c r="E24" s="140">
        <v>2008</v>
      </c>
      <c r="F24" s="282">
        <v>12</v>
      </c>
      <c r="G24" s="407">
        <v>0</v>
      </c>
      <c r="I24" s="112" t="str">
        <f t="shared" ref="I24:I43" si="1">IF(AND(DATEVALUE("01-"&amp; $D24 &amp;"-"&amp; $E24) &lt;cStartDate, C24&gt;0), "WARNING - Loan date must be on or after your business's start date.", "")</f>
        <v/>
      </c>
    </row>
    <row r="25" spans="1:9" s="116" customFormat="1" ht="14.1" customHeight="1">
      <c r="B25" s="292" t="s">
        <v>265</v>
      </c>
      <c r="C25" s="147">
        <v>0</v>
      </c>
      <c r="D25" s="405" t="s">
        <v>383</v>
      </c>
      <c r="E25" s="140">
        <v>2008</v>
      </c>
      <c r="F25" s="282">
        <v>12</v>
      </c>
      <c r="G25" s="407">
        <v>0</v>
      </c>
      <c r="I25" s="112" t="str">
        <f t="shared" si="1"/>
        <v/>
      </c>
    </row>
    <row r="26" spans="1:9" s="116" customFormat="1" ht="14.1" customHeight="1">
      <c r="A26" s="117"/>
      <c r="B26" s="292" t="s">
        <v>265</v>
      </c>
      <c r="C26" s="147">
        <v>0</v>
      </c>
      <c r="D26" s="405" t="s">
        <v>383</v>
      </c>
      <c r="E26" s="140">
        <v>2008</v>
      </c>
      <c r="F26" s="282">
        <v>12</v>
      </c>
      <c r="G26" s="407">
        <v>0</v>
      </c>
      <c r="I26" s="112" t="str">
        <f t="shared" si="1"/>
        <v/>
      </c>
    </row>
    <row r="27" spans="1:9" s="116" customFormat="1" ht="14.1" customHeight="1">
      <c r="A27" s="117"/>
      <c r="B27" s="292" t="s">
        <v>265</v>
      </c>
      <c r="C27" s="147">
        <v>0</v>
      </c>
      <c r="D27" s="405" t="s">
        <v>383</v>
      </c>
      <c r="E27" s="140">
        <v>2008</v>
      </c>
      <c r="F27" s="282">
        <v>12</v>
      </c>
      <c r="G27" s="407">
        <v>0</v>
      </c>
      <c r="I27" s="112" t="str">
        <f t="shared" si="1"/>
        <v/>
      </c>
    </row>
    <row r="28" spans="1:9" s="116" customFormat="1" ht="14.1" customHeight="1">
      <c r="A28" s="117"/>
      <c r="B28" s="292" t="s">
        <v>265</v>
      </c>
      <c r="C28" s="147">
        <v>0</v>
      </c>
      <c r="D28" s="405" t="s">
        <v>383</v>
      </c>
      <c r="E28" s="140">
        <v>2008</v>
      </c>
      <c r="F28" s="282">
        <v>12</v>
      </c>
      <c r="G28" s="407">
        <v>0</v>
      </c>
      <c r="I28" s="112" t="str">
        <f t="shared" si="1"/>
        <v/>
      </c>
    </row>
    <row r="29" spans="1:9" s="116" customFormat="1" ht="14.1" customHeight="1">
      <c r="A29" s="117"/>
      <c r="B29" s="292" t="s">
        <v>265</v>
      </c>
      <c r="C29" s="147">
        <v>0</v>
      </c>
      <c r="D29" s="405" t="s">
        <v>383</v>
      </c>
      <c r="E29" s="140">
        <v>2008</v>
      </c>
      <c r="F29" s="282">
        <v>12</v>
      </c>
      <c r="G29" s="407">
        <v>0</v>
      </c>
      <c r="I29" s="112" t="str">
        <f t="shared" si="1"/>
        <v/>
      </c>
    </row>
    <row r="30" spans="1:9" s="112" customFormat="1" ht="14.1" customHeight="1">
      <c r="B30" s="292" t="s">
        <v>265</v>
      </c>
      <c r="C30" s="169">
        <v>0</v>
      </c>
      <c r="D30" s="405" t="s">
        <v>383</v>
      </c>
      <c r="E30" s="140">
        <v>2008</v>
      </c>
      <c r="F30" s="282">
        <v>12</v>
      </c>
      <c r="G30" s="407">
        <v>0</v>
      </c>
      <c r="I30" s="112" t="str">
        <f t="shared" si="1"/>
        <v/>
      </c>
    </row>
    <row r="31" spans="1:9" s="112" customFormat="1" ht="14.1" customHeight="1">
      <c r="B31" s="292" t="s">
        <v>265</v>
      </c>
      <c r="C31" s="169">
        <v>0</v>
      </c>
      <c r="D31" s="405" t="s">
        <v>383</v>
      </c>
      <c r="E31" s="140">
        <v>2008</v>
      </c>
      <c r="F31" s="282">
        <v>12</v>
      </c>
      <c r="G31" s="407">
        <v>0</v>
      </c>
      <c r="I31" s="112" t="str">
        <f t="shared" si="1"/>
        <v/>
      </c>
    </row>
    <row r="32" spans="1:9" s="112" customFormat="1" ht="14.1" customHeight="1">
      <c r="A32" s="111"/>
      <c r="B32" s="292" t="s">
        <v>265</v>
      </c>
      <c r="C32" s="169">
        <v>0</v>
      </c>
      <c r="D32" s="405" t="s">
        <v>383</v>
      </c>
      <c r="E32" s="140">
        <v>2008</v>
      </c>
      <c r="F32" s="282">
        <v>12</v>
      </c>
      <c r="G32" s="407">
        <v>0</v>
      </c>
      <c r="I32" s="112" t="str">
        <f t="shared" si="1"/>
        <v/>
      </c>
    </row>
    <row r="33" spans="1:9" s="116" customFormat="1" ht="14.1" customHeight="1">
      <c r="A33" s="117"/>
      <c r="B33" s="292" t="s">
        <v>265</v>
      </c>
      <c r="C33" s="147">
        <v>0</v>
      </c>
      <c r="D33" s="405" t="s">
        <v>383</v>
      </c>
      <c r="E33" s="140">
        <v>2008</v>
      </c>
      <c r="F33" s="282">
        <v>12</v>
      </c>
      <c r="G33" s="407">
        <v>0</v>
      </c>
      <c r="I33" s="112" t="str">
        <f t="shared" si="1"/>
        <v/>
      </c>
    </row>
    <row r="34" spans="1:9" ht="13.5" customHeight="1">
      <c r="A34" s="116"/>
      <c r="B34" s="292" t="s">
        <v>265</v>
      </c>
      <c r="C34" s="152">
        <v>0</v>
      </c>
      <c r="D34" s="405" t="s">
        <v>383</v>
      </c>
      <c r="E34" s="140">
        <v>2008</v>
      </c>
      <c r="F34" s="282">
        <v>12</v>
      </c>
      <c r="G34" s="407">
        <v>0</v>
      </c>
      <c r="I34" s="112" t="str">
        <f t="shared" si="1"/>
        <v/>
      </c>
    </row>
    <row r="35" spans="1:9" ht="13.5" customHeight="1">
      <c r="A35" s="116"/>
      <c r="B35" s="292" t="s">
        <v>265</v>
      </c>
      <c r="C35" s="152">
        <v>0</v>
      </c>
      <c r="D35" s="405" t="s">
        <v>383</v>
      </c>
      <c r="E35" s="140">
        <v>2008</v>
      </c>
      <c r="F35" s="282">
        <v>12</v>
      </c>
      <c r="G35" s="407">
        <v>0</v>
      </c>
      <c r="I35" s="112" t="str">
        <f t="shared" si="1"/>
        <v/>
      </c>
    </row>
    <row r="36" spans="1:9" ht="13.5" customHeight="1">
      <c r="A36" s="116"/>
      <c r="B36" s="292" t="s">
        <v>265</v>
      </c>
      <c r="C36" s="152">
        <v>0</v>
      </c>
      <c r="D36" s="405" t="s">
        <v>383</v>
      </c>
      <c r="E36" s="140">
        <v>2008</v>
      </c>
      <c r="F36" s="282">
        <v>12</v>
      </c>
      <c r="G36" s="407">
        <v>0</v>
      </c>
      <c r="I36" s="112" t="str">
        <f t="shared" si="1"/>
        <v/>
      </c>
    </row>
    <row r="37" spans="1:9" ht="13.5" customHeight="1">
      <c r="A37" s="116"/>
      <c r="B37" s="292" t="s">
        <v>265</v>
      </c>
      <c r="C37" s="152">
        <v>0</v>
      </c>
      <c r="D37" s="405" t="s">
        <v>383</v>
      </c>
      <c r="E37" s="140">
        <v>2008</v>
      </c>
      <c r="F37" s="282">
        <v>12</v>
      </c>
      <c r="G37" s="407">
        <v>0</v>
      </c>
      <c r="I37" s="112" t="str">
        <f t="shared" si="1"/>
        <v/>
      </c>
    </row>
    <row r="38" spans="1:9" ht="13.5" customHeight="1">
      <c r="A38" s="116"/>
      <c r="B38" s="292" t="s">
        <v>265</v>
      </c>
      <c r="C38" s="152">
        <v>0</v>
      </c>
      <c r="D38" s="405" t="s">
        <v>383</v>
      </c>
      <c r="E38" s="140">
        <v>2008</v>
      </c>
      <c r="F38" s="282">
        <v>12</v>
      </c>
      <c r="G38" s="407">
        <v>0</v>
      </c>
      <c r="I38" s="112" t="str">
        <f t="shared" si="1"/>
        <v/>
      </c>
    </row>
    <row r="39" spans="1:9" ht="13.5" customHeight="1">
      <c r="A39" s="116"/>
      <c r="B39" s="292" t="s">
        <v>265</v>
      </c>
      <c r="C39" s="152">
        <v>0</v>
      </c>
      <c r="D39" s="405" t="s">
        <v>383</v>
      </c>
      <c r="E39" s="140">
        <v>2008</v>
      </c>
      <c r="F39" s="282">
        <v>12</v>
      </c>
      <c r="G39" s="407">
        <v>0</v>
      </c>
      <c r="I39" s="112" t="str">
        <f t="shared" si="1"/>
        <v/>
      </c>
    </row>
    <row r="40" spans="1:9" ht="13.5" customHeight="1">
      <c r="A40" s="116"/>
      <c r="B40" s="292" t="s">
        <v>265</v>
      </c>
      <c r="C40" s="152">
        <v>0</v>
      </c>
      <c r="D40" s="405" t="s">
        <v>383</v>
      </c>
      <c r="E40" s="140">
        <v>2008</v>
      </c>
      <c r="F40" s="282">
        <v>12</v>
      </c>
      <c r="G40" s="407">
        <v>0</v>
      </c>
      <c r="I40" s="112" t="str">
        <f t="shared" si="1"/>
        <v/>
      </c>
    </row>
    <row r="41" spans="1:9" ht="13.5" customHeight="1">
      <c r="A41" s="116"/>
      <c r="B41" s="292" t="s">
        <v>265</v>
      </c>
      <c r="C41" s="152">
        <v>0</v>
      </c>
      <c r="D41" s="405" t="s">
        <v>383</v>
      </c>
      <c r="E41" s="140">
        <v>2008</v>
      </c>
      <c r="F41" s="282">
        <v>12</v>
      </c>
      <c r="G41" s="407">
        <v>0</v>
      </c>
      <c r="I41" s="112" t="str">
        <f t="shared" si="1"/>
        <v/>
      </c>
    </row>
    <row r="42" spans="1:9" ht="13.5" customHeight="1">
      <c r="A42" s="116"/>
      <c r="B42" s="292" t="s">
        <v>265</v>
      </c>
      <c r="C42" s="152">
        <v>0</v>
      </c>
      <c r="D42" s="405" t="s">
        <v>383</v>
      </c>
      <c r="E42" s="140">
        <v>2008</v>
      </c>
      <c r="F42" s="282">
        <v>12</v>
      </c>
      <c r="G42" s="407">
        <v>0</v>
      </c>
      <c r="I42" s="112" t="str">
        <f t="shared" si="1"/>
        <v/>
      </c>
    </row>
    <row r="43" spans="1:9" ht="13.5" customHeight="1" thickBot="1">
      <c r="A43" s="116"/>
      <c r="B43" s="292" t="s">
        <v>265</v>
      </c>
      <c r="C43" s="315">
        <v>0</v>
      </c>
      <c r="D43" s="405" t="s">
        <v>383</v>
      </c>
      <c r="E43" s="140">
        <v>2008</v>
      </c>
      <c r="F43" s="282">
        <v>12</v>
      </c>
      <c r="G43" s="407">
        <v>0</v>
      </c>
      <c r="I43" s="112" t="str">
        <f t="shared" si="1"/>
        <v/>
      </c>
    </row>
    <row r="44" spans="1:9" ht="13.5" customHeight="1" thickBot="1">
      <c r="A44" s="357"/>
      <c r="B44" s="395" t="s">
        <v>268</v>
      </c>
      <c r="C44" s="452">
        <f>SUM(C24:C43)</f>
        <v>0</v>
      </c>
      <c r="D44" s="453"/>
      <c r="E44" s="454"/>
      <c r="F44" s="454"/>
      <c r="G44" s="454"/>
    </row>
    <row r="45" spans="1:9" ht="13.5" customHeight="1" thickBot="1">
      <c r="A45" s="116"/>
      <c r="B45" s="456"/>
      <c r="C45" s="457"/>
      <c r="D45" s="455"/>
      <c r="E45" s="455"/>
    </row>
    <row r="46" spans="1:9" ht="13.5" customHeight="1" thickBot="1">
      <c r="A46" s="357"/>
      <c r="B46" s="694" t="s">
        <v>269</v>
      </c>
      <c r="C46" s="385">
        <f>C44+C21</f>
        <v>0</v>
      </c>
      <c r="D46" s="455"/>
      <c r="E46" s="455"/>
    </row>
  </sheetData>
  <sheetProtection sheet="1" objects="1" scenarios="1"/>
  <mergeCells count="2">
    <mergeCell ref="D3:E3"/>
    <mergeCell ref="F6:G20"/>
  </mergeCells>
  <phoneticPr fontId="3" type="noConversion"/>
  <conditionalFormatting sqref="I6:I43">
    <cfRule type="containsText" dxfId="0" priority="1" operator="containsText" text="Warning">
      <formula>NOT(ISERROR(SEARCH("Warning",I6)))</formula>
    </cfRule>
  </conditionalFormatting>
  <dataValidations count="2">
    <dataValidation type="list" allowBlank="1" showErrorMessage="1" errorTitle="Data Error" error="Please enter a year falling within the span of your business plan." sqref="E6:E20 E24:E43">
      <formula1>PlanYears</formula1>
    </dataValidation>
    <dataValidation type="list" showErrorMessage="1" errorTitle="Data Error" error="Please enter the first three letters of the purchase month." sqref="D6:D20 D24:D43">
      <formula1>MonthsShort</formula1>
    </dataValidation>
  </dataValidations>
  <printOptions horizontalCentered="1"/>
  <pageMargins left="0.5" right="0.5" top="1.2" bottom="0.5" header="0.5" footer="0.5"/>
  <pageSetup scale="80" orientation="portrait" r:id="rId1"/>
  <headerFooter alignWithMargins="0">
    <oddHeader>&amp;CCapital Investments and Loans</oddHeader>
    <oddFooter>Page &amp;P of &amp;N</oddFooter>
  </headerFooter>
  <legacyDrawing r:id="rId2"/>
</worksheet>
</file>

<file path=xl/worksheets/sheet15.xml><?xml version="1.0" encoding="utf-8"?>
<worksheet xmlns="http://schemas.openxmlformats.org/spreadsheetml/2006/main" xmlns:r="http://schemas.openxmlformats.org/officeDocument/2006/relationships">
  <sheetPr codeName="IncSt">
    <pageSetUpPr autoPageBreaks="0"/>
  </sheetPr>
  <dimension ref="A1:AQ36"/>
  <sheetViews>
    <sheetView showGridLines="0" showOutlineSymbols="0" workbookViewId="0">
      <pane xSplit="2" ySplit="3" topLeftCell="C11" activePane="bottomRight" state="frozenSplit"/>
      <selection pane="topRight" activeCell="C1" sqref="C1"/>
      <selection pane="bottomLeft" activeCell="A4" sqref="A4"/>
      <selection pane="bottomRight" activeCell="C19" sqref="C19"/>
    </sheetView>
  </sheetViews>
  <sheetFormatPr defaultColWidth="10.5703125" defaultRowHeight="15"/>
  <cols>
    <col min="1" max="1" width="1.7109375" style="4" customWidth="1"/>
    <col min="2" max="2" width="40.28515625" style="4" customWidth="1"/>
    <col min="3" max="14" width="10.7109375" style="4" customWidth="1"/>
    <col min="15" max="15" width="12.7109375" style="4" customWidth="1"/>
    <col min="16" max="16" width="1.7109375" style="4" customWidth="1"/>
    <col min="17" max="28" width="10.7109375" style="4" customWidth="1"/>
    <col min="29" max="29" width="12.7109375" style="4" customWidth="1"/>
    <col min="30" max="30" width="1.7109375" style="4" customWidth="1"/>
    <col min="31" max="34" width="10.7109375" style="4" customWidth="1"/>
    <col min="35" max="35" width="12.7109375" style="4" customWidth="1"/>
    <col min="36" max="36" width="1.7109375" style="4" customWidth="1"/>
    <col min="37" max="40" width="10.7109375" style="4" customWidth="1"/>
    <col min="41" max="41" width="12.7109375" style="4" customWidth="1"/>
    <col min="42" max="42" width="1.7109375" style="4" customWidth="1"/>
    <col min="43" max="43" width="12.7109375" style="4" customWidth="1"/>
    <col min="44" max="16384" width="10.5703125" style="4"/>
  </cols>
  <sheetData>
    <row r="1" spans="1:43" ht="9.9499999999999993" customHeight="1" thickBot="1"/>
    <row r="2" spans="1:43" s="7" customFormat="1" ht="24.95" customHeight="1" thickBot="1">
      <c r="B2" s="782" t="s">
        <v>99</v>
      </c>
      <c r="C2" s="783">
        <f xml:space="preserve"> SalesProj!E2</f>
        <v>2008</v>
      </c>
      <c r="D2" s="784"/>
      <c r="E2" s="784"/>
      <c r="F2" s="784"/>
      <c r="G2" s="784"/>
      <c r="H2" s="784"/>
      <c r="I2" s="784"/>
      <c r="J2" s="784"/>
      <c r="K2" s="784"/>
      <c r="L2" s="784"/>
      <c r="M2" s="784"/>
      <c r="N2" s="784"/>
      <c r="O2" s="785"/>
      <c r="P2" s="137"/>
      <c r="Q2" s="783">
        <f>SalesProj!S2</f>
        <v>2009</v>
      </c>
      <c r="R2" s="784"/>
      <c r="S2" s="784"/>
      <c r="T2" s="784"/>
      <c r="U2" s="784"/>
      <c r="V2" s="784"/>
      <c r="W2" s="784"/>
      <c r="X2" s="784"/>
      <c r="Y2" s="784"/>
      <c r="Z2" s="784"/>
      <c r="AA2" s="784"/>
      <c r="AB2" s="784"/>
      <c r="AC2" s="785"/>
      <c r="AE2" s="783">
        <f xml:space="preserve"> SalesProj!AG2</f>
        <v>2010</v>
      </c>
      <c r="AF2" s="784"/>
      <c r="AG2" s="784"/>
      <c r="AH2" s="784"/>
      <c r="AI2" s="785"/>
      <c r="AK2" s="783">
        <f xml:space="preserve"> SalesProj!AM2</f>
        <v>2011</v>
      </c>
      <c r="AL2" s="784"/>
      <c r="AM2" s="784"/>
      <c r="AN2" s="784"/>
      <c r="AO2" s="785"/>
      <c r="AQ2" s="786">
        <f xml:space="preserve"> SalesProj!AS2</f>
        <v>2012</v>
      </c>
    </row>
    <row r="3" spans="1:43" s="19" customFormat="1" ht="14.1" customHeight="1" thickBot="1">
      <c r="A3" s="14"/>
      <c r="B3" s="707"/>
      <c r="C3" s="93" t="str">
        <f>SalesProj!E3</f>
        <v>January</v>
      </c>
      <c r="D3" s="93" t="str">
        <f>SalesProj!F3</f>
        <v>February</v>
      </c>
      <c r="E3" s="93" t="str">
        <f>SalesProj!G3</f>
        <v>March</v>
      </c>
      <c r="F3" s="93" t="str">
        <f>SalesProj!H3</f>
        <v>April</v>
      </c>
      <c r="G3" s="93" t="str">
        <f>SalesProj!I3</f>
        <v>May</v>
      </c>
      <c r="H3" s="93" t="str">
        <f>SalesProj!J3</f>
        <v>June</v>
      </c>
      <c r="I3" s="93" t="str">
        <f>SalesProj!K3</f>
        <v>July</v>
      </c>
      <c r="J3" s="93" t="str">
        <f>SalesProj!L3</f>
        <v>August</v>
      </c>
      <c r="K3" s="93" t="str">
        <f>SalesProj!M3</f>
        <v>September</v>
      </c>
      <c r="L3" s="93" t="str">
        <f>SalesProj!N3</f>
        <v>October</v>
      </c>
      <c r="M3" s="93" t="str">
        <f>SalesProj!O3</f>
        <v>November</v>
      </c>
      <c r="N3" s="93" t="str">
        <f>SalesProj!P3</f>
        <v>December</v>
      </c>
      <c r="O3" s="18" t="s">
        <v>18</v>
      </c>
      <c r="P3" s="58"/>
      <c r="Q3" s="93" t="str">
        <f>SalesProj!S3</f>
        <v>January</v>
      </c>
      <c r="R3" s="93" t="str">
        <f>SalesProj!T3</f>
        <v>February</v>
      </c>
      <c r="S3" s="93" t="str">
        <f>SalesProj!U3</f>
        <v>March</v>
      </c>
      <c r="T3" s="93" t="str">
        <f>SalesProj!V3</f>
        <v>April</v>
      </c>
      <c r="U3" s="93" t="str">
        <f>SalesProj!W3</f>
        <v>May</v>
      </c>
      <c r="V3" s="93" t="str">
        <f>SalesProj!X3</f>
        <v>June</v>
      </c>
      <c r="W3" s="93" t="str">
        <f>SalesProj!Y3</f>
        <v>July</v>
      </c>
      <c r="X3" s="93" t="str">
        <f>SalesProj!Z3</f>
        <v>August</v>
      </c>
      <c r="Y3" s="93" t="str">
        <f>SalesProj!AA3</f>
        <v>September</v>
      </c>
      <c r="Z3" s="93" t="str">
        <f>SalesProj!AB3</f>
        <v>October</v>
      </c>
      <c r="AA3" s="93" t="str">
        <f>SalesProj!AC3</f>
        <v>November</v>
      </c>
      <c r="AB3" s="93" t="str">
        <f>SalesProj!AD3</f>
        <v>December</v>
      </c>
      <c r="AC3" s="18" t="s">
        <v>18</v>
      </c>
      <c r="AE3" s="49" t="s">
        <v>50</v>
      </c>
      <c r="AF3" s="17" t="s">
        <v>51</v>
      </c>
      <c r="AG3" s="17" t="s">
        <v>52</v>
      </c>
      <c r="AH3" s="15" t="s">
        <v>53</v>
      </c>
      <c r="AI3" s="18" t="s">
        <v>18</v>
      </c>
      <c r="AK3" s="49" t="s">
        <v>50</v>
      </c>
      <c r="AL3" s="17" t="s">
        <v>51</v>
      </c>
      <c r="AM3" s="17" t="s">
        <v>52</v>
      </c>
      <c r="AN3" s="15" t="s">
        <v>53</v>
      </c>
      <c r="AO3" s="18" t="s">
        <v>18</v>
      </c>
      <c r="AQ3" s="18"/>
    </row>
    <row r="4" spans="1:43" s="62" customFormat="1" ht="14.1" customHeight="1">
      <c r="A4" s="59"/>
      <c r="B4" s="695"/>
      <c r="C4" s="60"/>
      <c r="D4" s="60"/>
      <c r="E4" s="60"/>
      <c r="F4" s="60"/>
      <c r="G4" s="60"/>
      <c r="H4" s="60"/>
      <c r="I4" s="60"/>
      <c r="J4" s="60"/>
      <c r="K4" s="60"/>
      <c r="L4" s="60"/>
      <c r="M4" s="60"/>
      <c r="N4" s="61"/>
      <c r="O4" s="64"/>
      <c r="P4" s="138"/>
      <c r="Q4" s="60"/>
      <c r="R4" s="60"/>
      <c r="S4" s="60"/>
      <c r="T4" s="60"/>
      <c r="U4" s="60"/>
      <c r="V4" s="60"/>
      <c r="W4" s="60"/>
      <c r="X4" s="60"/>
      <c r="Y4" s="60"/>
      <c r="Z4" s="60"/>
      <c r="AA4" s="60"/>
      <c r="AB4" s="61"/>
      <c r="AC4" s="64"/>
      <c r="AE4" s="63"/>
      <c r="AF4" s="60"/>
      <c r="AG4" s="60"/>
      <c r="AH4" s="61"/>
      <c r="AI4" s="64"/>
      <c r="AK4" s="63"/>
      <c r="AL4" s="60"/>
      <c r="AM4" s="60"/>
      <c r="AN4" s="61"/>
      <c r="AO4" s="64"/>
      <c r="AQ4" s="65"/>
    </row>
    <row r="5" spans="1:43" s="62" customFormat="1" ht="14.1" customHeight="1">
      <c r="B5" s="67" t="s">
        <v>92</v>
      </c>
      <c r="C5" s="60"/>
      <c r="D5" s="60"/>
      <c r="E5" s="60"/>
      <c r="F5" s="60"/>
      <c r="G5" s="60"/>
      <c r="H5" s="60"/>
      <c r="I5" s="60"/>
      <c r="J5" s="60"/>
      <c r="K5" s="60"/>
      <c r="L5" s="60"/>
      <c r="M5" s="60"/>
      <c r="N5" s="61"/>
      <c r="O5" s="65"/>
      <c r="P5" s="138"/>
      <c r="Q5" s="60"/>
      <c r="R5" s="60"/>
      <c r="S5" s="60"/>
      <c r="T5" s="60"/>
      <c r="U5" s="60"/>
      <c r="V5" s="60"/>
      <c r="W5" s="60"/>
      <c r="X5" s="60"/>
      <c r="Y5" s="60"/>
      <c r="Z5" s="60"/>
      <c r="AA5" s="60"/>
      <c r="AB5" s="61"/>
      <c r="AC5" s="65"/>
      <c r="AE5" s="63"/>
      <c r="AF5" s="60"/>
      <c r="AG5" s="60"/>
      <c r="AH5" s="61"/>
      <c r="AI5" s="65"/>
      <c r="AK5" s="63"/>
      <c r="AL5" s="60"/>
      <c r="AM5" s="60"/>
      <c r="AN5" s="61"/>
      <c r="AO5" s="65"/>
      <c r="AQ5" s="65"/>
    </row>
    <row r="6" spans="1:43" s="62" customFormat="1" ht="14.1" customHeight="1">
      <c r="B6" s="696" t="s">
        <v>93</v>
      </c>
      <c r="C6" s="213">
        <f>SalesProj!E107</f>
        <v>0</v>
      </c>
      <c r="D6" s="213">
        <f>SalesProj!F107</f>
        <v>0</v>
      </c>
      <c r="E6" s="213">
        <f>SalesProj!G107</f>
        <v>0</v>
      </c>
      <c r="F6" s="213">
        <f>SalesProj!H107</f>
        <v>0</v>
      </c>
      <c r="G6" s="213">
        <f>SalesProj!I107</f>
        <v>0</v>
      </c>
      <c r="H6" s="213">
        <f>SalesProj!J107</f>
        <v>0</v>
      </c>
      <c r="I6" s="213">
        <f>SalesProj!K107</f>
        <v>0</v>
      </c>
      <c r="J6" s="213">
        <f>SalesProj!L107</f>
        <v>0</v>
      </c>
      <c r="K6" s="213">
        <f>SalesProj!M107</f>
        <v>0</v>
      </c>
      <c r="L6" s="213">
        <f>SalesProj!N107</f>
        <v>0</v>
      </c>
      <c r="M6" s="213">
        <f>SalesProj!O107</f>
        <v>0</v>
      </c>
      <c r="N6" s="213">
        <f>SalesProj!P107</f>
        <v>0</v>
      </c>
      <c r="O6" s="214">
        <f>SUM(C6:N6)</f>
        <v>0</v>
      </c>
      <c r="P6" s="215"/>
      <c r="Q6" s="213">
        <f>SalesProj!S107</f>
        <v>0</v>
      </c>
      <c r="R6" s="213">
        <f>SalesProj!T107</f>
        <v>0</v>
      </c>
      <c r="S6" s="213">
        <f>SalesProj!U107</f>
        <v>0</v>
      </c>
      <c r="T6" s="213">
        <f>SalesProj!V107</f>
        <v>0</v>
      </c>
      <c r="U6" s="213">
        <f>SalesProj!W107</f>
        <v>0</v>
      </c>
      <c r="V6" s="213">
        <f>SalesProj!X107</f>
        <v>0</v>
      </c>
      <c r="W6" s="213">
        <f>SalesProj!Y107</f>
        <v>0</v>
      </c>
      <c r="X6" s="213">
        <f>SalesProj!Z107</f>
        <v>0</v>
      </c>
      <c r="Y6" s="213">
        <f>SalesProj!AA107</f>
        <v>0</v>
      </c>
      <c r="Z6" s="213">
        <f>SalesProj!AB107</f>
        <v>0</v>
      </c>
      <c r="AA6" s="213">
        <f>SalesProj!AC107</f>
        <v>0</v>
      </c>
      <c r="AB6" s="213">
        <f>SalesProj!AD107</f>
        <v>0</v>
      </c>
      <c r="AC6" s="214">
        <f>SUM(Q6:AB6)</f>
        <v>0</v>
      </c>
      <c r="AD6" s="216"/>
      <c r="AE6" s="217">
        <f>SalesProj!AG107</f>
        <v>0</v>
      </c>
      <c r="AF6" s="213">
        <f>SalesProj!AH107</f>
        <v>0</v>
      </c>
      <c r="AG6" s="213">
        <f>SalesProj!AI107</f>
        <v>0</v>
      </c>
      <c r="AH6" s="213">
        <f>SalesProj!AJ107</f>
        <v>0</v>
      </c>
      <c r="AI6" s="214">
        <f>SUM(AE6:AH6)</f>
        <v>0</v>
      </c>
      <c r="AJ6" s="216"/>
      <c r="AK6" s="217">
        <f>SalesProj!AM107</f>
        <v>0</v>
      </c>
      <c r="AL6" s="213">
        <f>SalesProj!AN107</f>
        <v>0</v>
      </c>
      <c r="AM6" s="213">
        <f>SalesProj!AO107</f>
        <v>0</v>
      </c>
      <c r="AN6" s="213">
        <f>SalesProj!AP107</f>
        <v>0</v>
      </c>
      <c r="AO6" s="214">
        <f>SUM(AK6:AN6)</f>
        <v>0</v>
      </c>
      <c r="AP6" s="216"/>
      <c r="AQ6" s="218">
        <f>SalesProj!AS107</f>
        <v>0</v>
      </c>
    </row>
    <row r="7" spans="1:43" s="62" customFormat="1" ht="14.1" customHeight="1">
      <c r="B7" s="697" t="s">
        <v>80</v>
      </c>
      <c r="C7" s="213">
        <f>SalesProj!E108</f>
        <v>0</v>
      </c>
      <c r="D7" s="213">
        <f>SalesProj!F108</f>
        <v>0</v>
      </c>
      <c r="E7" s="213">
        <f>SalesProj!G108</f>
        <v>0</v>
      </c>
      <c r="F7" s="213">
        <f>SalesProj!H108</f>
        <v>0</v>
      </c>
      <c r="G7" s="213">
        <f>SalesProj!I108</f>
        <v>0</v>
      </c>
      <c r="H7" s="213">
        <f>SalesProj!J108</f>
        <v>0</v>
      </c>
      <c r="I7" s="213">
        <f>SalesProj!K108</f>
        <v>0</v>
      </c>
      <c r="J7" s="213">
        <f>SalesProj!L108</f>
        <v>0</v>
      </c>
      <c r="K7" s="213">
        <f>SalesProj!M108</f>
        <v>0</v>
      </c>
      <c r="L7" s="213">
        <f>SalesProj!N108</f>
        <v>0</v>
      </c>
      <c r="M7" s="213">
        <f>SalesProj!O108</f>
        <v>0</v>
      </c>
      <c r="N7" s="213">
        <f>SalesProj!P108</f>
        <v>0</v>
      </c>
      <c r="O7" s="218">
        <f>SUM(C7:N7)</f>
        <v>0</v>
      </c>
      <c r="P7" s="219"/>
      <c r="Q7" s="213">
        <f>SalesProj!S108</f>
        <v>0</v>
      </c>
      <c r="R7" s="213">
        <f>SalesProj!T108</f>
        <v>0</v>
      </c>
      <c r="S7" s="213">
        <f>SalesProj!U108</f>
        <v>0</v>
      </c>
      <c r="T7" s="213">
        <f>SalesProj!V108</f>
        <v>0</v>
      </c>
      <c r="U7" s="213">
        <f>SalesProj!W108</f>
        <v>0</v>
      </c>
      <c r="V7" s="213">
        <f>SalesProj!X108</f>
        <v>0</v>
      </c>
      <c r="W7" s="213">
        <f>SalesProj!Y108</f>
        <v>0</v>
      </c>
      <c r="X7" s="213">
        <f>SalesProj!Z108</f>
        <v>0</v>
      </c>
      <c r="Y7" s="213">
        <f>SalesProj!AA108</f>
        <v>0</v>
      </c>
      <c r="Z7" s="213">
        <f>SalesProj!AB108</f>
        <v>0</v>
      </c>
      <c r="AA7" s="213">
        <f>SalesProj!AC108</f>
        <v>0</v>
      </c>
      <c r="AB7" s="213">
        <f>SalesProj!AD108</f>
        <v>0</v>
      </c>
      <c r="AC7" s="214">
        <f>SUM(Q7:AB7)</f>
        <v>0</v>
      </c>
      <c r="AD7" s="216"/>
      <c r="AE7" s="217">
        <f>SalesProj!AG108</f>
        <v>0</v>
      </c>
      <c r="AF7" s="259">
        <f>SalesProj!AH108</f>
        <v>0</v>
      </c>
      <c r="AG7" s="259">
        <f>SalesProj!AI108</f>
        <v>0</v>
      </c>
      <c r="AH7" s="213">
        <f>SalesProj!AJ108</f>
        <v>0</v>
      </c>
      <c r="AI7" s="214">
        <f>SUM(AE7:AH7)</f>
        <v>0</v>
      </c>
      <c r="AJ7" s="216"/>
      <c r="AK7" s="217">
        <f>SalesProj!AM108</f>
        <v>0</v>
      </c>
      <c r="AL7" s="259">
        <f>SalesProj!AN108</f>
        <v>0</v>
      </c>
      <c r="AM7" s="259">
        <f>SalesProj!AO108</f>
        <v>0</v>
      </c>
      <c r="AN7" s="213">
        <f>SalesProj!AP108</f>
        <v>0</v>
      </c>
      <c r="AO7" s="214">
        <f>SUM(AK7:AN7)</f>
        <v>0</v>
      </c>
      <c r="AP7" s="216"/>
      <c r="AQ7" s="218">
        <f>SalesProj!AS108</f>
        <v>0</v>
      </c>
    </row>
    <row r="8" spans="1:43" s="62" customFormat="1" ht="14.1" customHeight="1">
      <c r="B8" s="697" t="s">
        <v>94</v>
      </c>
      <c r="C8" s="213">
        <f>SalesProj!E109</f>
        <v>0</v>
      </c>
      <c r="D8" s="213">
        <f>SalesProj!F109</f>
        <v>0</v>
      </c>
      <c r="E8" s="213">
        <f>SalesProj!G109</f>
        <v>0</v>
      </c>
      <c r="F8" s="213">
        <f>SalesProj!H109</f>
        <v>0</v>
      </c>
      <c r="G8" s="213">
        <f>SalesProj!I109</f>
        <v>0</v>
      </c>
      <c r="H8" s="213">
        <f>SalesProj!J109</f>
        <v>0</v>
      </c>
      <c r="I8" s="213">
        <f>SalesProj!K109</f>
        <v>0</v>
      </c>
      <c r="J8" s="213">
        <f>SalesProj!L109</f>
        <v>0</v>
      </c>
      <c r="K8" s="213">
        <f>SalesProj!M109</f>
        <v>0</v>
      </c>
      <c r="L8" s="213">
        <f>SalesProj!N109</f>
        <v>0</v>
      </c>
      <c r="M8" s="213">
        <f>SalesProj!O109</f>
        <v>0</v>
      </c>
      <c r="N8" s="213">
        <f>SalesProj!P109</f>
        <v>0</v>
      </c>
      <c r="O8" s="214">
        <f>SUM(C8:N8)</f>
        <v>0</v>
      </c>
      <c r="P8" s="215"/>
      <c r="Q8" s="213">
        <f>SalesProj!S109</f>
        <v>0</v>
      </c>
      <c r="R8" s="213">
        <f>SalesProj!T109</f>
        <v>0</v>
      </c>
      <c r="S8" s="213">
        <f>SalesProj!U109</f>
        <v>0</v>
      </c>
      <c r="T8" s="213">
        <f>SalesProj!V109</f>
        <v>0</v>
      </c>
      <c r="U8" s="213">
        <f>SalesProj!W109</f>
        <v>0</v>
      </c>
      <c r="V8" s="213">
        <f>SalesProj!X109</f>
        <v>0</v>
      </c>
      <c r="W8" s="213">
        <f>SalesProj!Y109</f>
        <v>0</v>
      </c>
      <c r="X8" s="213">
        <f>SalesProj!Z109</f>
        <v>0</v>
      </c>
      <c r="Y8" s="213">
        <f>SalesProj!AA109</f>
        <v>0</v>
      </c>
      <c r="Z8" s="213">
        <f>SalesProj!AB109</f>
        <v>0</v>
      </c>
      <c r="AA8" s="213">
        <f>SalesProj!AC109</f>
        <v>0</v>
      </c>
      <c r="AB8" s="213">
        <f>SalesProj!AD109</f>
        <v>0</v>
      </c>
      <c r="AC8" s="214">
        <f>SUM(Q8:AB8)</f>
        <v>0</v>
      </c>
      <c r="AD8" s="216"/>
      <c r="AE8" s="217">
        <f>SalesProj!AG109</f>
        <v>0</v>
      </c>
      <c r="AF8" s="259">
        <f>SalesProj!AH109</f>
        <v>0</v>
      </c>
      <c r="AG8" s="259">
        <f>SalesProj!AI109</f>
        <v>0</v>
      </c>
      <c r="AH8" s="213">
        <f>SalesProj!AJ109</f>
        <v>0</v>
      </c>
      <c r="AI8" s="214">
        <f>SUM(AE8:AH8)</f>
        <v>0</v>
      </c>
      <c r="AJ8" s="216"/>
      <c r="AK8" s="217">
        <f>SalesProj!AM109</f>
        <v>0</v>
      </c>
      <c r="AL8" s="259">
        <f>SalesProj!AN109</f>
        <v>0</v>
      </c>
      <c r="AM8" s="259">
        <f>SalesProj!AO109</f>
        <v>0</v>
      </c>
      <c r="AN8" s="213">
        <f>SalesProj!AP109</f>
        <v>0</v>
      </c>
      <c r="AO8" s="214">
        <f>SUM(AK8:AN8)</f>
        <v>0</v>
      </c>
      <c r="AP8" s="216"/>
      <c r="AQ8" s="218">
        <f>SalesProj!AS109</f>
        <v>0</v>
      </c>
    </row>
    <row r="9" spans="1:43" s="62" customFormat="1" ht="14.1" customHeight="1" thickBot="1">
      <c r="A9" s="66"/>
      <c r="B9" s="67" t="s">
        <v>30</v>
      </c>
      <c r="C9" s="223">
        <f t="shared" ref="C9:N9" si="0">SUM(C6-C7-C8)</f>
        <v>0</v>
      </c>
      <c r="D9" s="220">
        <f t="shared" si="0"/>
        <v>0</v>
      </c>
      <c r="E9" s="220">
        <f t="shared" si="0"/>
        <v>0</v>
      </c>
      <c r="F9" s="220">
        <f t="shared" si="0"/>
        <v>0</v>
      </c>
      <c r="G9" s="220">
        <f t="shared" si="0"/>
        <v>0</v>
      </c>
      <c r="H9" s="220">
        <f t="shared" si="0"/>
        <v>0</v>
      </c>
      <c r="I9" s="220">
        <f t="shared" si="0"/>
        <v>0</v>
      </c>
      <c r="J9" s="220">
        <f t="shared" si="0"/>
        <v>0</v>
      </c>
      <c r="K9" s="220">
        <f t="shared" si="0"/>
        <v>0</v>
      </c>
      <c r="L9" s="220">
        <f t="shared" si="0"/>
        <v>0</v>
      </c>
      <c r="M9" s="220">
        <f t="shared" si="0"/>
        <v>0</v>
      </c>
      <c r="N9" s="221">
        <f t="shared" si="0"/>
        <v>0</v>
      </c>
      <c r="O9" s="222">
        <f>SUM(O6-O7-O8)</f>
        <v>0</v>
      </c>
      <c r="P9" s="215"/>
      <c r="Q9" s="223">
        <f t="shared" ref="Q9:AC9" si="1">SUM(Q6-Q7-Q8)</f>
        <v>0</v>
      </c>
      <c r="R9" s="220">
        <f t="shared" si="1"/>
        <v>0</v>
      </c>
      <c r="S9" s="220">
        <f t="shared" si="1"/>
        <v>0</v>
      </c>
      <c r="T9" s="220">
        <f t="shared" si="1"/>
        <v>0</v>
      </c>
      <c r="U9" s="220">
        <f t="shared" si="1"/>
        <v>0</v>
      </c>
      <c r="V9" s="220">
        <f t="shared" si="1"/>
        <v>0</v>
      </c>
      <c r="W9" s="220">
        <f t="shared" si="1"/>
        <v>0</v>
      </c>
      <c r="X9" s="220">
        <f t="shared" si="1"/>
        <v>0</v>
      </c>
      <c r="Y9" s="220">
        <f t="shared" si="1"/>
        <v>0</v>
      </c>
      <c r="Z9" s="220">
        <f t="shared" si="1"/>
        <v>0</v>
      </c>
      <c r="AA9" s="220">
        <f t="shared" si="1"/>
        <v>0</v>
      </c>
      <c r="AB9" s="221">
        <f t="shared" si="1"/>
        <v>0</v>
      </c>
      <c r="AC9" s="222">
        <f t="shared" si="1"/>
        <v>0</v>
      </c>
      <c r="AD9" s="216"/>
      <c r="AE9" s="224">
        <f>SUM(AE6-AE7-AE8)</f>
        <v>0</v>
      </c>
      <c r="AF9" s="220">
        <f>SUM(AF6-AF7-AF8)</f>
        <v>0</v>
      </c>
      <c r="AG9" s="220">
        <f>SUM(AG6-AG7-AG8)</f>
        <v>0</v>
      </c>
      <c r="AH9" s="225">
        <f>SUM(AH6-AH7-AH8)</f>
        <v>0</v>
      </c>
      <c r="AI9" s="222">
        <f>SUM(AI6-AI7-AI8)</f>
        <v>0</v>
      </c>
      <c r="AJ9" s="216"/>
      <c r="AK9" s="224">
        <f>SUM(AK6-AK7-AK8)</f>
        <v>0</v>
      </c>
      <c r="AL9" s="220">
        <f>SUM(AL6-AL7-AL8)</f>
        <v>0</v>
      </c>
      <c r="AM9" s="220">
        <f>SUM(AM6-AM7-AM8)</f>
        <v>0</v>
      </c>
      <c r="AN9" s="225">
        <f>SUM(AN6-AN7-AN8)</f>
        <v>0</v>
      </c>
      <c r="AO9" s="222">
        <f>SUM(AO6-AO7-AO8)</f>
        <v>0</v>
      </c>
      <c r="AP9" s="216"/>
      <c r="AQ9" s="226">
        <f>SUM(AQ6-AQ7-AQ8)</f>
        <v>0</v>
      </c>
    </row>
    <row r="10" spans="1:43" s="62" customFormat="1" ht="14.1" customHeight="1">
      <c r="A10" s="66"/>
      <c r="B10" s="68" t="s">
        <v>95</v>
      </c>
      <c r="C10" s="229">
        <f>SalesProj!E111</f>
        <v>0</v>
      </c>
      <c r="D10" s="227">
        <f>SalesProj!F111</f>
        <v>0</v>
      </c>
      <c r="E10" s="227">
        <f>SalesProj!G111</f>
        <v>0</v>
      </c>
      <c r="F10" s="227">
        <f>SalesProj!H111</f>
        <v>0</v>
      </c>
      <c r="G10" s="227">
        <f>SalesProj!I111</f>
        <v>0</v>
      </c>
      <c r="H10" s="227">
        <f>SalesProj!J111</f>
        <v>0</v>
      </c>
      <c r="I10" s="227">
        <f>SalesProj!K111</f>
        <v>0</v>
      </c>
      <c r="J10" s="227">
        <f>SalesProj!L111</f>
        <v>0</v>
      </c>
      <c r="K10" s="227">
        <f>SalesProj!M111</f>
        <v>0</v>
      </c>
      <c r="L10" s="227">
        <f>SalesProj!N111</f>
        <v>0</v>
      </c>
      <c r="M10" s="227">
        <f>SalesProj!O111</f>
        <v>0</v>
      </c>
      <c r="N10" s="227">
        <f>SalesProj!P111</f>
        <v>0</v>
      </c>
      <c r="O10" s="228">
        <f>SUM(C10:N10)</f>
        <v>0</v>
      </c>
      <c r="P10" s="215"/>
      <c r="Q10" s="229">
        <f>SalesProj!S111</f>
        <v>0</v>
      </c>
      <c r="R10" s="229">
        <f>SalesProj!T111</f>
        <v>0</v>
      </c>
      <c r="S10" s="229">
        <f>SalesProj!U111</f>
        <v>0</v>
      </c>
      <c r="T10" s="229">
        <f>SalesProj!V111</f>
        <v>0</v>
      </c>
      <c r="U10" s="229">
        <f>SalesProj!W111</f>
        <v>0</v>
      </c>
      <c r="V10" s="229">
        <f>SalesProj!X111</f>
        <v>0</v>
      </c>
      <c r="W10" s="229">
        <f>SalesProj!Y111</f>
        <v>0</v>
      </c>
      <c r="X10" s="229">
        <f>SalesProj!Z111</f>
        <v>0</v>
      </c>
      <c r="Y10" s="229">
        <f>SalesProj!AA111</f>
        <v>0</v>
      </c>
      <c r="Z10" s="229">
        <f>SalesProj!AB111</f>
        <v>0</v>
      </c>
      <c r="AA10" s="229">
        <f>SalesProj!AC111</f>
        <v>0</v>
      </c>
      <c r="AB10" s="229">
        <f>SalesProj!AD111</f>
        <v>0</v>
      </c>
      <c r="AC10" s="228">
        <f>SUM(Q10:AB10)</f>
        <v>0</v>
      </c>
      <c r="AD10" s="216"/>
      <c r="AE10" s="230">
        <f>SalesProj!AG111</f>
        <v>0</v>
      </c>
      <c r="AF10" s="227">
        <f>SalesProj!AH111</f>
        <v>0</v>
      </c>
      <c r="AG10" s="227">
        <f>SalesProj!AI111</f>
        <v>0</v>
      </c>
      <c r="AH10" s="229">
        <f>SalesProj!AJ111</f>
        <v>0</v>
      </c>
      <c r="AI10" s="228">
        <f>SUM(AE10:AH10)</f>
        <v>0</v>
      </c>
      <c r="AJ10" s="216"/>
      <c r="AK10" s="230">
        <f>SalesProj!AM111</f>
        <v>0</v>
      </c>
      <c r="AL10" s="227">
        <f>SalesProj!AN111</f>
        <v>0</v>
      </c>
      <c r="AM10" s="227">
        <f>SalesProj!AO111</f>
        <v>0</v>
      </c>
      <c r="AN10" s="229">
        <f>SalesProj!AP111</f>
        <v>0</v>
      </c>
      <c r="AO10" s="228">
        <f>SUM(AK10:AN10)</f>
        <v>0</v>
      </c>
      <c r="AP10" s="216"/>
      <c r="AQ10" s="231">
        <f>SalesProj!AS111</f>
        <v>0</v>
      </c>
    </row>
    <row r="11" spans="1:43" s="62" customFormat="1" ht="14.1" customHeight="1" thickBot="1">
      <c r="A11" s="66"/>
      <c r="B11" s="698" t="s">
        <v>31</v>
      </c>
      <c r="C11" s="232">
        <f t="shared" ref="C11:O11" si="2">SUM(C9-C10)</f>
        <v>0</v>
      </c>
      <c r="D11" s="232">
        <f t="shared" si="2"/>
        <v>0</v>
      </c>
      <c r="E11" s="232">
        <f t="shared" si="2"/>
        <v>0</v>
      </c>
      <c r="F11" s="232">
        <f t="shared" si="2"/>
        <v>0</v>
      </c>
      <c r="G11" s="232">
        <f t="shared" si="2"/>
        <v>0</v>
      </c>
      <c r="H11" s="232">
        <f t="shared" si="2"/>
        <v>0</v>
      </c>
      <c r="I11" s="232">
        <f t="shared" si="2"/>
        <v>0</v>
      </c>
      <c r="J11" s="232">
        <f t="shared" si="2"/>
        <v>0</v>
      </c>
      <c r="K11" s="232">
        <f t="shared" si="2"/>
        <v>0</v>
      </c>
      <c r="L11" s="232">
        <f t="shared" si="2"/>
        <v>0</v>
      </c>
      <c r="M11" s="232">
        <f t="shared" si="2"/>
        <v>0</v>
      </c>
      <c r="N11" s="233">
        <f t="shared" si="2"/>
        <v>0</v>
      </c>
      <c r="O11" s="234">
        <f t="shared" si="2"/>
        <v>0</v>
      </c>
      <c r="P11" s="215"/>
      <c r="Q11" s="232">
        <f t="shared" ref="Q11:AC11" si="3">SUM(Q9-Q10)</f>
        <v>0</v>
      </c>
      <c r="R11" s="232">
        <f t="shared" si="3"/>
        <v>0</v>
      </c>
      <c r="S11" s="232">
        <f t="shared" si="3"/>
        <v>0</v>
      </c>
      <c r="T11" s="232">
        <f t="shared" si="3"/>
        <v>0</v>
      </c>
      <c r="U11" s="232">
        <f t="shared" si="3"/>
        <v>0</v>
      </c>
      <c r="V11" s="232">
        <f t="shared" si="3"/>
        <v>0</v>
      </c>
      <c r="W11" s="232">
        <f t="shared" si="3"/>
        <v>0</v>
      </c>
      <c r="X11" s="232">
        <f t="shared" si="3"/>
        <v>0</v>
      </c>
      <c r="Y11" s="232">
        <f t="shared" si="3"/>
        <v>0</v>
      </c>
      <c r="Z11" s="232">
        <f t="shared" si="3"/>
        <v>0</v>
      </c>
      <c r="AA11" s="232">
        <f t="shared" si="3"/>
        <v>0</v>
      </c>
      <c r="AB11" s="233">
        <f t="shared" si="3"/>
        <v>0</v>
      </c>
      <c r="AC11" s="234">
        <f t="shared" si="3"/>
        <v>0</v>
      </c>
      <c r="AD11" s="216"/>
      <c r="AE11" s="235">
        <f>SUM(AE9-AE10)</f>
        <v>0</v>
      </c>
      <c r="AF11" s="232">
        <f>SUM(AF9-AF10)</f>
        <v>0</v>
      </c>
      <c r="AG11" s="232">
        <f>SUM(AG9-AG10)</f>
        <v>0</v>
      </c>
      <c r="AH11" s="233">
        <f>SUM(AH9-AH10)</f>
        <v>0</v>
      </c>
      <c r="AI11" s="234">
        <f>SUM(AI9-AI10)</f>
        <v>0</v>
      </c>
      <c r="AJ11" s="216"/>
      <c r="AK11" s="235">
        <f>SUM(AK9-AK10)</f>
        <v>0</v>
      </c>
      <c r="AL11" s="232">
        <f>SUM(AL9-AL10)</f>
        <v>0</v>
      </c>
      <c r="AM11" s="232">
        <f>SUM(AM9-AM10)</f>
        <v>0</v>
      </c>
      <c r="AN11" s="233">
        <f>SUM(AN9-AN10)</f>
        <v>0</v>
      </c>
      <c r="AO11" s="234">
        <f>SUM(AO9-AO10)</f>
        <v>0</v>
      </c>
      <c r="AP11" s="216"/>
      <c r="AQ11" s="234">
        <f>SUM(AQ9-AQ10)</f>
        <v>0</v>
      </c>
    </row>
    <row r="12" spans="1:43" s="62" customFormat="1" ht="14.1" customHeight="1">
      <c r="B12" s="67"/>
      <c r="C12" s="223"/>
      <c r="D12" s="223"/>
      <c r="E12" s="223"/>
      <c r="F12" s="223"/>
      <c r="G12" s="223"/>
      <c r="H12" s="223"/>
      <c r="I12" s="223"/>
      <c r="J12" s="223"/>
      <c r="K12" s="223"/>
      <c r="L12" s="223"/>
      <c r="M12" s="223"/>
      <c r="N12" s="236"/>
      <c r="O12" s="226"/>
      <c r="P12" s="215"/>
      <c r="Q12" s="223"/>
      <c r="R12" s="223"/>
      <c r="S12" s="223"/>
      <c r="T12" s="223"/>
      <c r="U12" s="223"/>
      <c r="V12" s="223"/>
      <c r="W12" s="223"/>
      <c r="X12" s="223"/>
      <c r="Y12" s="223"/>
      <c r="Z12" s="223"/>
      <c r="AA12" s="223"/>
      <c r="AB12" s="236"/>
      <c r="AC12" s="226"/>
      <c r="AD12" s="216"/>
      <c r="AE12" s="224"/>
      <c r="AF12" s="223"/>
      <c r="AG12" s="223"/>
      <c r="AH12" s="236"/>
      <c r="AI12" s="226"/>
      <c r="AJ12" s="216"/>
      <c r="AK12" s="224"/>
      <c r="AL12" s="223"/>
      <c r="AM12" s="223"/>
      <c r="AN12" s="236"/>
      <c r="AO12" s="226"/>
      <c r="AP12" s="216"/>
      <c r="AQ12" s="226"/>
    </row>
    <row r="13" spans="1:43" s="62" customFormat="1" ht="14.1" customHeight="1">
      <c r="B13" s="699" t="s">
        <v>49</v>
      </c>
      <c r="C13" s="237"/>
      <c r="D13" s="237"/>
      <c r="E13" s="237"/>
      <c r="F13" s="237"/>
      <c r="G13" s="237"/>
      <c r="H13" s="237"/>
      <c r="I13" s="237"/>
      <c r="J13" s="237"/>
      <c r="K13" s="237"/>
      <c r="L13" s="237"/>
      <c r="M13" s="237"/>
      <c r="N13" s="238"/>
      <c r="O13" s="239"/>
      <c r="P13" s="215"/>
      <c r="Q13" s="237"/>
      <c r="R13" s="237"/>
      <c r="S13" s="237"/>
      <c r="T13" s="237"/>
      <c r="U13" s="237"/>
      <c r="V13" s="237"/>
      <c r="W13" s="237"/>
      <c r="X13" s="237"/>
      <c r="Y13" s="237"/>
      <c r="Z13" s="237"/>
      <c r="AA13" s="237"/>
      <c r="AB13" s="238"/>
      <c r="AC13" s="239"/>
      <c r="AD13" s="216"/>
      <c r="AE13" s="240"/>
      <c r="AF13" s="237"/>
      <c r="AG13" s="237"/>
      <c r="AH13" s="238"/>
      <c r="AI13" s="239"/>
      <c r="AJ13" s="216"/>
      <c r="AK13" s="240"/>
      <c r="AL13" s="237"/>
      <c r="AM13" s="237"/>
      <c r="AN13" s="238"/>
      <c r="AO13" s="239"/>
      <c r="AP13" s="216"/>
      <c r="AQ13" s="239"/>
    </row>
    <row r="14" spans="1:43" s="53" customFormat="1" ht="14.1" customHeight="1">
      <c r="B14" s="697" t="s">
        <v>32</v>
      </c>
      <c r="C14" s="161">
        <f>PersBudj!C42</f>
        <v>0</v>
      </c>
      <c r="D14" s="161">
        <f>PersBudj!D42</f>
        <v>0</v>
      </c>
      <c r="E14" s="161">
        <f>PersBudj!E42</f>
        <v>0</v>
      </c>
      <c r="F14" s="161">
        <f>PersBudj!F42</f>
        <v>0</v>
      </c>
      <c r="G14" s="161">
        <f>PersBudj!G42</f>
        <v>0</v>
      </c>
      <c r="H14" s="161">
        <f>PersBudj!H42</f>
        <v>0</v>
      </c>
      <c r="I14" s="161">
        <f>PersBudj!I42</f>
        <v>0</v>
      </c>
      <c r="J14" s="161">
        <f>PersBudj!J42</f>
        <v>0</v>
      </c>
      <c r="K14" s="161">
        <f>PersBudj!K42</f>
        <v>0</v>
      </c>
      <c r="L14" s="161">
        <f>PersBudj!L42</f>
        <v>0</v>
      </c>
      <c r="M14" s="161">
        <f>PersBudj!M42</f>
        <v>0</v>
      </c>
      <c r="N14" s="161">
        <f>PersBudj!N42</f>
        <v>0</v>
      </c>
      <c r="O14" s="197">
        <f t="shared" ref="O14:O32" si="4">SUM(C14:N14)</f>
        <v>0</v>
      </c>
      <c r="P14" s="241"/>
      <c r="Q14" s="161">
        <f>PersBudj!Q42</f>
        <v>0</v>
      </c>
      <c r="R14" s="161">
        <f>PersBudj!R42</f>
        <v>0</v>
      </c>
      <c r="S14" s="161">
        <f>PersBudj!S42</f>
        <v>0</v>
      </c>
      <c r="T14" s="161">
        <f>PersBudj!T42</f>
        <v>0</v>
      </c>
      <c r="U14" s="161">
        <f>PersBudj!U42</f>
        <v>0</v>
      </c>
      <c r="V14" s="161">
        <f>PersBudj!V42</f>
        <v>0</v>
      </c>
      <c r="W14" s="161">
        <f>PersBudj!W42</f>
        <v>0</v>
      </c>
      <c r="X14" s="161">
        <f>PersBudj!X42</f>
        <v>0</v>
      </c>
      <c r="Y14" s="161">
        <f>PersBudj!Y42</f>
        <v>0</v>
      </c>
      <c r="Z14" s="161">
        <f>PersBudj!Z42</f>
        <v>0</v>
      </c>
      <c r="AA14" s="161">
        <f>PersBudj!AA42</f>
        <v>0</v>
      </c>
      <c r="AB14" s="161">
        <f>PersBudj!AB42</f>
        <v>0</v>
      </c>
      <c r="AC14" s="197">
        <f t="shared" ref="AC14:AC25" si="5">SUM(Q14:AB14)</f>
        <v>0</v>
      </c>
      <c r="AD14" s="199"/>
      <c r="AE14" s="242">
        <f>PersBudj!AE42</f>
        <v>0</v>
      </c>
      <c r="AF14" s="164">
        <f>PersBudj!AF42</f>
        <v>0</v>
      </c>
      <c r="AG14" s="161">
        <f>PersBudj!AG42</f>
        <v>0</v>
      </c>
      <c r="AH14" s="161">
        <f>PersBudj!AH42</f>
        <v>0</v>
      </c>
      <c r="AI14" s="200">
        <f t="shared" ref="AI14:AI32" si="6">SUM(AE14:AH14)</f>
        <v>0</v>
      </c>
      <c r="AJ14" s="199"/>
      <c r="AK14" s="191">
        <f>PersBudj!AK42</f>
        <v>0</v>
      </c>
      <c r="AL14" s="161">
        <f>PersBudj!AL42</f>
        <v>0</v>
      </c>
      <c r="AM14" s="161">
        <f>PersBudj!AM42</f>
        <v>0</v>
      </c>
      <c r="AN14" s="189">
        <f>PersBudj!AN42</f>
        <v>0</v>
      </c>
      <c r="AO14" s="200">
        <f t="shared" ref="AO14:AO32" si="7">SUM(AK14:AN14)</f>
        <v>0</v>
      </c>
      <c r="AP14" s="199"/>
      <c r="AQ14" s="162">
        <f>PersBudj!AQ42</f>
        <v>0</v>
      </c>
    </row>
    <row r="15" spans="1:43" s="53" customFormat="1" ht="14.1" customHeight="1">
      <c r="B15" s="700" t="s">
        <v>33</v>
      </c>
      <c r="C15" s="176">
        <f>PersBudj!C43</f>
        <v>0</v>
      </c>
      <c r="D15" s="176">
        <f>PersBudj!D43</f>
        <v>0</v>
      </c>
      <c r="E15" s="176">
        <f>PersBudj!E43</f>
        <v>0</v>
      </c>
      <c r="F15" s="176">
        <f>PersBudj!F43</f>
        <v>0</v>
      </c>
      <c r="G15" s="176">
        <f>PersBudj!G43</f>
        <v>0</v>
      </c>
      <c r="H15" s="176">
        <f>PersBudj!H43</f>
        <v>0</v>
      </c>
      <c r="I15" s="176">
        <f>PersBudj!I43</f>
        <v>0</v>
      </c>
      <c r="J15" s="176">
        <f>PersBudj!J43</f>
        <v>0</v>
      </c>
      <c r="K15" s="176">
        <f>PersBudj!K43</f>
        <v>0</v>
      </c>
      <c r="L15" s="176">
        <f>PersBudj!L43</f>
        <v>0</v>
      </c>
      <c r="M15" s="176">
        <f>PersBudj!M43</f>
        <v>0</v>
      </c>
      <c r="N15" s="176">
        <f>PersBudj!N43</f>
        <v>0</v>
      </c>
      <c r="O15" s="200">
        <f t="shared" si="4"/>
        <v>0</v>
      </c>
      <c r="P15" s="241"/>
      <c r="Q15" s="176">
        <f>PersBudj!Q43</f>
        <v>0</v>
      </c>
      <c r="R15" s="176">
        <f>PersBudj!R43</f>
        <v>0</v>
      </c>
      <c r="S15" s="176">
        <f>PersBudj!S43</f>
        <v>0</v>
      </c>
      <c r="T15" s="176">
        <f>PersBudj!T43</f>
        <v>0</v>
      </c>
      <c r="U15" s="176">
        <f>PersBudj!U43</f>
        <v>0</v>
      </c>
      <c r="V15" s="176">
        <f>PersBudj!V43</f>
        <v>0</v>
      </c>
      <c r="W15" s="176">
        <f>PersBudj!W43</f>
        <v>0</v>
      </c>
      <c r="X15" s="176">
        <f>PersBudj!X43</f>
        <v>0</v>
      </c>
      <c r="Y15" s="176">
        <f>PersBudj!Y43</f>
        <v>0</v>
      </c>
      <c r="Z15" s="176">
        <f>PersBudj!Z43</f>
        <v>0</v>
      </c>
      <c r="AA15" s="176">
        <f>PersBudj!AA43</f>
        <v>0</v>
      </c>
      <c r="AB15" s="176">
        <f>PersBudj!AB43</f>
        <v>0</v>
      </c>
      <c r="AC15" s="200">
        <f t="shared" si="5"/>
        <v>0</v>
      </c>
      <c r="AD15" s="199"/>
      <c r="AE15" s="177">
        <f>PersBudj!AE43</f>
        <v>0</v>
      </c>
      <c r="AF15" s="176">
        <f>PersBudj!AF43</f>
        <v>0</v>
      </c>
      <c r="AG15" s="176">
        <f>PersBudj!AG43</f>
        <v>0</v>
      </c>
      <c r="AH15" s="243">
        <f>PersBudj!AH43</f>
        <v>0</v>
      </c>
      <c r="AI15" s="200">
        <f t="shared" si="6"/>
        <v>0</v>
      </c>
      <c r="AJ15" s="199"/>
      <c r="AK15" s="177">
        <f>PersBudj!AK43</f>
        <v>0</v>
      </c>
      <c r="AL15" s="176">
        <f>PersBudj!AL43</f>
        <v>0</v>
      </c>
      <c r="AM15" s="176">
        <f>PersBudj!AM43</f>
        <v>0</v>
      </c>
      <c r="AN15" s="243">
        <f>PersBudj!AN43</f>
        <v>0</v>
      </c>
      <c r="AO15" s="200">
        <f t="shared" si="7"/>
        <v>0</v>
      </c>
      <c r="AP15" s="199"/>
      <c r="AQ15" s="160">
        <f>PersBudj!AQ43</f>
        <v>0</v>
      </c>
    </row>
    <row r="16" spans="1:43" s="53" customFormat="1" ht="14.1" customHeight="1">
      <c r="A16" s="69"/>
      <c r="B16" s="700" t="s">
        <v>34</v>
      </c>
      <c r="C16" s="176">
        <f>PersBudj!C44</f>
        <v>0</v>
      </c>
      <c r="D16" s="176">
        <f>PersBudj!D44</f>
        <v>0</v>
      </c>
      <c r="E16" s="176">
        <f>PersBudj!E44</f>
        <v>0</v>
      </c>
      <c r="F16" s="176">
        <f>PersBudj!F44</f>
        <v>0</v>
      </c>
      <c r="G16" s="176">
        <f>PersBudj!G44</f>
        <v>0</v>
      </c>
      <c r="H16" s="176">
        <f>PersBudj!H44</f>
        <v>0</v>
      </c>
      <c r="I16" s="176">
        <f>PersBudj!I44</f>
        <v>0</v>
      </c>
      <c r="J16" s="176">
        <f>PersBudj!J44</f>
        <v>0</v>
      </c>
      <c r="K16" s="176">
        <f>PersBudj!K44</f>
        <v>0</v>
      </c>
      <c r="L16" s="176">
        <f>PersBudj!L44</f>
        <v>0</v>
      </c>
      <c r="M16" s="176">
        <f>PersBudj!M44</f>
        <v>0</v>
      </c>
      <c r="N16" s="176">
        <f>PersBudj!N44</f>
        <v>0</v>
      </c>
      <c r="O16" s="200">
        <f t="shared" si="4"/>
        <v>0</v>
      </c>
      <c r="P16" s="241"/>
      <c r="Q16" s="176">
        <f>PersBudj!Q44</f>
        <v>0</v>
      </c>
      <c r="R16" s="176">
        <f>PersBudj!R44</f>
        <v>0</v>
      </c>
      <c r="S16" s="176">
        <f>PersBudj!S44</f>
        <v>0</v>
      </c>
      <c r="T16" s="176">
        <f>PersBudj!T44</f>
        <v>0</v>
      </c>
      <c r="U16" s="176">
        <f>PersBudj!U44</f>
        <v>0</v>
      </c>
      <c r="V16" s="176">
        <f>PersBudj!V44</f>
        <v>0</v>
      </c>
      <c r="W16" s="176">
        <f>PersBudj!W44</f>
        <v>0</v>
      </c>
      <c r="X16" s="176">
        <f>PersBudj!X44</f>
        <v>0</v>
      </c>
      <c r="Y16" s="176">
        <f>PersBudj!Y44</f>
        <v>0</v>
      </c>
      <c r="Z16" s="176">
        <f>PersBudj!Z44</f>
        <v>0</v>
      </c>
      <c r="AA16" s="176">
        <f>PersBudj!AA44</f>
        <v>0</v>
      </c>
      <c r="AB16" s="176">
        <f>PersBudj!AB44</f>
        <v>0</v>
      </c>
      <c r="AC16" s="200">
        <f t="shared" si="5"/>
        <v>0</v>
      </c>
      <c r="AD16" s="199"/>
      <c r="AE16" s="177">
        <f>PersBudj!AE44</f>
        <v>0</v>
      </c>
      <c r="AF16" s="176">
        <f>PersBudj!AF44</f>
        <v>0</v>
      </c>
      <c r="AG16" s="176">
        <f>PersBudj!AG44</f>
        <v>0</v>
      </c>
      <c r="AH16" s="243">
        <f>PersBudj!AH44</f>
        <v>0</v>
      </c>
      <c r="AI16" s="200">
        <f t="shared" si="6"/>
        <v>0</v>
      </c>
      <c r="AJ16" s="199"/>
      <c r="AK16" s="177">
        <f>PersBudj!AK44</f>
        <v>0</v>
      </c>
      <c r="AL16" s="176">
        <f>PersBudj!AL44</f>
        <v>0</v>
      </c>
      <c r="AM16" s="176">
        <f>PersBudj!AM44</f>
        <v>0</v>
      </c>
      <c r="AN16" s="243">
        <f>PersBudj!AN44</f>
        <v>0</v>
      </c>
      <c r="AO16" s="200">
        <f t="shared" si="7"/>
        <v>0</v>
      </c>
      <c r="AP16" s="199"/>
      <c r="AQ16" s="160">
        <f>PersBudj!AQ44</f>
        <v>0</v>
      </c>
    </row>
    <row r="17" spans="1:43" s="53" customFormat="1" ht="14.1" customHeight="1">
      <c r="A17" s="69"/>
      <c r="B17" s="700" t="s">
        <v>35</v>
      </c>
      <c r="C17" s="244">
        <f>ProSvs!C15/12</f>
        <v>0</v>
      </c>
      <c r="D17" s="244">
        <f>ProSvs!C15/12</f>
        <v>0</v>
      </c>
      <c r="E17" s="244">
        <f>ProSvs!C15/12</f>
        <v>0</v>
      </c>
      <c r="F17" s="244">
        <f>ProSvs!C15/12</f>
        <v>0</v>
      </c>
      <c r="G17" s="244">
        <f>ProSvs!C15/12</f>
        <v>0</v>
      </c>
      <c r="H17" s="244">
        <f>ProSvs!C15/12</f>
        <v>0</v>
      </c>
      <c r="I17" s="244">
        <f>ProSvs!C15/12</f>
        <v>0</v>
      </c>
      <c r="J17" s="244">
        <f>ProSvs!C15/12</f>
        <v>0</v>
      </c>
      <c r="K17" s="244">
        <f>ProSvs!C15/12</f>
        <v>0</v>
      </c>
      <c r="L17" s="244">
        <f>ProSvs!C15/12</f>
        <v>0</v>
      </c>
      <c r="M17" s="244">
        <f>ProSvs!C15/12</f>
        <v>0</v>
      </c>
      <c r="N17" s="244">
        <f>ProSvs!C15/12</f>
        <v>0</v>
      </c>
      <c r="O17" s="200">
        <f t="shared" si="4"/>
        <v>0</v>
      </c>
      <c r="P17" s="241"/>
      <c r="Q17" s="244">
        <f>ProSvs!$D$15/12</f>
        <v>0</v>
      </c>
      <c r="R17" s="244">
        <f>ProSvs!$D$15/12</f>
        <v>0</v>
      </c>
      <c r="S17" s="244">
        <f>ProSvs!$D$15/12</f>
        <v>0</v>
      </c>
      <c r="T17" s="244">
        <f>ProSvs!$D$15/12</f>
        <v>0</v>
      </c>
      <c r="U17" s="244">
        <f>ProSvs!$D$15/12</f>
        <v>0</v>
      </c>
      <c r="V17" s="244">
        <f>ProSvs!$D$15/12</f>
        <v>0</v>
      </c>
      <c r="W17" s="244">
        <f>ProSvs!$D$15/12</f>
        <v>0</v>
      </c>
      <c r="X17" s="244">
        <f>ProSvs!$D$15/12</f>
        <v>0</v>
      </c>
      <c r="Y17" s="244">
        <f>ProSvs!$D$15/12</f>
        <v>0</v>
      </c>
      <c r="Z17" s="244">
        <f>ProSvs!$D$15/12</f>
        <v>0</v>
      </c>
      <c r="AA17" s="244">
        <f>ProSvs!$D$15/12</f>
        <v>0</v>
      </c>
      <c r="AB17" s="244">
        <f>ProSvs!$D$15/12</f>
        <v>0</v>
      </c>
      <c r="AC17" s="200">
        <f t="shared" si="5"/>
        <v>0</v>
      </c>
      <c r="AD17" s="199"/>
      <c r="AE17" s="245">
        <f>ProSvs!E15/4</f>
        <v>0</v>
      </c>
      <c r="AF17" s="246">
        <f>ProSvs!E15/4</f>
        <v>0</v>
      </c>
      <c r="AG17" s="246">
        <f>ProSvs!E15/4</f>
        <v>0</v>
      </c>
      <c r="AH17" s="244">
        <f>ProSvs!E15/4</f>
        <v>0</v>
      </c>
      <c r="AI17" s="200">
        <f t="shared" si="6"/>
        <v>0</v>
      </c>
      <c r="AJ17" s="199"/>
      <c r="AK17" s="247">
        <f>ProSvs!F15/4</f>
        <v>0</v>
      </c>
      <c r="AL17" s="244">
        <f>ProSvs!F15/4</f>
        <v>0</v>
      </c>
      <c r="AM17" s="244">
        <f>ProSvs!F15/4</f>
        <v>0</v>
      </c>
      <c r="AN17" s="248">
        <f>ProSvs!F15/4</f>
        <v>0</v>
      </c>
      <c r="AO17" s="200">
        <f t="shared" si="7"/>
        <v>0</v>
      </c>
      <c r="AP17" s="199"/>
      <c r="AQ17" s="249">
        <f>ProSvs!G15</f>
        <v>0</v>
      </c>
    </row>
    <row r="18" spans="1:43" s="53" customFormat="1" ht="14.1" customHeight="1">
      <c r="A18" s="69"/>
      <c r="B18" s="700" t="s">
        <v>43</v>
      </c>
      <c r="C18" s="176">
        <f>MktBudj!C33</f>
        <v>0</v>
      </c>
      <c r="D18" s="176">
        <f>MktBudj!D33</f>
        <v>0</v>
      </c>
      <c r="E18" s="176">
        <f>MktBudj!E33</f>
        <v>0</v>
      </c>
      <c r="F18" s="176">
        <f>MktBudj!F33</f>
        <v>0</v>
      </c>
      <c r="G18" s="176">
        <f>MktBudj!G33</f>
        <v>0</v>
      </c>
      <c r="H18" s="176">
        <f>MktBudj!H33</f>
        <v>0</v>
      </c>
      <c r="I18" s="176">
        <f>MktBudj!I33</f>
        <v>0</v>
      </c>
      <c r="J18" s="176">
        <f>MktBudj!J33</f>
        <v>0</v>
      </c>
      <c r="K18" s="176">
        <f>MktBudj!K33</f>
        <v>0</v>
      </c>
      <c r="L18" s="176">
        <f>MktBudj!L33</f>
        <v>0</v>
      </c>
      <c r="M18" s="176">
        <f>MktBudj!M33</f>
        <v>0</v>
      </c>
      <c r="N18" s="243">
        <f>MktBudj!N33</f>
        <v>0</v>
      </c>
      <c r="O18" s="200">
        <f>SUM(C18:N18)</f>
        <v>0</v>
      </c>
      <c r="P18" s="241"/>
      <c r="Q18" s="176">
        <f>MktBudj!Q33</f>
        <v>0</v>
      </c>
      <c r="R18" s="176">
        <f>MktBudj!R33</f>
        <v>0</v>
      </c>
      <c r="S18" s="176">
        <f>MktBudj!S33</f>
        <v>0</v>
      </c>
      <c r="T18" s="176">
        <f>MktBudj!T33</f>
        <v>0</v>
      </c>
      <c r="U18" s="176">
        <f>MktBudj!U33</f>
        <v>0</v>
      </c>
      <c r="V18" s="176">
        <f>MktBudj!V33</f>
        <v>0</v>
      </c>
      <c r="W18" s="176">
        <f>MktBudj!W33</f>
        <v>0</v>
      </c>
      <c r="X18" s="176">
        <f>MktBudj!X33</f>
        <v>0</v>
      </c>
      <c r="Y18" s="176">
        <f>MktBudj!Y33</f>
        <v>0</v>
      </c>
      <c r="Z18" s="176">
        <f>MktBudj!Z33</f>
        <v>0</v>
      </c>
      <c r="AA18" s="176">
        <f>MktBudj!AA33</f>
        <v>0</v>
      </c>
      <c r="AB18" s="243">
        <f>MktBudj!AB33</f>
        <v>0</v>
      </c>
      <c r="AC18" s="200">
        <f>SUM(Q18:AB18)</f>
        <v>0</v>
      </c>
      <c r="AD18" s="199"/>
      <c r="AE18" s="177">
        <f>MktBudj!AE33</f>
        <v>0</v>
      </c>
      <c r="AF18" s="176">
        <f>MktBudj!AF33</f>
        <v>0</v>
      </c>
      <c r="AG18" s="176">
        <f>MktBudj!AG33</f>
        <v>0</v>
      </c>
      <c r="AH18" s="243">
        <f>MktBudj!AH33</f>
        <v>0</v>
      </c>
      <c r="AI18" s="200">
        <f>SUM(AE18:AH18)</f>
        <v>0</v>
      </c>
      <c r="AJ18" s="199"/>
      <c r="AK18" s="177">
        <f>MktBudj!AK33</f>
        <v>0</v>
      </c>
      <c r="AL18" s="176">
        <f>MktBudj!AL33</f>
        <v>0</v>
      </c>
      <c r="AM18" s="176">
        <f>MktBudj!AM33</f>
        <v>0</v>
      </c>
      <c r="AN18" s="243">
        <f>MktBudj!AN33</f>
        <v>0</v>
      </c>
      <c r="AO18" s="200">
        <f>SUM(AK18:AN18)</f>
        <v>0</v>
      </c>
      <c r="AP18" s="199"/>
      <c r="AQ18" s="160">
        <f>MktBudj!AQ33</f>
        <v>0</v>
      </c>
    </row>
    <row r="19" spans="1:43" s="53" customFormat="1" ht="14.1" customHeight="1">
      <c r="A19" s="69"/>
      <c r="B19" s="700" t="s">
        <v>36</v>
      </c>
      <c r="C19" s="146">
        <v>0</v>
      </c>
      <c r="D19" s="146">
        <f t="shared" ref="D19:N28" si="8">C19</f>
        <v>0</v>
      </c>
      <c r="E19" s="146">
        <f t="shared" si="8"/>
        <v>0</v>
      </c>
      <c r="F19" s="146">
        <f t="shared" si="8"/>
        <v>0</v>
      </c>
      <c r="G19" s="146">
        <f t="shared" si="8"/>
        <v>0</v>
      </c>
      <c r="H19" s="146">
        <f t="shared" si="8"/>
        <v>0</v>
      </c>
      <c r="I19" s="146">
        <f t="shared" si="8"/>
        <v>0</v>
      </c>
      <c r="J19" s="146">
        <f t="shared" si="8"/>
        <v>0</v>
      </c>
      <c r="K19" s="146">
        <f t="shared" si="8"/>
        <v>0</v>
      </c>
      <c r="L19" s="146">
        <f t="shared" si="8"/>
        <v>0</v>
      </c>
      <c r="M19" s="146">
        <f t="shared" si="8"/>
        <v>0</v>
      </c>
      <c r="N19" s="250">
        <f t="shared" si="8"/>
        <v>0</v>
      </c>
      <c r="O19" s="200">
        <f t="shared" si="4"/>
        <v>0</v>
      </c>
      <c r="P19" s="241"/>
      <c r="Q19" s="146">
        <f t="shared" ref="Q19:Q32" si="9">N19</f>
        <v>0</v>
      </c>
      <c r="R19" s="146">
        <f t="shared" ref="R19:AB19" si="10">Q19</f>
        <v>0</v>
      </c>
      <c r="S19" s="146">
        <f t="shared" si="10"/>
        <v>0</v>
      </c>
      <c r="T19" s="146">
        <f t="shared" si="10"/>
        <v>0</v>
      </c>
      <c r="U19" s="146">
        <f t="shared" si="10"/>
        <v>0</v>
      </c>
      <c r="V19" s="146">
        <f t="shared" si="10"/>
        <v>0</v>
      </c>
      <c r="W19" s="146">
        <f t="shared" si="10"/>
        <v>0</v>
      </c>
      <c r="X19" s="146">
        <f t="shared" si="10"/>
        <v>0</v>
      </c>
      <c r="Y19" s="146">
        <f t="shared" si="10"/>
        <v>0</v>
      </c>
      <c r="Z19" s="146">
        <f t="shared" si="10"/>
        <v>0</v>
      </c>
      <c r="AA19" s="146">
        <f t="shared" si="10"/>
        <v>0</v>
      </c>
      <c r="AB19" s="250">
        <f t="shared" si="10"/>
        <v>0</v>
      </c>
      <c r="AC19" s="200">
        <f t="shared" si="5"/>
        <v>0</v>
      </c>
      <c r="AD19" s="199"/>
      <c r="AE19" s="172">
        <f t="shared" ref="AE19:AE32" si="11">AB19*3</f>
        <v>0</v>
      </c>
      <c r="AF19" s="146">
        <f>AE19</f>
        <v>0</v>
      </c>
      <c r="AG19" s="146">
        <f t="shared" ref="AG19:AH28" si="12">AF19</f>
        <v>0</v>
      </c>
      <c r="AH19" s="250">
        <f t="shared" si="12"/>
        <v>0</v>
      </c>
      <c r="AI19" s="200">
        <f t="shared" si="6"/>
        <v>0</v>
      </c>
      <c r="AJ19" s="199"/>
      <c r="AK19" s="172">
        <f t="shared" ref="AK19:AK28" si="13">AH19</f>
        <v>0</v>
      </c>
      <c r="AL19" s="146">
        <f t="shared" ref="AL19:AN27" si="14">AK19</f>
        <v>0</v>
      </c>
      <c r="AM19" s="146">
        <f t="shared" si="14"/>
        <v>0</v>
      </c>
      <c r="AN19" s="250">
        <f t="shared" si="14"/>
        <v>0</v>
      </c>
      <c r="AO19" s="200">
        <f t="shared" si="7"/>
        <v>0</v>
      </c>
      <c r="AP19" s="199"/>
      <c r="AQ19" s="154">
        <f t="shared" ref="AQ19:AQ32" si="15">AN19*4</f>
        <v>0</v>
      </c>
    </row>
    <row r="20" spans="1:43" s="53" customFormat="1" ht="14.1" customHeight="1">
      <c r="A20" s="69"/>
      <c r="B20" s="700" t="s">
        <v>42</v>
      </c>
      <c r="C20" s="146">
        <v>0</v>
      </c>
      <c r="D20" s="146">
        <f t="shared" si="8"/>
        <v>0</v>
      </c>
      <c r="E20" s="146">
        <f t="shared" si="8"/>
        <v>0</v>
      </c>
      <c r="F20" s="146">
        <f t="shared" si="8"/>
        <v>0</v>
      </c>
      <c r="G20" s="146">
        <f t="shared" si="8"/>
        <v>0</v>
      </c>
      <c r="H20" s="146">
        <f t="shared" si="8"/>
        <v>0</v>
      </c>
      <c r="I20" s="146">
        <f t="shared" si="8"/>
        <v>0</v>
      </c>
      <c r="J20" s="146">
        <f t="shared" si="8"/>
        <v>0</v>
      </c>
      <c r="K20" s="146">
        <f t="shared" si="8"/>
        <v>0</v>
      </c>
      <c r="L20" s="146">
        <f t="shared" si="8"/>
        <v>0</v>
      </c>
      <c r="M20" s="146">
        <f t="shared" si="8"/>
        <v>0</v>
      </c>
      <c r="N20" s="250">
        <f t="shared" si="8"/>
        <v>0</v>
      </c>
      <c r="O20" s="200">
        <f t="shared" si="4"/>
        <v>0</v>
      </c>
      <c r="P20" s="241"/>
      <c r="Q20" s="146">
        <f t="shared" si="9"/>
        <v>0</v>
      </c>
      <c r="R20" s="146">
        <f t="shared" ref="R20:AB21" si="16">Q20</f>
        <v>0</v>
      </c>
      <c r="S20" s="146">
        <f t="shared" si="16"/>
        <v>0</v>
      </c>
      <c r="T20" s="146">
        <f t="shared" si="16"/>
        <v>0</v>
      </c>
      <c r="U20" s="146">
        <f t="shared" si="16"/>
        <v>0</v>
      </c>
      <c r="V20" s="146">
        <f t="shared" si="16"/>
        <v>0</v>
      </c>
      <c r="W20" s="146">
        <f t="shared" si="16"/>
        <v>0</v>
      </c>
      <c r="X20" s="146">
        <f t="shared" si="16"/>
        <v>0</v>
      </c>
      <c r="Y20" s="146">
        <f t="shared" si="16"/>
        <v>0</v>
      </c>
      <c r="Z20" s="146">
        <f t="shared" si="16"/>
        <v>0</v>
      </c>
      <c r="AA20" s="146">
        <f t="shared" si="16"/>
        <v>0</v>
      </c>
      <c r="AB20" s="250">
        <f t="shared" si="16"/>
        <v>0</v>
      </c>
      <c r="AC20" s="200">
        <f t="shared" si="5"/>
        <v>0</v>
      </c>
      <c r="AD20" s="199"/>
      <c r="AE20" s="172">
        <f t="shared" si="11"/>
        <v>0</v>
      </c>
      <c r="AF20" s="146">
        <f>AE20</f>
        <v>0</v>
      </c>
      <c r="AG20" s="146">
        <f t="shared" si="12"/>
        <v>0</v>
      </c>
      <c r="AH20" s="250">
        <f t="shared" si="12"/>
        <v>0</v>
      </c>
      <c r="AI20" s="200">
        <f t="shared" si="6"/>
        <v>0</v>
      </c>
      <c r="AJ20" s="199"/>
      <c r="AK20" s="172">
        <f t="shared" si="13"/>
        <v>0</v>
      </c>
      <c r="AL20" s="146">
        <f t="shared" si="14"/>
        <v>0</v>
      </c>
      <c r="AM20" s="146">
        <f t="shared" si="14"/>
        <v>0</v>
      </c>
      <c r="AN20" s="250">
        <f t="shared" si="14"/>
        <v>0</v>
      </c>
      <c r="AO20" s="200">
        <f t="shared" si="7"/>
        <v>0</v>
      </c>
      <c r="AP20" s="199"/>
      <c r="AQ20" s="154">
        <f t="shared" si="15"/>
        <v>0</v>
      </c>
    </row>
    <row r="21" spans="1:43" s="53" customFormat="1" ht="14.1" customHeight="1">
      <c r="A21" s="69"/>
      <c r="B21" s="700" t="s">
        <v>37</v>
      </c>
      <c r="C21" s="146">
        <v>0</v>
      </c>
      <c r="D21" s="146">
        <f t="shared" si="8"/>
        <v>0</v>
      </c>
      <c r="E21" s="146">
        <f t="shared" si="8"/>
        <v>0</v>
      </c>
      <c r="F21" s="146">
        <f t="shared" si="8"/>
        <v>0</v>
      </c>
      <c r="G21" s="146">
        <f t="shared" si="8"/>
        <v>0</v>
      </c>
      <c r="H21" s="146">
        <f t="shared" si="8"/>
        <v>0</v>
      </c>
      <c r="I21" s="146">
        <f t="shared" si="8"/>
        <v>0</v>
      </c>
      <c r="J21" s="146">
        <f t="shared" si="8"/>
        <v>0</v>
      </c>
      <c r="K21" s="146">
        <f t="shared" si="8"/>
        <v>0</v>
      </c>
      <c r="L21" s="146">
        <f t="shared" si="8"/>
        <v>0</v>
      </c>
      <c r="M21" s="146">
        <f t="shared" si="8"/>
        <v>0</v>
      </c>
      <c r="N21" s="146">
        <f t="shared" si="8"/>
        <v>0</v>
      </c>
      <c r="O21" s="200">
        <f t="shared" si="4"/>
        <v>0</v>
      </c>
      <c r="P21" s="241"/>
      <c r="Q21" s="146">
        <f t="shared" si="9"/>
        <v>0</v>
      </c>
      <c r="R21" s="146">
        <f t="shared" si="16"/>
        <v>0</v>
      </c>
      <c r="S21" s="146">
        <f t="shared" si="16"/>
        <v>0</v>
      </c>
      <c r="T21" s="146">
        <f t="shared" si="16"/>
        <v>0</v>
      </c>
      <c r="U21" s="146">
        <f t="shared" si="16"/>
        <v>0</v>
      </c>
      <c r="V21" s="146">
        <f t="shared" si="16"/>
        <v>0</v>
      </c>
      <c r="W21" s="146">
        <f t="shared" si="16"/>
        <v>0</v>
      </c>
      <c r="X21" s="146">
        <f t="shared" si="16"/>
        <v>0</v>
      </c>
      <c r="Y21" s="146">
        <f t="shared" si="16"/>
        <v>0</v>
      </c>
      <c r="Z21" s="146">
        <f t="shared" si="16"/>
        <v>0</v>
      </c>
      <c r="AA21" s="146">
        <f t="shared" si="16"/>
        <v>0</v>
      </c>
      <c r="AB21" s="146">
        <f t="shared" si="16"/>
        <v>0</v>
      </c>
      <c r="AC21" s="200">
        <f t="shared" si="5"/>
        <v>0</v>
      </c>
      <c r="AD21" s="199"/>
      <c r="AE21" s="172">
        <f t="shared" si="11"/>
        <v>0</v>
      </c>
      <c r="AF21" s="146">
        <f>AE21</f>
        <v>0</v>
      </c>
      <c r="AG21" s="146">
        <f>AF21</f>
        <v>0</v>
      </c>
      <c r="AH21" s="146">
        <f>AG21</f>
        <v>0</v>
      </c>
      <c r="AI21" s="200">
        <f t="shared" si="6"/>
        <v>0</v>
      </c>
      <c r="AJ21" s="199"/>
      <c r="AK21" s="172">
        <f t="shared" si="13"/>
        <v>0</v>
      </c>
      <c r="AL21" s="146">
        <f t="shared" si="14"/>
        <v>0</v>
      </c>
      <c r="AM21" s="146">
        <f t="shared" si="14"/>
        <v>0</v>
      </c>
      <c r="AN21" s="146">
        <f t="shared" si="14"/>
        <v>0</v>
      </c>
      <c r="AO21" s="200">
        <f t="shared" si="7"/>
        <v>0</v>
      </c>
      <c r="AP21" s="199"/>
      <c r="AQ21" s="154">
        <f t="shared" si="15"/>
        <v>0</v>
      </c>
    </row>
    <row r="22" spans="1:43" s="293" customFormat="1" ht="14.1" customHeight="1">
      <c r="A22" s="294"/>
      <c r="B22" s="701" t="s">
        <v>231</v>
      </c>
      <c r="C22" s="533">
        <f>Config!AD64</f>
        <v>0</v>
      </c>
      <c r="D22" s="533">
        <f>Config!AE64</f>
        <v>0</v>
      </c>
      <c r="E22" s="533">
        <f>Config!AF64</f>
        <v>0</v>
      </c>
      <c r="F22" s="533">
        <f>Config!AG64</f>
        <v>0</v>
      </c>
      <c r="G22" s="533">
        <f>Config!AH64</f>
        <v>0</v>
      </c>
      <c r="H22" s="533">
        <f>Config!AI64</f>
        <v>0</v>
      </c>
      <c r="I22" s="533">
        <f>Config!AJ64</f>
        <v>0</v>
      </c>
      <c r="J22" s="533">
        <f>Config!AK64</f>
        <v>0</v>
      </c>
      <c r="K22" s="533">
        <f>Config!AL64</f>
        <v>0</v>
      </c>
      <c r="L22" s="533">
        <f>Config!AM64</f>
        <v>0</v>
      </c>
      <c r="M22" s="533">
        <f>Config!AN64</f>
        <v>0</v>
      </c>
      <c r="N22" s="533">
        <f>Config!AO64</f>
        <v>0</v>
      </c>
      <c r="O22" s="534">
        <f t="shared" si="4"/>
        <v>0</v>
      </c>
      <c r="P22" s="279"/>
      <c r="Q22" s="533">
        <f>Config!AP64</f>
        <v>0</v>
      </c>
      <c r="R22" s="533">
        <f>Config!AQ64</f>
        <v>0</v>
      </c>
      <c r="S22" s="533">
        <f>Config!AR64</f>
        <v>0</v>
      </c>
      <c r="T22" s="533">
        <f>Config!AS64</f>
        <v>0</v>
      </c>
      <c r="U22" s="533">
        <f>Config!AT64</f>
        <v>0</v>
      </c>
      <c r="V22" s="533">
        <f>Config!AU64</f>
        <v>0</v>
      </c>
      <c r="W22" s="533">
        <f>Config!AV64</f>
        <v>0</v>
      </c>
      <c r="X22" s="533">
        <f>Config!AW64</f>
        <v>0</v>
      </c>
      <c r="Y22" s="533">
        <f>Config!AX64</f>
        <v>0</v>
      </c>
      <c r="Z22" s="533">
        <f>Config!AY64</f>
        <v>0</v>
      </c>
      <c r="AA22" s="533">
        <f>Config!AZ64</f>
        <v>0</v>
      </c>
      <c r="AB22" s="533">
        <f>Config!BA64</f>
        <v>0</v>
      </c>
      <c r="AC22" s="534">
        <f t="shared" si="5"/>
        <v>0</v>
      </c>
      <c r="AD22" s="535"/>
      <c r="AE22" s="536">
        <f>SUM(Config!BB64:BD64)</f>
        <v>0</v>
      </c>
      <c r="AF22" s="533">
        <f>SUM(Config!BE64:BG64)</f>
        <v>0</v>
      </c>
      <c r="AG22" s="533">
        <f>SUM(Config!BH64:BJ64)</f>
        <v>0</v>
      </c>
      <c r="AH22" s="533">
        <f>SUM(Config!BK64:BM64)</f>
        <v>0</v>
      </c>
      <c r="AI22" s="534">
        <f t="shared" si="6"/>
        <v>0</v>
      </c>
      <c r="AJ22" s="535"/>
      <c r="AK22" s="537">
        <f>SUM(Config!BN64:BP64)</f>
        <v>0</v>
      </c>
      <c r="AL22" s="538">
        <f>SUM(Config!BQ64:BS64)</f>
        <v>0</v>
      </c>
      <c r="AM22" s="260">
        <f>SUM(Config!BT64:BV64)</f>
        <v>0</v>
      </c>
      <c r="AN22" s="274">
        <f>SUM(Config!BW64:BY64)</f>
        <v>0</v>
      </c>
      <c r="AO22" s="539">
        <f t="shared" si="7"/>
        <v>0</v>
      </c>
      <c r="AP22" s="535"/>
      <c r="AQ22" s="534">
        <f>SUM(Config!BZ64:CK64)</f>
        <v>0</v>
      </c>
    </row>
    <row r="23" spans="1:43" s="53" customFormat="1" ht="14.1" customHeight="1">
      <c r="A23" s="69"/>
      <c r="B23" s="700" t="s">
        <v>38</v>
      </c>
      <c r="C23" s="146">
        <v>0</v>
      </c>
      <c r="D23" s="146">
        <f t="shared" si="8"/>
        <v>0</v>
      </c>
      <c r="E23" s="146">
        <f t="shared" si="8"/>
        <v>0</v>
      </c>
      <c r="F23" s="146">
        <f t="shared" si="8"/>
        <v>0</v>
      </c>
      <c r="G23" s="146">
        <f t="shared" si="8"/>
        <v>0</v>
      </c>
      <c r="H23" s="146">
        <f t="shared" si="8"/>
        <v>0</v>
      </c>
      <c r="I23" s="146">
        <f t="shared" si="8"/>
        <v>0</v>
      </c>
      <c r="J23" s="146">
        <f t="shared" si="8"/>
        <v>0</v>
      </c>
      <c r="K23" s="146">
        <f t="shared" si="8"/>
        <v>0</v>
      </c>
      <c r="L23" s="146">
        <f t="shared" si="8"/>
        <v>0</v>
      </c>
      <c r="M23" s="146">
        <f t="shared" si="8"/>
        <v>0</v>
      </c>
      <c r="N23" s="250">
        <f t="shared" si="8"/>
        <v>0</v>
      </c>
      <c r="O23" s="200">
        <f t="shared" si="4"/>
        <v>0</v>
      </c>
      <c r="P23" s="241"/>
      <c r="Q23" s="146">
        <f t="shared" si="9"/>
        <v>0</v>
      </c>
      <c r="R23" s="146">
        <f t="shared" ref="R23:AB23" si="17">Q23</f>
        <v>0</v>
      </c>
      <c r="S23" s="146">
        <f t="shared" si="17"/>
        <v>0</v>
      </c>
      <c r="T23" s="146">
        <f t="shared" si="17"/>
        <v>0</v>
      </c>
      <c r="U23" s="146">
        <f t="shared" si="17"/>
        <v>0</v>
      </c>
      <c r="V23" s="146">
        <f t="shared" si="17"/>
        <v>0</v>
      </c>
      <c r="W23" s="146">
        <f t="shared" si="17"/>
        <v>0</v>
      </c>
      <c r="X23" s="146">
        <f t="shared" si="17"/>
        <v>0</v>
      </c>
      <c r="Y23" s="146">
        <f t="shared" si="17"/>
        <v>0</v>
      </c>
      <c r="Z23" s="146">
        <f t="shared" si="17"/>
        <v>0</v>
      </c>
      <c r="AA23" s="146">
        <f t="shared" si="17"/>
        <v>0</v>
      </c>
      <c r="AB23" s="250">
        <f t="shared" si="17"/>
        <v>0</v>
      </c>
      <c r="AC23" s="200">
        <f t="shared" si="5"/>
        <v>0</v>
      </c>
      <c r="AD23" s="199"/>
      <c r="AE23" s="172">
        <f t="shared" si="11"/>
        <v>0</v>
      </c>
      <c r="AF23" s="146">
        <f t="shared" ref="AF23:AF28" si="18">AE23</f>
        <v>0</v>
      </c>
      <c r="AG23" s="146">
        <f t="shared" si="12"/>
        <v>0</v>
      </c>
      <c r="AH23" s="250">
        <f t="shared" si="12"/>
        <v>0</v>
      </c>
      <c r="AI23" s="200">
        <f t="shared" si="6"/>
        <v>0</v>
      </c>
      <c r="AJ23" s="199"/>
      <c r="AK23" s="172">
        <f t="shared" si="13"/>
        <v>0</v>
      </c>
      <c r="AL23" s="146">
        <f t="shared" si="14"/>
        <v>0</v>
      </c>
      <c r="AM23" s="146">
        <f t="shared" si="14"/>
        <v>0</v>
      </c>
      <c r="AN23" s="250">
        <f t="shared" si="14"/>
        <v>0</v>
      </c>
      <c r="AO23" s="200">
        <f t="shared" si="7"/>
        <v>0</v>
      </c>
      <c r="AP23" s="199"/>
      <c r="AQ23" s="154">
        <f t="shared" si="15"/>
        <v>0</v>
      </c>
    </row>
    <row r="24" spans="1:43" s="53" customFormat="1" ht="14.1" customHeight="1">
      <c r="A24" s="69"/>
      <c r="B24" s="700" t="s">
        <v>161</v>
      </c>
      <c r="C24" s="146">
        <v>0</v>
      </c>
      <c r="D24" s="146">
        <f t="shared" si="8"/>
        <v>0</v>
      </c>
      <c r="E24" s="146">
        <f t="shared" si="8"/>
        <v>0</v>
      </c>
      <c r="F24" s="146">
        <f t="shared" si="8"/>
        <v>0</v>
      </c>
      <c r="G24" s="146">
        <f t="shared" si="8"/>
        <v>0</v>
      </c>
      <c r="H24" s="146">
        <f t="shared" si="8"/>
        <v>0</v>
      </c>
      <c r="I24" s="146">
        <f t="shared" si="8"/>
        <v>0</v>
      </c>
      <c r="J24" s="146">
        <f t="shared" si="8"/>
        <v>0</v>
      </c>
      <c r="K24" s="146">
        <f t="shared" si="8"/>
        <v>0</v>
      </c>
      <c r="L24" s="146">
        <f t="shared" si="8"/>
        <v>0</v>
      </c>
      <c r="M24" s="146">
        <f t="shared" si="8"/>
        <v>0</v>
      </c>
      <c r="N24" s="250">
        <f t="shared" si="8"/>
        <v>0</v>
      </c>
      <c r="O24" s="200">
        <f t="shared" si="4"/>
        <v>0</v>
      </c>
      <c r="P24" s="241"/>
      <c r="Q24" s="146">
        <f t="shared" si="9"/>
        <v>0</v>
      </c>
      <c r="R24" s="146">
        <f t="shared" ref="R24:AB24" si="19">Q24</f>
        <v>0</v>
      </c>
      <c r="S24" s="146">
        <f t="shared" si="19"/>
        <v>0</v>
      </c>
      <c r="T24" s="146">
        <f t="shared" si="19"/>
        <v>0</v>
      </c>
      <c r="U24" s="146">
        <f t="shared" si="19"/>
        <v>0</v>
      </c>
      <c r="V24" s="146">
        <f t="shared" si="19"/>
        <v>0</v>
      </c>
      <c r="W24" s="146">
        <f t="shared" si="19"/>
        <v>0</v>
      </c>
      <c r="X24" s="146">
        <f t="shared" si="19"/>
        <v>0</v>
      </c>
      <c r="Y24" s="146">
        <f t="shared" si="19"/>
        <v>0</v>
      </c>
      <c r="Z24" s="146">
        <f t="shared" si="19"/>
        <v>0</v>
      </c>
      <c r="AA24" s="146">
        <f t="shared" si="19"/>
        <v>0</v>
      </c>
      <c r="AB24" s="250">
        <f t="shared" si="19"/>
        <v>0</v>
      </c>
      <c r="AC24" s="200">
        <f t="shared" si="5"/>
        <v>0</v>
      </c>
      <c r="AD24" s="199"/>
      <c r="AE24" s="172">
        <f t="shared" si="11"/>
        <v>0</v>
      </c>
      <c r="AF24" s="146">
        <f t="shared" si="18"/>
        <v>0</v>
      </c>
      <c r="AG24" s="146">
        <f t="shared" si="12"/>
        <v>0</v>
      </c>
      <c r="AH24" s="250">
        <f t="shared" si="12"/>
        <v>0</v>
      </c>
      <c r="AI24" s="200">
        <f t="shared" si="6"/>
        <v>0</v>
      </c>
      <c r="AJ24" s="199"/>
      <c r="AK24" s="172">
        <f t="shared" si="13"/>
        <v>0</v>
      </c>
      <c r="AL24" s="146">
        <f t="shared" si="14"/>
        <v>0</v>
      </c>
      <c r="AM24" s="146">
        <f t="shared" si="14"/>
        <v>0</v>
      </c>
      <c r="AN24" s="250">
        <f t="shared" si="14"/>
        <v>0</v>
      </c>
      <c r="AO24" s="200">
        <f t="shared" si="7"/>
        <v>0</v>
      </c>
      <c r="AP24" s="199"/>
      <c r="AQ24" s="154">
        <f t="shared" si="15"/>
        <v>0</v>
      </c>
    </row>
    <row r="25" spans="1:43" s="53" customFormat="1" ht="14.1" customHeight="1">
      <c r="A25" s="69"/>
      <c r="B25" s="700" t="s">
        <v>39</v>
      </c>
      <c r="C25" s="146">
        <v>0</v>
      </c>
      <c r="D25" s="146">
        <f t="shared" si="8"/>
        <v>0</v>
      </c>
      <c r="E25" s="146">
        <f t="shared" si="8"/>
        <v>0</v>
      </c>
      <c r="F25" s="146">
        <f t="shared" si="8"/>
        <v>0</v>
      </c>
      <c r="G25" s="146">
        <f t="shared" si="8"/>
        <v>0</v>
      </c>
      <c r="H25" s="146">
        <f t="shared" si="8"/>
        <v>0</v>
      </c>
      <c r="I25" s="146">
        <f t="shared" si="8"/>
        <v>0</v>
      </c>
      <c r="J25" s="146">
        <f t="shared" si="8"/>
        <v>0</v>
      </c>
      <c r="K25" s="146">
        <f t="shared" si="8"/>
        <v>0</v>
      </c>
      <c r="L25" s="146">
        <f t="shared" si="8"/>
        <v>0</v>
      </c>
      <c r="M25" s="146">
        <f t="shared" si="8"/>
        <v>0</v>
      </c>
      <c r="N25" s="250">
        <f t="shared" si="8"/>
        <v>0</v>
      </c>
      <c r="O25" s="200">
        <f t="shared" si="4"/>
        <v>0</v>
      </c>
      <c r="P25" s="241"/>
      <c r="Q25" s="146">
        <f t="shared" si="9"/>
        <v>0</v>
      </c>
      <c r="R25" s="146">
        <f t="shared" ref="R25:AB25" si="20">Q25</f>
        <v>0</v>
      </c>
      <c r="S25" s="146">
        <f t="shared" si="20"/>
        <v>0</v>
      </c>
      <c r="T25" s="146">
        <f t="shared" si="20"/>
        <v>0</v>
      </c>
      <c r="U25" s="146">
        <f t="shared" si="20"/>
        <v>0</v>
      </c>
      <c r="V25" s="146">
        <f t="shared" si="20"/>
        <v>0</v>
      </c>
      <c r="W25" s="146">
        <f t="shared" si="20"/>
        <v>0</v>
      </c>
      <c r="X25" s="146">
        <f t="shared" si="20"/>
        <v>0</v>
      </c>
      <c r="Y25" s="146">
        <f t="shared" si="20"/>
        <v>0</v>
      </c>
      <c r="Z25" s="146">
        <f t="shared" si="20"/>
        <v>0</v>
      </c>
      <c r="AA25" s="146">
        <f t="shared" si="20"/>
        <v>0</v>
      </c>
      <c r="AB25" s="250">
        <f t="shared" si="20"/>
        <v>0</v>
      </c>
      <c r="AC25" s="200">
        <f t="shared" si="5"/>
        <v>0</v>
      </c>
      <c r="AD25" s="199"/>
      <c r="AE25" s="172">
        <f t="shared" si="11"/>
        <v>0</v>
      </c>
      <c r="AF25" s="146">
        <f t="shared" si="18"/>
        <v>0</v>
      </c>
      <c r="AG25" s="146">
        <f t="shared" si="12"/>
        <v>0</v>
      </c>
      <c r="AH25" s="250">
        <f t="shared" si="12"/>
        <v>0</v>
      </c>
      <c r="AI25" s="200">
        <f t="shared" si="6"/>
        <v>0</v>
      </c>
      <c r="AJ25" s="199"/>
      <c r="AK25" s="172">
        <f t="shared" si="13"/>
        <v>0</v>
      </c>
      <c r="AL25" s="146">
        <f t="shared" si="14"/>
        <v>0</v>
      </c>
      <c r="AM25" s="146">
        <f t="shared" si="14"/>
        <v>0</v>
      </c>
      <c r="AN25" s="250">
        <f t="shared" si="14"/>
        <v>0</v>
      </c>
      <c r="AO25" s="200">
        <f t="shared" si="7"/>
        <v>0</v>
      </c>
      <c r="AP25" s="199"/>
      <c r="AQ25" s="154">
        <f t="shared" si="15"/>
        <v>0</v>
      </c>
    </row>
    <row r="26" spans="1:43" s="53" customFormat="1" ht="14.1" customHeight="1">
      <c r="A26" s="69"/>
      <c r="B26" s="700" t="s">
        <v>40</v>
      </c>
      <c r="C26" s="146">
        <v>0</v>
      </c>
      <c r="D26" s="146">
        <f t="shared" si="8"/>
        <v>0</v>
      </c>
      <c r="E26" s="146">
        <f t="shared" si="8"/>
        <v>0</v>
      </c>
      <c r="F26" s="146">
        <f t="shared" si="8"/>
        <v>0</v>
      </c>
      <c r="G26" s="146">
        <f t="shared" si="8"/>
        <v>0</v>
      </c>
      <c r="H26" s="146">
        <f t="shared" si="8"/>
        <v>0</v>
      </c>
      <c r="I26" s="146">
        <f t="shared" si="8"/>
        <v>0</v>
      </c>
      <c r="J26" s="146">
        <f t="shared" si="8"/>
        <v>0</v>
      </c>
      <c r="K26" s="146">
        <f t="shared" si="8"/>
        <v>0</v>
      </c>
      <c r="L26" s="146">
        <f t="shared" si="8"/>
        <v>0</v>
      </c>
      <c r="M26" s="146">
        <f t="shared" si="8"/>
        <v>0</v>
      </c>
      <c r="N26" s="250">
        <f t="shared" si="8"/>
        <v>0</v>
      </c>
      <c r="O26" s="200">
        <f>SUM(C26:N26)</f>
        <v>0</v>
      </c>
      <c r="P26" s="241"/>
      <c r="Q26" s="146">
        <f t="shared" si="9"/>
        <v>0</v>
      </c>
      <c r="R26" s="146">
        <f t="shared" ref="R26:AB26" si="21">Q26</f>
        <v>0</v>
      </c>
      <c r="S26" s="146">
        <f t="shared" si="21"/>
        <v>0</v>
      </c>
      <c r="T26" s="146">
        <f t="shared" si="21"/>
        <v>0</v>
      </c>
      <c r="U26" s="146">
        <f t="shared" si="21"/>
        <v>0</v>
      </c>
      <c r="V26" s="146">
        <f t="shared" si="21"/>
        <v>0</v>
      </c>
      <c r="W26" s="146">
        <f t="shared" si="21"/>
        <v>0</v>
      </c>
      <c r="X26" s="146">
        <f t="shared" si="21"/>
        <v>0</v>
      </c>
      <c r="Y26" s="146">
        <f t="shared" si="21"/>
        <v>0</v>
      </c>
      <c r="Z26" s="146">
        <f t="shared" si="21"/>
        <v>0</v>
      </c>
      <c r="AA26" s="146">
        <f t="shared" si="21"/>
        <v>0</v>
      </c>
      <c r="AB26" s="250">
        <f t="shared" si="21"/>
        <v>0</v>
      </c>
      <c r="AC26" s="200">
        <f t="shared" ref="AC26:AC32" si="22">SUM(Q26:AB26)</f>
        <v>0</v>
      </c>
      <c r="AD26" s="199"/>
      <c r="AE26" s="172">
        <f t="shared" si="11"/>
        <v>0</v>
      </c>
      <c r="AF26" s="146">
        <f t="shared" si="18"/>
        <v>0</v>
      </c>
      <c r="AG26" s="146">
        <f t="shared" si="12"/>
        <v>0</v>
      </c>
      <c r="AH26" s="250">
        <f t="shared" si="12"/>
        <v>0</v>
      </c>
      <c r="AI26" s="200">
        <f>SUM(AE26:AH26)</f>
        <v>0</v>
      </c>
      <c r="AJ26" s="199"/>
      <c r="AK26" s="172">
        <f t="shared" si="13"/>
        <v>0</v>
      </c>
      <c r="AL26" s="146">
        <f t="shared" si="14"/>
        <v>0</v>
      </c>
      <c r="AM26" s="146">
        <f t="shared" si="14"/>
        <v>0</v>
      </c>
      <c r="AN26" s="250">
        <f t="shared" si="14"/>
        <v>0</v>
      </c>
      <c r="AO26" s="200">
        <f>SUM(AK26:AN26)</f>
        <v>0</v>
      </c>
      <c r="AP26" s="199"/>
      <c r="AQ26" s="154">
        <f t="shared" si="15"/>
        <v>0</v>
      </c>
    </row>
    <row r="27" spans="1:43" s="53" customFormat="1" ht="14.1" customHeight="1">
      <c r="A27" s="69"/>
      <c r="B27" s="700" t="s">
        <v>41</v>
      </c>
      <c r="C27" s="146">
        <v>0</v>
      </c>
      <c r="D27" s="146">
        <f t="shared" si="8"/>
        <v>0</v>
      </c>
      <c r="E27" s="146">
        <f t="shared" si="8"/>
        <v>0</v>
      </c>
      <c r="F27" s="146">
        <f t="shared" si="8"/>
        <v>0</v>
      </c>
      <c r="G27" s="146">
        <f t="shared" si="8"/>
        <v>0</v>
      </c>
      <c r="H27" s="146">
        <f t="shared" si="8"/>
        <v>0</v>
      </c>
      <c r="I27" s="146">
        <f t="shared" si="8"/>
        <v>0</v>
      </c>
      <c r="J27" s="146">
        <f t="shared" si="8"/>
        <v>0</v>
      </c>
      <c r="K27" s="146">
        <f t="shared" si="8"/>
        <v>0</v>
      </c>
      <c r="L27" s="146">
        <f t="shared" si="8"/>
        <v>0</v>
      </c>
      <c r="M27" s="146">
        <f t="shared" si="8"/>
        <v>0</v>
      </c>
      <c r="N27" s="250">
        <f t="shared" si="8"/>
        <v>0</v>
      </c>
      <c r="O27" s="200">
        <f t="shared" si="4"/>
        <v>0</v>
      </c>
      <c r="P27" s="241"/>
      <c r="Q27" s="146">
        <f t="shared" si="9"/>
        <v>0</v>
      </c>
      <c r="R27" s="146">
        <f t="shared" ref="R27:AB27" si="23">Q27</f>
        <v>0</v>
      </c>
      <c r="S27" s="146">
        <f t="shared" si="23"/>
        <v>0</v>
      </c>
      <c r="T27" s="146">
        <f t="shared" si="23"/>
        <v>0</v>
      </c>
      <c r="U27" s="146">
        <f t="shared" si="23"/>
        <v>0</v>
      </c>
      <c r="V27" s="146">
        <f t="shared" si="23"/>
        <v>0</v>
      </c>
      <c r="W27" s="146">
        <f t="shared" si="23"/>
        <v>0</v>
      </c>
      <c r="X27" s="146">
        <f t="shared" si="23"/>
        <v>0</v>
      </c>
      <c r="Y27" s="146">
        <f t="shared" si="23"/>
        <v>0</v>
      </c>
      <c r="Z27" s="146">
        <f t="shared" si="23"/>
        <v>0</v>
      </c>
      <c r="AA27" s="146">
        <f t="shared" si="23"/>
        <v>0</v>
      </c>
      <c r="AB27" s="250">
        <f t="shared" si="23"/>
        <v>0</v>
      </c>
      <c r="AC27" s="200">
        <f t="shared" si="22"/>
        <v>0</v>
      </c>
      <c r="AD27" s="199"/>
      <c r="AE27" s="172">
        <f t="shared" si="11"/>
        <v>0</v>
      </c>
      <c r="AF27" s="146">
        <f t="shared" si="18"/>
        <v>0</v>
      </c>
      <c r="AG27" s="146">
        <f t="shared" si="12"/>
        <v>0</v>
      </c>
      <c r="AH27" s="250">
        <f t="shared" si="12"/>
        <v>0</v>
      </c>
      <c r="AI27" s="200">
        <f t="shared" si="6"/>
        <v>0</v>
      </c>
      <c r="AJ27" s="199"/>
      <c r="AK27" s="172">
        <f t="shared" si="13"/>
        <v>0</v>
      </c>
      <c r="AL27" s="146">
        <f t="shared" si="14"/>
        <v>0</v>
      </c>
      <c r="AM27" s="146">
        <f t="shared" si="14"/>
        <v>0</v>
      </c>
      <c r="AN27" s="250">
        <f t="shared" si="14"/>
        <v>0</v>
      </c>
      <c r="AO27" s="200">
        <f t="shared" si="7"/>
        <v>0</v>
      </c>
      <c r="AP27" s="199"/>
      <c r="AQ27" s="154">
        <f t="shared" si="15"/>
        <v>0</v>
      </c>
    </row>
    <row r="28" spans="1:43" s="53" customFormat="1" ht="14.1" customHeight="1">
      <c r="A28" s="69"/>
      <c r="B28" s="700" t="s">
        <v>44</v>
      </c>
      <c r="C28" s="146">
        <v>0</v>
      </c>
      <c r="D28" s="146">
        <f t="shared" si="8"/>
        <v>0</v>
      </c>
      <c r="E28" s="146">
        <f t="shared" si="8"/>
        <v>0</v>
      </c>
      <c r="F28" s="146">
        <f t="shared" si="8"/>
        <v>0</v>
      </c>
      <c r="G28" s="146">
        <f t="shared" si="8"/>
        <v>0</v>
      </c>
      <c r="H28" s="146">
        <f t="shared" si="8"/>
        <v>0</v>
      </c>
      <c r="I28" s="146">
        <f t="shared" si="8"/>
        <v>0</v>
      </c>
      <c r="J28" s="146">
        <f t="shared" si="8"/>
        <v>0</v>
      </c>
      <c r="K28" s="146">
        <f t="shared" si="8"/>
        <v>0</v>
      </c>
      <c r="L28" s="146">
        <f t="shared" si="8"/>
        <v>0</v>
      </c>
      <c r="M28" s="146">
        <f t="shared" si="8"/>
        <v>0</v>
      </c>
      <c r="N28" s="250">
        <f t="shared" si="8"/>
        <v>0</v>
      </c>
      <c r="O28" s="200">
        <f t="shared" si="4"/>
        <v>0</v>
      </c>
      <c r="P28" s="241"/>
      <c r="Q28" s="146">
        <f t="shared" si="9"/>
        <v>0</v>
      </c>
      <c r="R28" s="146">
        <f t="shared" ref="R28:AB28" si="24">Q28</f>
        <v>0</v>
      </c>
      <c r="S28" s="146">
        <f t="shared" si="24"/>
        <v>0</v>
      </c>
      <c r="T28" s="146">
        <f t="shared" si="24"/>
        <v>0</v>
      </c>
      <c r="U28" s="146">
        <f t="shared" si="24"/>
        <v>0</v>
      </c>
      <c r="V28" s="146">
        <f t="shared" si="24"/>
        <v>0</v>
      </c>
      <c r="W28" s="146">
        <f t="shared" si="24"/>
        <v>0</v>
      </c>
      <c r="X28" s="146">
        <f t="shared" si="24"/>
        <v>0</v>
      </c>
      <c r="Y28" s="146">
        <f t="shared" si="24"/>
        <v>0</v>
      </c>
      <c r="Z28" s="146">
        <f t="shared" si="24"/>
        <v>0</v>
      </c>
      <c r="AA28" s="146">
        <f t="shared" si="24"/>
        <v>0</v>
      </c>
      <c r="AB28" s="250">
        <f t="shared" si="24"/>
        <v>0</v>
      </c>
      <c r="AC28" s="200">
        <f t="shared" si="22"/>
        <v>0</v>
      </c>
      <c r="AD28" s="199"/>
      <c r="AE28" s="172">
        <f t="shared" si="11"/>
        <v>0</v>
      </c>
      <c r="AF28" s="146">
        <f t="shared" si="18"/>
        <v>0</v>
      </c>
      <c r="AG28" s="146">
        <f t="shared" si="12"/>
        <v>0</v>
      </c>
      <c r="AH28" s="250">
        <f t="shared" si="12"/>
        <v>0</v>
      </c>
      <c r="AI28" s="200">
        <f t="shared" si="6"/>
        <v>0</v>
      </c>
      <c r="AJ28" s="199"/>
      <c r="AK28" s="172">
        <f t="shared" si="13"/>
        <v>0</v>
      </c>
      <c r="AL28" s="146">
        <f t="shared" ref="AL28:AN29" si="25">AK28</f>
        <v>0</v>
      </c>
      <c r="AM28" s="146">
        <f t="shared" si="25"/>
        <v>0</v>
      </c>
      <c r="AN28" s="250">
        <f t="shared" si="25"/>
        <v>0</v>
      </c>
      <c r="AO28" s="200">
        <f t="shared" si="7"/>
        <v>0</v>
      </c>
      <c r="AP28" s="199"/>
      <c r="AQ28" s="154">
        <f t="shared" si="15"/>
        <v>0</v>
      </c>
    </row>
    <row r="29" spans="1:43" s="53" customFormat="1" ht="14.1" customHeight="1">
      <c r="A29" s="69"/>
      <c r="B29" s="700" t="s">
        <v>45</v>
      </c>
      <c r="C29" s="146">
        <v>0</v>
      </c>
      <c r="D29" s="146">
        <f t="shared" ref="D29:N29" si="26">C29</f>
        <v>0</v>
      </c>
      <c r="E29" s="146">
        <f t="shared" si="26"/>
        <v>0</v>
      </c>
      <c r="F29" s="146">
        <f t="shared" si="26"/>
        <v>0</v>
      </c>
      <c r="G29" s="146">
        <f t="shared" si="26"/>
        <v>0</v>
      </c>
      <c r="H29" s="146">
        <f t="shared" si="26"/>
        <v>0</v>
      </c>
      <c r="I29" s="146">
        <f t="shared" si="26"/>
        <v>0</v>
      </c>
      <c r="J29" s="146">
        <f t="shared" si="26"/>
        <v>0</v>
      </c>
      <c r="K29" s="146">
        <f t="shared" si="26"/>
        <v>0</v>
      </c>
      <c r="L29" s="146">
        <f t="shared" si="26"/>
        <v>0</v>
      </c>
      <c r="M29" s="146">
        <f t="shared" si="26"/>
        <v>0</v>
      </c>
      <c r="N29" s="250">
        <f t="shared" si="26"/>
        <v>0</v>
      </c>
      <c r="O29" s="197">
        <f t="shared" si="4"/>
        <v>0</v>
      </c>
      <c r="P29" s="241"/>
      <c r="Q29" s="146">
        <f t="shared" si="9"/>
        <v>0</v>
      </c>
      <c r="R29" s="146">
        <f t="shared" ref="R29:AB29" si="27">Q29</f>
        <v>0</v>
      </c>
      <c r="S29" s="146">
        <f t="shared" si="27"/>
        <v>0</v>
      </c>
      <c r="T29" s="146">
        <f t="shared" si="27"/>
        <v>0</v>
      </c>
      <c r="U29" s="146">
        <f t="shared" si="27"/>
        <v>0</v>
      </c>
      <c r="V29" s="146">
        <f t="shared" si="27"/>
        <v>0</v>
      </c>
      <c r="W29" s="146">
        <f t="shared" si="27"/>
        <v>0</v>
      </c>
      <c r="X29" s="146">
        <f t="shared" si="27"/>
        <v>0</v>
      </c>
      <c r="Y29" s="146">
        <f t="shared" si="27"/>
        <v>0</v>
      </c>
      <c r="Z29" s="146">
        <f t="shared" si="27"/>
        <v>0</v>
      </c>
      <c r="AA29" s="146">
        <f t="shared" si="27"/>
        <v>0</v>
      </c>
      <c r="AB29" s="250">
        <f t="shared" si="27"/>
        <v>0</v>
      </c>
      <c r="AC29" s="200">
        <f t="shared" si="22"/>
        <v>0</v>
      </c>
      <c r="AD29" s="199"/>
      <c r="AE29" s="172">
        <f t="shared" si="11"/>
        <v>0</v>
      </c>
      <c r="AF29" s="146">
        <f>AE29</f>
        <v>0</v>
      </c>
      <c r="AG29" s="146">
        <f>AF29</f>
        <v>0</v>
      </c>
      <c r="AH29" s="250">
        <f>AG29</f>
        <v>0</v>
      </c>
      <c r="AI29" s="200">
        <f t="shared" si="6"/>
        <v>0</v>
      </c>
      <c r="AJ29" s="199"/>
      <c r="AK29" s="172">
        <f>AH29</f>
        <v>0</v>
      </c>
      <c r="AL29" s="146">
        <f t="shared" si="25"/>
        <v>0</v>
      </c>
      <c r="AM29" s="146">
        <f t="shared" si="25"/>
        <v>0</v>
      </c>
      <c r="AN29" s="250">
        <f t="shared" si="25"/>
        <v>0</v>
      </c>
      <c r="AO29" s="200">
        <f t="shared" si="7"/>
        <v>0</v>
      </c>
      <c r="AP29" s="199"/>
      <c r="AQ29" s="154">
        <f t="shared" si="15"/>
        <v>0</v>
      </c>
    </row>
    <row r="30" spans="1:43" s="53" customFormat="1" ht="14.1" customHeight="1">
      <c r="A30" s="69"/>
      <c r="B30" s="702" t="s">
        <v>314</v>
      </c>
      <c r="C30" s="533">
        <f>Config!AD$190</f>
        <v>0</v>
      </c>
      <c r="D30" s="533">
        <f>Config!AE$190</f>
        <v>0</v>
      </c>
      <c r="E30" s="533">
        <f>Config!AF$190</f>
        <v>0</v>
      </c>
      <c r="F30" s="533">
        <f>Config!AG$190</f>
        <v>0</v>
      </c>
      <c r="G30" s="533">
        <f>Config!AH$190</f>
        <v>0</v>
      </c>
      <c r="H30" s="533">
        <f>Config!AI$190</f>
        <v>0</v>
      </c>
      <c r="I30" s="533">
        <f>Config!AJ$190</f>
        <v>0</v>
      </c>
      <c r="J30" s="533">
        <f>Config!AK$190</f>
        <v>0</v>
      </c>
      <c r="K30" s="533">
        <f>Config!AL$190</f>
        <v>0</v>
      </c>
      <c r="L30" s="533">
        <f>Config!AM$190</f>
        <v>0</v>
      </c>
      <c r="M30" s="533">
        <f>Config!AN$190</f>
        <v>0</v>
      </c>
      <c r="N30" s="533">
        <f>Config!AO$190</f>
        <v>0</v>
      </c>
      <c r="O30" s="534">
        <f t="shared" si="4"/>
        <v>0</v>
      </c>
      <c r="P30" s="279"/>
      <c r="Q30" s="533">
        <f>Config!AP$190</f>
        <v>0</v>
      </c>
      <c r="R30" s="533">
        <f>Config!AQ$190</f>
        <v>0</v>
      </c>
      <c r="S30" s="533">
        <f>Config!AR$190</f>
        <v>0</v>
      </c>
      <c r="T30" s="533">
        <f>Config!AS$190</f>
        <v>0</v>
      </c>
      <c r="U30" s="533">
        <f>Config!AT$190</f>
        <v>0</v>
      </c>
      <c r="V30" s="533">
        <f>Config!AU$190</f>
        <v>0</v>
      </c>
      <c r="W30" s="533">
        <f>Config!AV$190</f>
        <v>0</v>
      </c>
      <c r="X30" s="533">
        <f>Config!AW$190</f>
        <v>0</v>
      </c>
      <c r="Y30" s="533">
        <f>Config!AX$190</f>
        <v>0</v>
      </c>
      <c r="Z30" s="533">
        <f>Config!AY$190</f>
        <v>0</v>
      </c>
      <c r="AA30" s="533">
        <f>Config!AZ$190</f>
        <v>0</v>
      </c>
      <c r="AB30" s="533">
        <f>Config!BA$190</f>
        <v>0</v>
      </c>
      <c r="AC30" s="534">
        <f t="shared" si="22"/>
        <v>0</v>
      </c>
      <c r="AD30" s="535"/>
      <c r="AE30" s="536">
        <f>SUM(Config!BB$190:'Config'!BD$190)</f>
        <v>0</v>
      </c>
      <c r="AF30" s="533">
        <f>SUM(Config!BE$190:'Config'!BG$190)</f>
        <v>0</v>
      </c>
      <c r="AG30" s="533">
        <f>SUM(Config!BH$190:'Config'!BJ$190)</f>
        <v>0</v>
      </c>
      <c r="AH30" s="675">
        <f>SUM(Config!BK$190:'Config'!BM$190)</f>
        <v>0</v>
      </c>
      <c r="AI30" s="534">
        <f t="shared" si="6"/>
        <v>0</v>
      </c>
      <c r="AJ30" s="535"/>
      <c r="AK30" s="536">
        <f>SUM(Config!BN$190:'Config'!BP$190)</f>
        <v>0</v>
      </c>
      <c r="AL30" s="533">
        <f>SUM(Config!BQ$190:'Config'!BS$190)</f>
        <v>0</v>
      </c>
      <c r="AM30" s="533">
        <f>SUM(Config!BT$190:'Config'!BV$190)</f>
        <v>0</v>
      </c>
      <c r="AN30" s="675">
        <f>SUM(Config!BW$190:'Config'!BY$190)</f>
        <v>0</v>
      </c>
      <c r="AO30" s="534">
        <f t="shared" si="7"/>
        <v>0</v>
      </c>
      <c r="AP30" s="535"/>
      <c r="AQ30" s="534">
        <f>SUM(Config!BZ$190:'Config'!CK$190)</f>
        <v>0</v>
      </c>
    </row>
    <row r="31" spans="1:43" s="53" customFormat="1" ht="14.1" customHeight="1">
      <c r="A31" s="69"/>
      <c r="B31" s="703" t="s">
        <v>46</v>
      </c>
      <c r="C31" s="146">
        <v>0</v>
      </c>
      <c r="D31" s="146">
        <f t="shared" ref="D31:N32" si="28">C31</f>
        <v>0</v>
      </c>
      <c r="E31" s="146">
        <f t="shared" si="28"/>
        <v>0</v>
      </c>
      <c r="F31" s="146">
        <f t="shared" si="28"/>
        <v>0</v>
      </c>
      <c r="G31" s="146">
        <f t="shared" si="28"/>
        <v>0</v>
      </c>
      <c r="H31" s="146">
        <f t="shared" si="28"/>
        <v>0</v>
      </c>
      <c r="I31" s="146">
        <f t="shared" si="28"/>
        <v>0</v>
      </c>
      <c r="J31" s="146">
        <f t="shared" si="28"/>
        <v>0</v>
      </c>
      <c r="K31" s="146">
        <f t="shared" si="28"/>
        <v>0</v>
      </c>
      <c r="L31" s="146">
        <f t="shared" si="28"/>
        <v>0</v>
      </c>
      <c r="M31" s="146">
        <f t="shared" si="28"/>
        <v>0</v>
      </c>
      <c r="N31" s="250">
        <f t="shared" si="28"/>
        <v>0</v>
      </c>
      <c r="O31" s="200">
        <f t="shared" si="4"/>
        <v>0</v>
      </c>
      <c r="P31" s="241"/>
      <c r="Q31" s="146">
        <f t="shared" si="9"/>
        <v>0</v>
      </c>
      <c r="R31" s="146">
        <f t="shared" ref="R31:AB31" si="29">Q31</f>
        <v>0</v>
      </c>
      <c r="S31" s="146">
        <f t="shared" si="29"/>
        <v>0</v>
      </c>
      <c r="T31" s="146">
        <f t="shared" si="29"/>
        <v>0</v>
      </c>
      <c r="U31" s="146">
        <f t="shared" si="29"/>
        <v>0</v>
      </c>
      <c r="V31" s="146">
        <f t="shared" si="29"/>
        <v>0</v>
      </c>
      <c r="W31" s="146">
        <f t="shared" si="29"/>
        <v>0</v>
      </c>
      <c r="X31" s="146">
        <f t="shared" si="29"/>
        <v>0</v>
      </c>
      <c r="Y31" s="146">
        <f t="shared" si="29"/>
        <v>0</v>
      </c>
      <c r="Z31" s="146">
        <f t="shared" si="29"/>
        <v>0</v>
      </c>
      <c r="AA31" s="146">
        <f t="shared" si="29"/>
        <v>0</v>
      </c>
      <c r="AB31" s="250">
        <f t="shared" si="29"/>
        <v>0</v>
      </c>
      <c r="AC31" s="200">
        <f t="shared" si="22"/>
        <v>0</v>
      </c>
      <c r="AD31" s="199"/>
      <c r="AE31" s="172">
        <f t="shared" si="11"/>
        <v>0</v>
      </c>
      <c r="AF31" s="146">
        <f t="shared" ref="AF31:AH32" si="30">AE31</f>
        <v>0</v>
      </c>
      <c r="AG31" s="146">
        <f t="shared" si="30"/>
        <v>0</v>
      </c>
      <c r="AH31" s="250">
        <f t="shared" si="30"/>
        <v>0</v>
      </c>
      <c r="AI31" s="200">
        <f t="shared" si="6"/>
        <v>0</v>
      </c>
      <c r="AJ31" s="199"/>
      <c r="AK31" s="172">
        <f>AH31</f>
        <v>0</v>
      </c>
      <c r="AL31" s="146">
        <f t="shared" ref="AL31:AN32" si="31">AK31</f>
        <v>0</v>
      </c>
      <c r="AM31" s="146">
        <f t="shared" si="31"/>
        <v>0</v>
      </c>
      <c r="AN31" s="250">
        <f t="shared" si="31"/>
        <v>0</v>
      </c>
      <c r="AO31" s="200">
        <f t="shared" si="7"/>
        <v>0</v>
      </c>
      <c r="AP31" s="199"/>
      <c r="AQ31" s="154">
        <f t="shared" si="15"/>
        <v>0</v>
      </c>
    </row>
    <row r="32" spans="1:43" s="53" customFormat="1" ht="14.1" customHeight="1">
      <c r="A32" s="69"/>
      <c r="B32" s="703" t="s">
        <v>46</v>
      </c>
      <c r="C32" s="146">
        <v>0</v>
      </c>
      <c r="D32" s="146">
        <f t="shared" si="28"/>
        <v>0</v>
      </c>
      <c r="E32" s="146">
        <f t="shared" si="28"/>
        <v>0</v>
      </c>
      <c r="F32" s="146">
        <f t="shared" si="28"/>
        <v>0</v>
      </c>
      <c r="G32" s="146">
        <f t="shared" si="28"/>
        <v>0</v>
      </c>
      <c r="H32" s="146">
        <f t="shared" si="28"/>
        <v>0</v>
      </c>
      <c r="I32" s="146">
        <f t="shared" si="28"/>
        <v>0</v>
      </c>
      <c r="J32" s="146">
        <f t="shared" si="28"/>
        <v>0</v>
      </c>
      <c r="K32" s="146">
        <f t="shared" si="28"/>
        <v>0</v>
      </c>
      <c r="L32" s="146">
        <f t="shared" si="28"/>
        <v>0</v>
      </c>
      <c r="M32" s="146">
        <f t="shared" si="28"/>
        <v>0</v>
      </c>
      <c r="N32" s="250">
        <f t="shared" si="28"/>
        <v>0</v>
      </c>
      <c r="O32" s="200">
        <f t="shared" si="4"/>
        <v>0</v>
      </c>
      <c r="P32" s="241"/>
      <c r="Q32" s="146">
        <f t="shared" si="9"/>
        <v>0</v>
      </c>
      <c r="R32" s="146">
        <f t="shared" ref="R32:AB32" si="32">Q32</f>
        <v>0</v>
      </c>
      <c r="S32" s="146">
        <f t="shared" si="32"/>
        <v>0</v>
      </c>
      <c r="T32" s="146">
        <f t="shared" si="32"/>
        <v>0</v>
      </c>
      <c r="U32" s="146">
        <f t="shared" si="32"/>
        <v>0</v>
      </c>
      <c r="V32" s="146">
        <f t="shared" si="32"/>
        <v>0</v>
      </c>
      <c r="W32" s="146">
        <f t="shared" si="32"/>
        <v>0</v>
      </c>
      <c r="X32" s="146">
        <f t="shared" si="32"/>
        <v>0</v>
      </c>
      <c r="Y32" s="146">
        <f t="shared" si="32"/>
        <v>0</v>
      </c>
      <c r="Z32" s="146">
        <f t="shared" si="32"/>
        <v>0</v>
      </c>
      <c r="AA32" s="146">
        <f t="shared" si="32"/>
        <v>0</v>
      </c>
      <c r="AB32" s="250">
        <f t="shared" si="32"/>
        <v>0</v>
      </c>
      <c r="AC32" s="200">
        <f t="shared" si="22"/>
        <v>0</v>
      </c>
      <c r="AD32" s="199"/>
      <c r="AE32" s="172">
        <f t="shared" si="11"/>
        <v>0</v>
      </c>
      <c r="AF32" s="146">
        <f t="shared" si="30"/>
        <v>0</v>
      </c>
      <c r="AG32" s="146">
        <f t="shared" si="30"/>
        <v>0</v>
      </c>
      <c r="AH32" s="250">
        <f t="shared" si="30"/>
        <v>0</v>
      </c>
      <c r="AI32" s="200">
        <f t="shared" si="6"/>
        <v>0</v>
      </c>
      <c r="AJ32" s="199"/>
      <c r="AK32" s="172">
        <f>AH32</f>
        <v>0</v>
      </c>
      <c r="AL32" s="146">
        <f t="shared" si="31"/>
        <v>0</v>
      </c>
      <c r="AM32" s="146">
        <f t="shared" si="31"/>
        <v>0</v>
      </c>
      <c r="AN32" s="250">
        <f t="shared" si="31"/>
        <v>0</v>
      </c>
      <c r="AO32" s="200">
        <f t="shared" si="7"/>
        <v>0</v>
      </c>
      <c r="AP32" s="199"/>
      <c r="AQ32" s="154">
        <f t="shared" si="15"/>
        <v>0</v>
      </c>
    </row>
    <row r="33" spans="1:43" s="53" customFormat="1" ht="14.1" customHeight="1" thickBot="1">
      <c r="A33" s="69"/>
      <c r="B33" s="704" t="s">
        <v>100</v>
      </c>
      <c r="C33" s="251">
        <f t="shared" ref="C33:O33" si="33">SUM(C14:C32)</f>
        <v>0</v>
      </c>
      <c r="D33" s="251">
        <f t="shared" si="33"/>
        <v>0</v>
      </c>
      <c r="E33" s="251">
        <f t="shared" si="33"/>
        <v>0</v>
      </c>
      <c r="F33" s="251">
        <f t="shared" si="33"/>
        <v>0</v>
      </c>
      <c r="G33" s="251">
        <f t="shared" si="33"/>
        <v>0</v>
      </c>
      <c r="H33" s="251">
        <f t="shared" si="33"/>
        <v>0</v>
      </c>
      <c r="I33" s="251">
        <f t="shared" si="33"/>
        <v>0</v>
      </c>
      <c r="J33" s="251">
        <f t="shared" si="33"/>
        <v>0</v>
      </c>
      <c r="K33" s="251">
        <f t="shared" si="33"/>
        <v>0</v>
      </c>
      <c r="L33" s="251">
        <f t="shared" si="33"/>
        <v>0</v>
      </c>
      <c r="M33" s="251">
        <f t="shared" si="33"/>
        <v>0</v>
      </c>
      <c r="N33" s="252">
        <f t="shared" si="33"/>
        <v>0</v>
      </c>
      <c r="O33" s="253">
        <f t="shared" si="33"/>
        <v>0</v>
      </c>
      <c r="P33" s="241"/>
      <c r="Q33" s="251">
        <f t="shared" ref="Q33:AC33" si="34">SUM(Q14:Q32)</f>
        <v>0</v>
      </c>
      <c r="R33" s="251">
        <f t="shared" si="34"/>
        <v>0</v>
      </c>
      <c r="S33" s="251">
        <f t="shared" si="34"/>
        <v>0</v>
      </c>
      <c r="T33" s="251">
        <f t="shared" si="34"/>
        <v>0</v>
      </c>
      <c r="U33" s="251">
        <f t="shared" si="34"/>
        <v>0</v>
      </c>
      <c r="V33" s="251">
        <f t="shared" si="34"/>
        <v>0</v>
      </c>
      <c r="W33" s="251">
        <f t="shared" si="34"/>
        <v>0</v>
      </c>
      <c r="X33" s="251">
        <f t="shared" si="34"/>
        <v>0</v>
      </c>
      <c r="Y33" s="251">
        <f t="shared" si="34"/>
        <v>0</v>
      </c>
      <c r="Z33" s="251">
        <f t="shared" si="34"/>
        <v>0</v>
      </c>
      <c r="AA33" s="251">
        <f t="shared" si="34"/>
        <v>0</v>
      </c>
      <c r="AB33" s="252">
        <f t="shared" si="34"/>
        <v>0</v>
      </c>
      <c r="AC33" s="253">
        <f t="shared" si="34"/>
        <v>0</v>
      </c>
      <c r="AD33" s="199"/>
      <c r="AE33" s="254">
        <f>SUM(AE14:AE32)</f>
        <v>0</v>
      </c>
      <c r="AF33" s="251">
        <f>SUM(AF14:AF32)</f>
        <v>0</v>
      </c>
      <c r="AG33" s="251">
        <f>SUM(AG14:AG32)</f>
        <v>0</v>
      </c>
      <c r="AH33" s="252">
        <f>SUM(AH14:AH32)</f>
        <v>0</v>
      </c>
      <c r="AI33" s="253">
        <f>SUM(AI14:AI32)</f>
        <v>0</v>
      </c>
      <c r="AJ33" s="199"/>
      <c r="AK33" s="254">
        <f>SUM(AK14:AK32)</f>
        <v>0</v>
      </c>
      <c r="AL33" s="251">
        <f>SUM(AL14:AL32)</f>
        <v>0</v>
      </c>
      <c r="AM33" s="251">
        <f>SUM(AM14:AM32)</f>
        <v>0</v>
      </c>
      <c r="AN33" s="252">
        <f>SUM(AN14:AN32)</f>
        <v>0</v>
      </c>
      <c r="AO33" s="253">
        <f>SUM(AO14:AO32)</f>
        <v>0</v>
      </c>
      <c r="AP33" s="199"/>
      <c r="AQ33" s="253">
        <f>SUM(AQ14:AQ32)</f>
        <v>0</v>
      </c>
    </row>
    <row r="34" spans="1:43" s="53" customFormat="1" ht="14.1" customHeight="1">
      <c r="A34" s="69"/>
      <c r="B34" s="700" t="s">
        <v>47</v>
      </c>
      <c r="C34" s="255">
        <f t="shared" ref="C34:O34" si="35">SUM(C11-C33)</f>
        <v>0</v>
      </c>
      <c r="D34" s="255">
        <f t="shared" si="35"/>
        <v>0</v>
      </c>
      <c r="E34" s="255">
        <f t="shared" si="35"/>
        <v>0</v>
      </c>
      <c r="F34" s="255">
        <f t="shared" si="35"/>
        <v>0</v>
      </c>
      <c r="G34" s="255">
        <f t="shared" si="35"/>
        <v>0</v>
      </c>
      <c r="H34" s="255">
        <f t="shared" si="35"/>
        <v>0</v>
      </c>
      <c r="I34" s="255">
        <f t="shared" si="35"/>
        <v>0</v>
      </c>
      <c r="J34" s="255">
        <f t="shared" si="35"/>
        <v>0</v>
      </c>
      <c r="K34" s="255">
        <f t="shared" si="35"/>
        <v>0</v>
      </c>
      <c r="L34" s="255">
        <f t="shared" si="35"/>
        <v>0</v>
      </c>
      <c r="M34" s="255">
        <f t="shared" si="35"/>
        <v>0</v>
      </c>
      <c r="N34" s="256">
        <f t="shared" si="35"/>
        <v>0</v>
      </c>
      <c r="O34" s="200">
        <f t="shared" si="35"/>
        <v>0</v>
      </c>
      <c r="P34" s="241"/>
      <c r="Q34" s="255">
        <f t="shared" ref="Q34:AC34" si="36">SUM(Q11-Q33)</f>
        <v>0</v>
      </c>
      <c r="R34" s="255">
        <f t="shared" si="36"/>
        <v>0</v>
      </c>
      <c r="S34" s="255">
        <f t="shared" si="36"/>
        <v>0</v>
      </c>
      <c r="T34" s="255">
        <f t="shared" si="36"/>
        <v>0</v>
      </c>
      <c r="U34" s="255">
        <f t="shared" si="36"/>
        <v>0</v>
      </c>
      <c r="V34" s="255">
        <f t="shared" si="36"/>
        <v>0</v>
      </c>
      <c r="W34" s="255">
        <f t="shared" si="36"/>
        <v>0</v>
      </c>
      <c r="X34" s="255">
        <f t="shared" si="36"/>
        <v>0</v>
      </c>
      <c r="Y34" s="255">
        <f t="shared" si="36"/>
        <v>0</v>
      </c>
      <c r="Z34" s="255">
        <f t="shared" si="36"/>
        <v>0</v>
      </c>
      <c r="AA34" s="255">
        <f t="shared" si="36"/>
        <v>0</v>
      </c>
      <c r="AB34" s="256">
        <f t="shared" si="36"/>
        <v>0</v>
      </c>
      <c r="AC34" s="200">
        <f t="shared" si="36"/>
        <v>0</v>
      </c>
      <c r="AD34" s="199"/>
      <c r="AE34" s="257">
        <f>SUM(AE11-AE33)</f>
        <v>0</v>
      </c>
      <c r="AF34" s="255">
        <f>SUM(AF11-AF33)</f>
        <v>0</v>
      </c>
      <c r="AG34" s="255">
        <f>SUM(AG11-AG33)</f>
        <v>0</v>
      </c>
      <c r="AH34" s="256">
        <f>SUM(AH11-AH33)</f>
        <v>0</v>
      </c>
      <c r="AI34" s="200">
        <f>SUM(AI11-AI33)</f>
        <v>0</v>
      </c>
      <c r="AJ34" s="199"/>
      <c r="AK34" s="257">
        <f>SUM(AK11-AK33)</f>
        <v>0</v>
      </c>
      <c r="AL34" s="255">
        <f>SUM(AL11-AL33)</f>
        <v>0</v>
      </c>
      <c r="AM34" s="255">
        <f>SUM(AM11-AM33)</f>
        <v>0</v>
      </c>
      <c r="AN34" s="256">
        <f>SUM(AN11-AN33)</f>
        <v>0</v>
      </c>
      <c r="AO34" s="200">
        <f>SUM(AO11-AO33)</f>
        <v>0</v>
      </c>
      <c r="AP34" s="199"/>
      <c r="AQ34" s="200">
        <f>SUM(AQ11-AQ33)</f>
        <v>0</v>
      </c>
    </row>
    <row r="35" spans="1:43" s="53" customFormat="1" ht="14.1" customHeight="1" thickBot="1">
      <c r="A35" s="69"/>
      <c r="B35" s="705" t="s">
        <v>48</v>
      </c>
      <c r="C35" s="212">
        <f t="shared" ref="C35:O35" si="37">IF(C34&gt;0,C34*IncTaxRate,0)</f>
        <v>0</v>
      </c>
      <c r="D35" s="212">
        <f t="shared" si="37"/>
        <v>0</v>
      </c>
      <c r="E35" s="212">
        <f t="shared" si="37"/>
        <v>0</v>
      </c>
      <c r="F35" s="212">
        <f t="shared" si="37"/>
        <v>0</v>
      </c>
      <c r="G35" s="212">
        <f t="shared" si="37"/>
        <v>0</v>
      </c>
      <c r="H35" s="212">
        <f t="shared" si="37"/>
        <v>0</v>
      </c>
      <c r="I35" s="212">
        <f t="shared" si="37"/>
        <v>0</v>
      </c>
      <c r="J35" s="212">
        <f t="shared" si="37"/>
        <v>0</v>
      </c>
      <c r="K35" s="212">
        <f t="shared" si="37"/>
        <v>0</v>
      </c>
      <c r="L35" s="212">
        <f t="shared" si="37"/>
        <v>0</v>
      </c>
      <c r="M35" s="212">
        <f t="shared" si="37"/>
        <v>0</v>
      </c>
      <c r="N35" s="149">
        <f t="shared" si="37"/>
        <v>0</v>
      </c>
      <c r="O35" s="178">
        <f t="shared" si="37"/>
        <v>0</v>
      </c>
      <c r="P35" s="241"/>
      <c r="Q35" s="212">
        <f t="shared" ref="Q35:AC35" si="38">IF(Q34&gt;0,Q34*IncTaxRate,0)</f>
        <v>0</v>
      </c>
      <c r="R35" s="212">
        <f t="shared" si="38"/>
        <v>0</v>
      </c>
      <c r="S35" s="212">
        <f t="shared" si="38"/>
        <v>0</v>
      </c>
      <c r="T35" s="212">
        <f t="shared" si="38"/>
        <v>0</v>
      </c>
      <c r="U35" s="212">
        <f t="shared" si="38"/>
        <v>0</v>
      </c>
      <c r="V35" s="212">
        <f t="shared" si="38"/>
        <v>0</v>
      </c>
      <c r="W35" s="212">
        <f t="shared" si="38"/>
        <v>0</v>
      </c>
      <c r="X35" s="212">
        <f t="shared" si="38"/>
        <v>0</v>
      </c>
      <c r="Y35" s="212">
        <f t="shared" si="38"/>
        <v>0</v>
      </c>
      <c r="Z35" s="212">
        <f t="shared" si="38"/>
        <v>0</v>
      </c>
      <c r="AA35" s="212">
        <f t="shared" si="38"/>
        <v>0</v>
      </c>
      <c r="AB35" s="149">
        <f t="shared" si="38"/>
        <v>0</v>
      </c>
      <c r="AC35" s="178">
        <f t="shared" si="38"/>
        <v>0</v>
      </c>
      <c r="AD35" s="199"/>
      <c r="AE35" s="258">
        <f>IF(AE34&gt;0,AE34*IncTaxRate,0)</f>
        <v>0</v>
      </c>
      <c r="AF35" s="212">
        <f>IF(AF34&gt;0,AF34*IncTaxRate,0)</f>
        <v>0</v>
      </c>
      <c r="AG35" s="212">
        <f>IF(AG34&gt;0,AG34*IncTaxRate,0)</f>
        <v>0</v>
      </c>
      <c r="AH35" s="149">
        <f>IF(AH34&gt;0,AH34*IncTaxRate,0)</f>
        <v>0</v>
      </c>
      <c r="AI35" s="178">
        <f>IF(AI34&gt;0,AI34*IncTaxRate,0)</f>
        <v>0</v>
      </c>
      <c r="AJ35" s="199"/>
      <c r="AK35" s="258">
        <f>IF(AK34&gt;0,AK34*IncTaxRate,0)</f>
        <v>0</v>
      </c>
      <c r="AL35" s="212">
        <f>IF(AL34&gt;0,AL34*IncTaxRate,0)</f>
        <v>0</v>
      </c>
      <c r="AM35" s="212">
        <f>IF(AM34&gt;0,AM34*IncTaxRate,0)</f>
        <v>0</v>
      </c>
      <c r="AN35" s="149">
        <f>IF(AN34&gt;0,AN34*IncTaxRate,0)</f>
        <v>0</v>
      </c>
      <c r="AO35" s="178">
        <f>IF(AO34&gt;0,AO34*IncTaxRate,0)</f>
        <v>0</v>
      </c>
      <c r="AP35" s="199"/>
      <c r="AQ35" s="178">
        <f>IF(AQ34&gt;0,AQ34*IncTaxRate,0)</f>
        <v>0</v>
      </c>
    </row>
    <row r="36" spans="1:43" s="53" customFormat="1" ht="14.1" customHeight="1" thickBot="1">
      <c r="A36" s="69"/>
      <c r="B36" s="706" t="s">
        <v>153</v>
      </c>
      <c r="C36" s="166">
        <f t="shared" ref="C36:O36" si="39">SUM(C34-C35)</f>
        <v>0</v>
      </c>
      <c r="D36" s="166">
        <f t="shared" si="39"/>
        <v>0</v>
      </c>
      <c r="E36" s="166">
        <f t="shared" si="39"/>
        <v>0</v>
      </c>
      <c r="F36" s="166">
        <f t="shared" si="39"/>
        <v>0</v>
      </c>
      <c r="G36" s="166">
        <f t="shared" si="39"/>
        <v>0</v>
      </c>
      <c r="H36" s="166">
        <f t="shared" si="39"/>
        <v>0</v>
      </c>
      <c r="I36" s="166">
        <f t="shared" si="39"/>
        <v>0</v>
      </c>
      <c r="J36" s="166">
        <f t="shared" si="39"/>
        <v>0</v>
      </c>
      <c r="K36" s="166">
        <f t="shared" si="39"/>
        <v>0</v>
      </c>
      <c r="L36" s="166">
        <f t="shared" si="39"/>
        <v>0</v>
      </c>
      <c r="M36" s="166">
        <f t="shared" si="39"/>
        <v>0</v>
      </c>
      <c r="N36" s="194">
        <f t="shared" si="39"/>
        <v>0</v>
      </c>
      <c r="O36" s="167">
        <f t="shared" si="39"/>
        <v>0</v>
      </c>
      <c r="P36" s="241"/>
      <c r="Q36" s="166">
        <f t="shared" ref="Q36:AC36" si="40">SUM(Q34-Q35)</f>
        <v>0</v>
      </c>
      <c r="R36" s="166">
        <f t="shared" si="40"/>
        <v>0</v>
      </c>
      <c r="S36" s="166">
        <f t="shared" si="40"/>
        <v>0</v>
      </c>
      <c r="T36" s="166">
        <f t="shared" si="40"/>
        <v>0</v>
      </c>
      <c r="U36" s="166">
        <f t="shared" si="40"/>
        <v>0</v>
      </c>
      <c r="V36" s="166">
        <f t="shared" si="40"/>
        <v>0</v>
      </c>
      <c r="W36" s="166">
        <f t="shared" si="40"/>
        <v>0</v>
      </c>
      <c r="X36" s="166">
        <f t="shared" si="40"/>
        <v>0</v>
      </c>
      <c r="Y36" s="166">
        <f t="shared" si="40"/>
        <v>0</v>
      </c>
      <c r="Z36" s="166">
        <f t="shared" si="40"/>
        <v>0</v>
      </c>
      <c r="AA36" s="166">
        <f t="shared" si="40"/>
        <v>0</v>
      </c>
      <c r="AB36" s="194">
        <f t="shared" si="40"/>
        <v>0</v>
      </c>
      <c r="AC36" s="167">
        <f t="shared" si="40"/>
        <v>0</v>
      </c>
      <c r="AD36" s="199"/>
      <c r="AE36" s="196">
        <f>SUM(AE34-AE35)</f>
        <v>0</v>
      </c>
      <c r="AF36" s="166">
        <f>SUM(AF34-AF35)</f>
        <v>0</v>
      </c>
      <c r="AG36" s="166">
        <f>SUM(AG34-AG35)</f>
        <v>0</v>
      </c>
      <c r="AH36" s="194">
        <f>SUM(AH34-AH35)</f>
        <v>0</v>
      </c>
      <c r="AI36" s="167">
        <f>SUM(AI34-AI35)</f>
        <v>0</v>
      </c>
      <c r="AJ36" s="199"/>
      <c r="AK36" s="196">
        <f>SUM(AK34-AK35)</f>
        <v>0</v>
      </c>
      <c r="AL36" s="166">
        <f>SUM(AL34-AL35)</f>
        <v>0</v>
      </c>
      <c r="AM36" s="166">
        <f>SUM(AM34-AM35)</f>
        <v>0</v>
      </c>
      <c r="AN36" s="194">
        <f>SUM(AN34-AN35)</f>
        <v>0</v>
      </c>
      <c r="AO36" s="167">
        <f>SUM(AO34-AO35)</f>
        <v>0</v>
      </c>
      <c r="AP36" s="199"/>
      <c r="AQ36" s="167">
        <f>SUM(AQ34-AQ35)</f>
        <v>0</v>
      </c>
    </row>
  </sheetData>
  <sheetProtection sheet="1" objects="1" scenarios="1"/>
  <phoneticPr fontId="3" type="noConversion"/>
  <printOptions horizontalCentered="1"/>
  <pageMargins left="0.5" right="0.5" top="1.25" bottom="1" header="0.5" footer="0"/>
  <pageSetup scale="69" orientation="landscape" horizontalDpi="4294967292" verticalDpi="4294967292" r:id="rId1"/>
  <headerFooter alignWithMargins="0">
    <oddHeader>&amp;CIncome Statements</oddHeader>
    <oddFooter>Page &amp;P of &amp;N</oddFooter>
  </headerFooter>
  <rowBreaks count="1" manualBreakCount="1">
    <brk id="1" max="16383" man="1"/>
  </rowBreaks>
  <colBreaks count="1" manualBreakCount="1">
    <brk id="30" max="1048575" man="1"/>
  </colBreaks>
  <legacyDrawing r:id="rId2"/>
</worksheet>
</file>

<file path=xl/worksheets/sheet16.xml><?xml version="1.0" encoding="utf-8"?>
<worksheet xmlns="http://schemas.openxmlformats.org/spreadsheetml/2006/main" xmlns:r="http://schemas.openxmlformats.org/officeDocument/2006/relationships">
  <sheetPr codeName="CshFlw">
    <pageSetUpPr autoPageBreaks="0"/>
  </sheetPr>
  <dimension ref="A1:AQ34"/>
  <sheetViews>
    <sheetView showGridLines="0" showOutlineSymbols="0" workbookViewId="0">
      <pane xSplit="2" ySplit="3" topLeftCell="C4" activePane="bottomRight" state="frozenSplit"/>
      <selection pane="topRight" activeCell="C1" sqref="C1"/>
      <selection pane="bottomLeft" activeCell="A4" sqref="A4"/>
      <selection pane="bottomRight" activeCell="C15" sqref="C15"/>
    </sheetView>
  </sheetViews>
  <sheetFormatPr defaultColWidth="10.5703125" defaultRowHeight="15"/>
  <cols>
    <col min="1" max="1" width="1.7109375" style="431" customWidth="1"/>
    <col min="2" max="2" width="36.42578125" style="431" customWidth="1"/>
    <col min="3" max="14" width="10.7109375" style="431" customWidth="1"/>
    <col min="15" max="15" width="12.7109375" style="431" customWidth="1"/>
    <col min="16" max="16" width="1.7109375" style="431" customWidth="1"/>
    <col min="17" max="28" width="10.7109375" style="431" customWidth="1"/>
    <col min="29" max="29" width="12.7109375" style="431" customWidth="1"/>
    <col min="30" max="30" width="1.7109375" style="431" customWidth="1"/>
    <col min="31" max="34" width="10.7109375" style="431" customWidth="1"/>
    <col min="35" max="35" width="12.7109375" style="431" customWidth="1"/>
    <col min="36" max="36" width="1.7109375" style="431" customWidth="1"/>
    <col min="37" max="40" width="10.7109375" style="431" customWidth="1"/>
    <col min="41" max="41" width="12.7109375" style="431" customWidth="1"/>
    <col min="42" max="42" width="1.7109375" style="431" customWidth="1"/>
    <col min="43" max="43" width="12.7109375" style="431" customWidth="1"/>
    <col min="44" max="16384" width="10.5703125" style="431"/>
  </cols>
  <sheetData>
    <row r="1" spans="1:43" ht="9.9499999999999993" customHeight="1" thickBot="1">
      <c r="Q1" s="813"/>
      <c r="R1" s="814"/>
      <c r="S1" s="814"/>
      <c r="T1" s="814"/>
      <c r="U1" s="814"/>
      <c r="V1" s="814"/>
      <c r="W1" s="814"/>
      <c r="X1" s="814"/>
      <c r="Y1" s="814"/>
      <c r="Z1" s="814"/>
      <c r="AA1" s="814"/>
      <c r="AB1" s="814"/>
      <c r="AC1" s="815"/>
      <c r="AI1" s="544"/>
      <c r="AO1" s="544"/>
    </row>
    <row r="2" spans="1:43" s="470" customFormat="1" ht="24.95" customHeight="1" thickBot="1">
      <c r="B2" s="811" t="s">
        <v>101</v>
      </c>
      <c r="C2" s="798">
        <f xml:space="preserve"> SalesProj!E2</f>
        <v>2008</v>
      </c>
      <c r="D2" s="807"/>
      <c r="E2" s="807"/>
      <c r="F2" s="807"/>
      <c r="G2" s="807"/>
      <c r="H2" s="807"/>
      <c r="I2" s="807"/>
      <c r="J2" s="807"/>
      <c r="K2" s="807"/>
      <c r="L2" s="807"/>
      <c r="M2" s="807"/>
      <c r="N2" s="807"/>
      <c r="O2" s="812"/>
      <c r="P2" s="545"/>
      <c r="Q2" s="816">
        <f>SalesProj!S2</f>
        <v>2009</v>
      </c>
      <c r="R2" s="817"/>
      <c r="S2" s="817"/>
      <c r="T2" s="817"/>
      <c r="U2" s="817"/>
      <c r="V2" s="817"/>
      <c r="W2" s="817"/>
      <c r="X2" s="817"/>
      <c r="Y2" s="817"/>
      <c r="Z2" s="817"/>
      <c r="AA2" s="817"/>
      <c r="AB2" s="817"/>
      <c r="AC2" s="818"/>
      <c r="AD2" s="545"/>
      <c r="AE2" s="797">
        <f>SalesProj!AG2</f>
        <v>2010</v>
      </c>
      <c r="AF2" s="807"/>
      <c r="AG2" s="807"/>
      <c r="AH2" s="812"/>
      <c r="AI2" s="819"/>
      <c r="AK2" s="797">
        <f>SalesProj!AM2</f>
        <v>2011</v>
      </c>
      <c r="AL2" s="807"/>
      <c r="AM2" s="807"/>
      <c r="AN2" s="812"/>
      <c r="AO2" s="819"/>
      <c r="AQ2" s="799">
        <f>SalesProj!AS2</f>
        <v>2012</v>
      </c>
    </row>
    <row r="3" spans="1:43" s="110" customFormat="1" ht="14.1" customHeight="1" thickBot="1">
      <c r="A3" s="108"/>
      <c r="B3" s="546"/>
      <c r="C3" s="109" t="str">
        <f>SalesProj!E3</f>
        <v>January</v>
      </c>
      <c r="D3" s="109" t="str">
        <f>SalesProj!F3</f>
        <v>February</v>
      </c>
      <c r="E3" s="109" t="str">
        <f>SalesProj!G3</f>
        <v>March</v>
      </c>
      <c r="F3" s="109" t="str">
        <f>SalesProj!H3</f>
        <v>April</v>
      </c>
      <c r="G3" s="109" t="str">
        <f>SalesProj!I3</f>
        <v>May</v>
      </c>
      <c r="H3" s="109" t="str">
        <f>SalesProj!J3</f>
        <v>June</v>
      </c>
      <c r="I3" s="109" t="str">
        <f>SalesProj!K3</f>
        <v>July</v>
      </c>
      <c r="J3" s="109" t="str">
        <f>SalesProj!L3</f>
        <v>August</v>
      </c>
      <c r="K3" s="109" t="str">
        <f>SalesProj!M3</f>
        <v>September</v>
      </c>
      <c r="L3" s="109" t="str">
        <f>SalesProj!N3</f>
        <v>October</v>
      </c>
      <c r="M3" s="109" t="str">
        <f>SalesProj!O3</f>
        <v>November</v>
      </c>
      <c r="N3" s="630" t="str">
        <f>SalesProj!P3</f>
        <v>December</v>
      </c>
      <c r="O3" s="548" t="s">
        <v>18</v>
      </c>
      <c r="P3" s="347"/>
      <c r="Q3" s="109" t="str">
        <f>SalesProj!E3</f>
        <v>January</v>
      </c>
      <c r="R3" s="109" t="str">
        <f>SalesProj!F3</f>
        <v>February</v>
      </c>
      <c r="S3" s="109" t="str">
        <f>SalesProj!G3</f>
        <v>March</v>
      </c>
      <c r="T3" s="109" t="str">
        <f>SalesProj!H3</f>
        <v>April</v>
      </c>
      <c r="U3" s="109" t="str">
        <f>SalesProj!I3</f>
        <v>May</v>
      </c>
      <c r="V3" s="109" t="str">
        <f>SalesProj!J3</f>
        <v>June</v>
      </c>
      <c r="W3" s="109" t="str">
        <f>SalesProj!K3</f>
        <v>July</v>
      </c>
      <c r="X3" s="109" t="str">
        <f>SalesProj!L3</f>
        <v>August</v>
      </c>
      <c r="Y3" s="109" t="str">
        <f>SalesProj!M3</f>
        <v>September</v>
      </c>
      <c r="Z3" s="109" t="str">
        <f>SalesProj!N3</f>
        <v>October</v>
      </c>
      <c r="AA3" s="109" t="str">
        <f>SalesProj!O3</f>
        <v>November</v>
      </c>
      <c r="AB3" s="630" t="str">
        <f>SalesProj!P3</f>
        <v>December</v>
      </c>
      <c r="AC3" s="548" t="s">
        <v>18</v>
      </c>
      <c r="AD3" s="108"/>
      <c r="AE3" s="547" t="s">
        <v>50</v>
      </c>
      <c r="AF3" s="109" t="s">
        <v>51</v>
      </c>
      <c r="AG3" s="109" t="s">
        <v>52</v>
      </c>
      <c r="AH3" s="548" t="s">
        <v>53</v>
      </c>
      <c r="AI3" s="346" t="s">
        <v>18</v>
      </c>
      <c r="AK3" s="547" t="s">
        <v>50</v>
      </c>
      <c r="AL3" s="109" t="s">
        <v>51</v>
      </c>
      <c r="AM3" s="109" t="s">
        <v>52</v>
      </c>
      <c r="AN3" s="548" t="s">
        <v>53</v>
      </c>
      <c r="AO3" s="346" t="s">
        <v>18</v>
      </c>
      <c r="AQ3" s="346"/>
    </row>
    <row r="4" spans="1:43" s="110" customFormat="1" ht="14.1" customHeight="1">
      <c r="A4" s="108"/>
      <c r="B4" s="549"/>
      <c r="C4" s="108"/>
      <c r="D4" s="108"/>
      <c r="E4" s="108"/>
      <c r="F4" s="108"/>
      <c r="G4" s="108"/>
      <c r="H4" s="108"/>
      <c r="I4" s="108"/>
      <c r="J4" s="108"/>
      <c r="K4" s="108"/>
      <c r="L4" s="108"/>
      <c r="M4" s="108"/>
      <c r="N4" s="402"/>
      <c r="O4" s="347"/>
      <c r="P4" s="347"/>
      <c r="Q4" s="108"/>
      <c r="R4" s="108"/>
      <c r="S4" s="108"/>
      <c r="T4" s="108"/>
      <c r="U4" s="108"/>
      <c r="V4" s="108"/>
      <c r="W4" s="108"/>
      <c r="X4" s="108"/>
      <c r="Y4" s="108"/>
      <c r="Z4" s="108"/>
      <c r="AA4" s="108"/>
      <c r="AB4" s="402"/>
      <c r="AC4" s="347"/>
      <c r="AD4" s="108"/>
      <c r="AE4" s="356"/>
      <c r="AF4" s="108"/>
      <c r="AG4" s="108"/>
      <c r="AH4" s="347"/>
      <c r="AI4" s="355"/>
      <c r="AK4" s="356"/>
      <c r="AL4" s="108"/>
      <c r="AM4" s="108"/>
      <c r="AN4" s="347"/>
      <c r="AO4" s="355"/>
      <c r="AQ4" s="355"/>
    </row>
    <row r="5" spans="1:43" s="556" customFormat="1" ht="14.1" customHeight="1">
      <c r="A5" s="111"/>
      <c r="B5" s="478" t="s">
        <v>102</v>
      </c>
      <c r="C5" s="550"/>
      <c r="D5" s="551"/>
      <c r="E5" s="551"/>
      <c r="F5" s="551"/>
      <c r="G5" s="551"/>
      <c r="H5" s="551"/>
      <c r="I5" s="551"/>
      <c r="J5" s="551"/>
      <c r="K5" s="551"/>
      <c r="L5" s="551"/>
      <c r="M5" s="551"/>
      <c r="N5" s="552"/>
      <c r="O5" s="553"/>
      <c r="P5" s="553"/>
      <c r="Q5" s="550"/>
      <c r="R5" s="551"/>
      <c r="S5" s="551"/>
      <c r="T5" s="551"/>
      <c r="U5" s="551"/>
      <c r="V5" s="551"/>
      <c r="W5" s="551"/>
      <c r="X5" s="551"/>
      <c r="Y5" s="551"/>
      <c r="Z5" s="551"/>
      <c r="AA5" s="551"/>
      <c r="AB5" s="552"/>
      <c r="AC5" s="553"/>
      <c r="AD5" s="551"/>
      <c r="AE5" s="554"/>
      <c r="AF5" s="551"/>
      <c r="AG5" s="551"/>
      <c r="AH5" s="553"/>
      <c r="AI5" s="555"/>
      <c r="AK5" s="554"/>
      <c r="AL5" s="551"/>
      <c r="AM5" s="551"/>
      <c r="AN5" s="553"/>
      <c r="AO5" s="555"/>
      <c r="AQ5" s="555"/>
    </row>
    <row r="6" spans="1:43" s="556" customFormat="1" ht="14.1" customHeight="1">
      <c r="B6" s="557" t="s">
        <v>103</v>
      </c>
      <c r="C6" s="551"/>
      <c r="D6" s="551"/>
      <c r="E6" s="551"/>
      <c r="F6" s="551"/>
      <c r="G6" s="551"/>
      <c r="H6" s="551"/>
      <c r="I6" s="551"/>
      <c r="J6" s="551"/>
      <c r="K6" s="551"/>
      <c r="L6" s="551"/>
      <c r="M6" s="551"/>
      <c r="N6" s="552"/>
      <c r="O6" s="553"/>
      <c r="P6" s="553"/>
      <c r="Q6" s="551"/>
      <c r="R6" s="551"/>
      <c r="S6" s="551"/>
      <c r="T6" s="551"/>
      <c r="U6" s="551"/>
      <c r="V6" s="551"/>
      <c r="W6" s="551"/>
      <c r="X6" s="551"/>
      <c r="Y6" s="551"/>
      <c r="Z6" s="551"/>
      <c r="AA6" s="551"/>
      <c r="AB6" s="552"/>
      <c r="AC6" s="553"/>
      <c r="AD6" s="551"/>
      <c r="AE6" s="554"/>
      <c r="AF6" s="551"/>
      <c r="AG6" s="551"/>
      <c r="AH6" s="553"/>
      <c r="AI6" s="555"/>
      <c r="AK6" s="554"/>
      <c r="AL6" s="551"/>
      <c r="AM6" s="551"/>
      <c r="AN6" s="553"/>
      <c r="AO6" s="555"/>
      <c r="AQ6" s="555"/>
    </row>
    <row r="7" spans="1:43" s="556" customFormat="1" ht="14.1" customHeight="1">
      <c r="B7" s="558" t="s">
        <v>0</v>
      </c>
      <c r="C7" s="559">
        <f>IncSt!C6*(1-CreditSales)</f>
        <v>0</v>
      </c>
      <c r="D7" s="559">
        <f>IncSt!D6*(1-CreditSales)</f>
        <v>0</v>
      </c>
      <c r="E7" s="559">
        <f>IncSt!E6*(1-CreditSales)</f>
        <v>0</v>
      </c>
      <c r="F7" s="559">
        <f>IncSt!F6*(1-CreditSales)</f>
        <v>0</v>
      </c>
      <c r="G7" s="559">
        <f>IncSt!G6*(1-CreditSales)</f>
        <v>0</v>
      </c>
      <c r="H7" s="559">
        <f>IncSt!H6*(1-CreditSales)</f>
        <v>0</v>
      </c>
      <c r="I7" s="559">
        <f>IncSt!I6*(1-CreditSales)</f>
        <v>0</v>
      </c>
      <c r="J7" s="559">
        <f>IncSt!J6*(1-CreditSales)</f>
        <v>0</v>
      </c>
      <c r="K7" s="559">
        <f>IncSt!K6*(1-CreditSales)</f>
        <v>0</v>
      </c>
      <c r="L7" s="559">
        <f>IncSt!L6*(1-CreditSales)</f>
        <v>0</v>
      </c>
      <c r="M7" s="559">
        <f>IncSt!M6*(1-CreditSales)</f>
        <v>0</v>
      </c>
      <c r="N7" s="560">
        <f>IncSt!N6*(1-CreditSales)</f>
        <v>0</v>
      </c>
      <c r="O7" s="561">
        <f>SUM(C7:N7)</f>
        <v>0</v>
      </c>
      <c r="P7" s="562"/>
      <c r="Q7" s="559">
        <f>IncSt!Q6*(1-CreditSales)</f>
        <v>0</v>
      </c>
      <c r="R7" s="559">
        <f>IncSt!R6*(1-CreditSales)</f>
        <v>0</v>
      </c>
      <c r="S7" s="559">
        <f>IncSt!S6*(1-CreditSales)</f>
        <v>0</v>
      </c>
      <c r="T7" s="559">
        <f>IncSt!T6*(1-CreditSales)</f>
        <v>0</v>
      </c>
      <c r="U7" s="559">
        <f>IncSt!U6*(1-CreditSales)</f>
        <v>0</v>
      </c>
      <c r="V7" s="559">
        <f>IncSt!V6*(1-CreditSales)</f>
        <v>0</v>
      </c>
      <c r="W7" s="559">
        <f>IncSt!W6*(1-CreditSales)</f>
        <v>0</v>
      </c>
      <c r="X7" s="559">
        <f>IncSt!X6*(1-CreditSales)</f>
        <v>0</v>
      </c>
      <c r="Y7" s="559">
        <f>IncSt!Y6*(1-CreditSales)</f>
        <v>0</v>
      </c>
      <c r="Z7" s="559">
        <f>IncSt!Z6*(1-CreditSales)</f>
        <v>0</v>
      </c>
      <c r="AA7" s="559">
        <f>IncSt!AA6*(1-CreditSales)</f>
        <v>0</v>
      </c>
      <c r="AB7" s="560">
        <f>IncSt!AB6*(1-CreditSales)</f>
        <v>0</v>
      </c>
      <c r="AC7" s="561">
        <f>SUM(Q7:AB7)</f>
        <v>0</v>
      </c>
      <c r="AD7" s="563"/>
      <c r="AE7" s="564">
        <f>IncSt!AE6*(1-CreditSales)</f>
        <v>0</v>
      </c>
      <c r="AF7" s="559">
        <f>IncSt!AF6*(1-CreditSales)</f>
        <v>0</v>
      </c>
      <c r="AG7" s="559">
        <f>IncSt!AG6*(1-CreditSales)</f>
        <v>0</v>
      </c>
      <c r="AH7" s="561">
        <f>IncSt!AH6*(1-CreditSales)</f>
        <v>0</v>
      </c>
      <c r="AI7" s="565">
        <f>SUM(AE7:AH7)</f>
        <v>0</v>
      </c>
      <c r="AJ7" s="566"/>
      <c r="AK7" s="564">
        <f>IncSt!AK6*(1-CreditSales)</f>
        <v>0</v>
      </c>
      <c r="AL7" s="559">
        <f>IncSt!AL6*(1-CreditSales)</f>
        <v>0</v>
      </c>
      <c r="AM7" s="559">
        <f>IncSt!AM6*(1-CreditSales)</f>
        <v>0</v>
      </c>
      <c r="AN7" s="561">
        <f>IncSt!AN6*(1-CreditSales)</f>
        <v>0</v>
      </c>
      <c r="AO7" s="565">
        <f>SUM(AK7:AN7)</f>
        <v>0</v>
      </c>
      <c r="AP7" s="566"/>
      <c r="AQ7" s="565">
        <f>IncSt!AQ6*(1-CreditSales)</f>
        <v>0</v>
      </c>
    </row>
    <row r="8" spans="1:43" s="556" customFormat="1" ht="14.1" customHeight="1">
      <c r="A8" s="567"/>
      <c r="B8" s="568" t="s">
        <v>1</v>
      </c>
      <c r="C8" s="569">
        <f>IF(CreditTerms&lt;=30,(CreditMultA*IncSt!C6),IF(AND(CreditTerms&gt;30,CreditTerms&lt;=60),0,IF(AND(CreditTerms&gt;60,CreditTerms&lt;=90),0,IF(AND(CreditTerms&gt;90,CreditTerms&lt;=120),0,"Error"))))</f>
        <v>0</v>
      </c>
      <c r="D8" s="569">
        <f>IF(CreditTerms&lt;=30,(CreditMultA*IncSt!D6)+(CreditMultB*IncSt!C6),IF(AND(CreditTerms&gt;30,CreditTerms&lt;=60),(CreditMultA*IncSt!C6),IF(AND(CreditTerms&gt;60,CreditTerms&lt;=90),0,IF(AND(CreditTerms&gt;90,CreditTerms&lt;=120),0,"Error"))))</f>
        <v>0</v>
      </c>
      <c r="E8" s="569">
        <f>IF(CreditTerms&lt;=30,(CreditMultA*IncSt!E6)+(CreditMultB*IncSt!D6),IF(AND(CreditTerms&gt;30,CreditTerms&lt;=60),(CreditMultA*IncSt!D6)+(CreditMultB*IncSt!C6),IF(AND(CreditTerms&gt;60,CreditTerms&lt;=90),(CreditMultA*IncSt!C6),IF(AND(CreditTerms&gt;90,CreditTerms&lt;=120),0,"Error"))))</f>
        <v>0</v>
      </c>
      <c r="F8" s="569">
        <f>IF(CreditTerms&lt;=30,(CreditMultA*IncSt!F6)+(CreditMultB*IncSt!E6),IF(AND(CreditTerms&gt;30,CreditTerms&lt;=60),(CreditMultA*IncSt!E6)+(CreditMultB*IncSt!D6),IF(AND(CreditTerms&gt;60,CreditTerms&lt;=90),(CreditMultA*IncSt!D6)+(CreditMultB*IncSt!C6),IF(AND(CreditTerms&gt;90,CreditTerms&lt;=120),CreditMultA*IncSt!C6,"Error"))))</f>
        <v>0</v>
      </c>
      <c r="G8" s="569">
        <f>IF(CreditTerms&lt;=30,(CreditMultA*IncSt!G6)+(CreditMultB*IncSt!F6),IF(AND(CreditTerms&gt;30,CreditTerms&lt;=60),(CreditMultA*IncSt!F6)+(CreditMultB*IncSt!E6),IF(AND(CreditTerms&gt;60,CreditTerms&lt;=90),(CreditMultA*IncSt!E6)+(CreditMultB*IncSt!D6),IF(AND(CreditTerms&gt;90,CreditTerms&lt;=120),(CreditMultA*IncSt!D6)+(CreditMultB*IncSt!C6),"Error"))))</f>
        <v>0</v>
      </c>
      <c r="H8" s="569">
        <f>IF(CreditTerms&lt;=30,(CreditMultA*IncSt!H6)+(CreditMultB*IncSt!G6),IF(AND(CreditTerms&gt;30,CreditTerms&lt;=60),(CreditMultA*IncSt!G6)+(CreditMultB*IncSt!F6),IF(AND(CreditTerms&gt;60,CreditTerms&lt;=90),(CreditMultA*IncSt!F6)+(CreditMultB*IncSt!E6),IF(AND(CreditTerms&gt;90,CreditTerms&lt;=120),(CreditMultA*IncSt!E6)+(CreditMultB*IncSt!D6),"Error"))))</f>
        <v>0</v>
      </c>
      <c r="I8" s="569">
        <f>IF(CreditTerms&lt;=30,(CreditMultA*IncSt!I6)+(CreditMultB*IncSt!H6),IF(AND(CreditTerms&gt;30,CreditTerms&lt;=60),(CreditMultA*IncSt!H6)+(CreditMultB*IncSt!G6),IF(AND(CreditTerms&gt;60,CreditTerms&lt;=90),(CreditMultA*IncSt!G6)+(CreditMultB*IncSt!F6),IF(AND(CreditTerms&gt;90,CreditTerms&lt;=120),(CreditMultA*IncSt!F6)+(CreditMultB*IncSt!E6),"Error"))))</f>
        <v>0</v>
      </c>
      <c r="J8" s="569">
        <f>IF(CreditTerms&lt;=30,(CreditMultA*IncSt!J6)+(CreditMultB*IncSt!I6),IF(AND(CreditTerms&gt;30,CreditTerms&lt;=60),(CreditMultA*IncSt!I6)+(CreditMultB*IncSt!H6),IF(AND(CreditTerms&gt;60,CreditTerms&lt;=90),(CreditMultA*IncSt!H6)+(CreditMultB*IncSt!G6),IF(AND(CreditTerms&gt;90,CreditTerms&lt;=120),(CreditMultA*IncSt!G6)+(CreditMultB*IncSt!F6),"Error"))))</f>
        <v>0</v>
      </c>
      <c r="K8" s="569">
        <f>IF(CreditTerms&lt;=30,(CreditMultA*IncSt!K6)+(CreditMultB*IncSt!J6),IF(AND(CreditTerms&gt;30,CreditTerms&lt;=60),(CreditMultA*IncSt!J6)+(CreditMultB*IncSt!I6),IF(AND(CreditTerms&gt;60,CreditTerms&lt;=90),(CreditMultA*IncSt!I6)+(CreditMultB*IncSt!H6),IF(AND(CreditTerms&gt;90,CreditTerms&lt;=120),(CreditMultA*IncSt!H6)+(CreditMultB*IncSt!G6),"Error"))))</f>
        <v>0</v>
      </c>
      <c r="L8" s="569">
        <f>IF(CreditTerms&lt;=30,(CreditMultA*IncSt!L6)+(CreditMultB*IncSt!K6),IF(AND(CreditTerms&gt;30,CreditTerms&lt;=60),(CreditMultA*IncSt!K6)+(CreditMultB*IncSt!J6),IF(AND(CreditTerms&gt;60,CreditTerms&lt;=90),(CreditMultA*IncSt!J6)+(CreditMultB*IncSt!I6),IF(AND(CreditTerms&gt;90,CreditTerms&lt;=120),(CreditMultA*IncSt!I6)+(CreditMultB*IncSt!H6),"Error"))))</f>
        <v>0</v>
      </c>
      <c r="M8" s="569">
        <f>IF(CreditTerms&lt;=30,(CreditMultA*IncSt!M6)+(CreditMultB*IncSt!L6),IF(AND(CreditTerms&gt;30,CreditTerms&lt;=60),(CreditMultA*IncSt!L6)+(CreditMultB*IncSt!K6),IF(AND(CreditTerms&gt;60,CreditTerms&lt;=90),(CreditMultA*IncSt!K6)+(CreditMultB*IncSt!J6),IF(AND(CreditTerms&gt;90,CreditTerms&lt;=120),(CreditMultA*IncSt!J6)+(CreditMultB*IncSt!I6),"Error"))))</f>
        <v>0</v>
      </c>
      <c r="N8" s="570">
        <f>IF(CreditTerms&lt;=30,(CreditMultA*IncSt!N6)+(CreditMultB*IncSt!M6),IF(AND(CreditTerms&gt;30,CreditTerms&lt;=60),(CreditMultA*IncSt!M6)+(CreditMultB*IncSt!L6),IF(AND(CreditTerms&gt;60,CreditTerms&lt;=90),(CreditMultA*IncSt!L6)+(CreditMultB*IncSt!K6),IF(AND(CreditTerms&gt;90,CreditTerms&lt;=120),(CreditMultA*IncSt!K6)+(CreditMultB*IncSt!J6),"Error"))))</f>
        <v>0</v>
      </c>
      <c r="O8" s="561">
        <f>SUM(C8:N8)</f>
        <v>0</v>
      </c>
      <c r="P8" s="562"/>
      <c r="Q8" s="571">
        <f>IF(CreditTerms&lt;=30,(CreditMultA*IncSt!Q6)+(CreditMultB*IncSt!N6),IF(AND(CreditTerms&gt;30,CreditTerms&lt;=60),(CreditMultA*IncSt!N6)+(CreditMultB*IncSt!M6),IF(AND(CreditTerms&gt;60,CreditTerms&lt;=90),(CreditMultA*IncSt!M6)+(CreditMultB*IncSt!L6),IF(AND(CreditTerms&gt;90,CreditTerms&lt;=120),(CreditMultA*IncSt!L6)+(CreditMultB*IncSt!K6),"Error"))))</f>
        <v>0</v>
      </c>
      <c r="R8" s="569">
        <f>IF(CreditTerms&lt;=30,(CreditMultA*IncSt!R6)+(CreditMultB*IncSt!Q6),IF(AND(CreditTerms&gt;30,CreditTerms&lt;=60),(CreditMultA*IncSt!Q6)+(CreditMultB*IncSt!N6),IF(AND(CreditTerms&gt;60,CreditTerms&lt;=90),(CreditMultA*IncSt!N6)+(CreditMultB*IncSt!M6),IF(AND(CreditTerms&gt;90,CreditTerms&lt;=120),(CreditMultA*IncSt!M6)+(CreditMultB*IncSt!L6),"Error"))))</f>
        <v>0</v>
      </c>
      <c r="S8" s="569">
        <f>IF(CreditTerms&lt;=30,(CreditMultA*IncSt!S6)+(CreditMultB*IncSt!R6),IF(AND(CreditTerms&gt;30,CreditTerms&lt;=60),(CreditMultA*IncSt!R6)+(CreditMultB*IncSt!Q6),IF(AND(CreditTerms&gt;60,CreditTerms&lt;=90),(CreditMultA*IncSt!Q6)+(CreditMultB*IncSt!N6),IF(AND(CreditTerms&gt;90,CreditTerms&lt;=120),(CreditMultA*IncSt!N6)+(CreditMultB*IncSt!M6),"Error"))))</f>
        <v>0</v>
      </c>
      <c r="T8" s="569">
        <f>IF(CreditTerms&lt;=30,(CreditMultA*IncSt!T6)+(CreditMultB*IncSt!S6),IF(AND(CreditTerms&gt;30,CreditTerms&lt;=60),(CreditMultA*IncSt!S6)+(CreditMultB*IncSt!R6),IF(AND(CreditTerms&gt;60,CreditTerms&lt;=90),(CreditMultA*IncSt!R6)+(CreditMultB*IncSt!Q6),IF(AND(CreditTerms&gt;90,CreditTerms&lt;=120),(CreditMultA*IncSt!Q6)+(CreditMultB*IncSt!N6),"Error"))))</f>
        <v>0</v>
      </c>
      <c r="U8" s="571">
        <f>IF(CreditTerms&lt;=30,(CreditMultA*IncSt!U6)+(CreditMultB*IncSt!T6),IF(AND(CreditTerms&gt;30,CreditTerms&lt;=60),(CreditMultA*IncSt!T6)+(CreditMultB*IncSt!S6),IF(AND(CreditTerms&gt;60,CreditTerms&lt;=90),(CreditMultA*IncSt!S6)+(CreditMultB*IncSt!R6),IF(AND(CreditTerms&gt;90,CreditTerms&lt;=120),(CreditMultA*IncSt!R6)+(CreditMultB*IncSt!Q6),"Error"))))</f>
        <v>0</v>
      </c>
      <c r="V8" s="571">
        <f>IF(CreditTerms&lt;=30,(CreditMultA*IncSt!V6)+(CreditMultB*IncSt!U6),IF(AND(CreditTerms&gt;30,CreditTerms&lt;=60),(CreditMultA*IncSt!U6)+(CreditMultB*IncSt!T6),IF(AND(CreditTerms&gt;60,CreditTerms&lt;=90),(CreditMultA*IncSt!T6)+(CreditMultB*IncSt!S6),IF(AND(CreditTerms&gt;90,CreditTerms&lt;=120),(CreditMultA*IncSt!S6)+(CreditMultB*IncSt!R6),"Error"))))</f>
        <v>0</v>
      </c>
      <c r="W8" s="571">
        <f>IF(CreditTerms&lt;=30,(CreditMultA*IncSt!W6)+(CreditMultB*IncSt!V6),IF(AND(CreditTerms&gt;30,CreditTerms&lt;=60),(CreditMultA*IncSt!V6)+(CreditMultB*IncSt!U6),IF(AND(CreditTerms&gt;60,CreditTerms&lt;=90),(CreditMultA*IncSt!U6)+(CreditMultB*IncSt!T6),IF(AND(CreditTerms&gt;90,CreditTerms&lt;=120),(CreditMultA*IncSt!T6)+(CreditMultB*IncSt!S6),"Error"))))</f>
        <v>0</v>
      </c>
      <c r="X8" s="571">
        <f>IF(CreditTerms&lt;=30,(CreditMultA*IncSt!X6)+(CreditMultB*IncSt!W6),IF(AND(CreditTerms&gt;30,CreditTerms&lt;=60),(CreditMultA*IncSt!W6)+(CreditMultB*IncSt!V6),IF(AND(CreditTerms&gt;60,CreditTerms&lt;=90),(CreditMultA*IncSt!V6)+(CreditMultB*IncSt!U6),IF(AND(CreditTerms&gt;90,CreditTerms&lt;=120),(CreditMultA*IncSt!U6)+(CreditMultB*IncSt!T6),"Error"))))</f>
        <v>0</v>
      </c>
      <c r="Y8" s="571">
        <f>IF(CreditTerms&lt;=30,(CreditMultA*IncSt!Y6)+(CreditMultB*IncSt!X6),IF(AND(CreditTerms&gt;30,CreditTerms&lt;=60),(CreditMultA*IncSt!X6)+(CreditMultB*IncSt!W6),IF(AND(CreditTerms&gt;60,CreditTerms&lt;=90),(CreditMultA*IncSt!W6)+(CreditMultB*IncSt!V6),IF(AND(CreditTerms&gt;90,CreditTerms&lt;=120),(CreditMultA*IncSt!V6)+(CreditMultB*IncSt!U6),"Error"))))</f>
        <v>0</v>
      </c>
      <c r="Z8" s="571">
        <f>IF(CreditTerms&lt;=30,(CreditMultA*IncSt!Z6)+(CreditMultB*IncSt!Y6),IF(AND(CreditTerms&gt;30,CreditTerms&lt;=60),(CreditMultA*IncSt!Y6)+(CreditMultB*IncSt!X6),IF(AND(CreditTerms&gt;60,CreditTerms&lt;=90),(CreditMultA*IncSt!X6)+(CreditMultB*IncSt!W6),IF(AND(CreditTerms&gt;90,CreditTerms&lt;=120),(CreditMultA*IncSt!W6)+(CreditMultB*IncSt!V6),"Error"))))</f>
        <v>0</v>
      </c>
      <c r="AA8" s="571">
        <f>IF(CreditTerms&lt;=30,(CreditMultA*IncSt!AA6)+(CreditMultB*IncSt!Z6),IF(AND(CreditTerms&gt;30,CreditTerms&lt;=60),(CreditMultA*IncSt!Z6)+(CreditMultB*IncSt!Y6),IF(AND(CreditTerms&gt;60,CreditTerms&lt;=90),(CreditMultA*IncSt!Y6)+(CreditMultB*IncSt!X6),IF(AND(CreditTerms&gt;90,CreditTerms&lt;=120),(CreditMultA*IncSt!X6)+(CreditMultB*IncSt!W6),"Error"))))</f>
        <v>0</v>
      </c>
      <c r="AB8" s="570">
        <f>IF(CreditTerms&lt;=30,(CreditMultA*IncSt!AB6)+(CreditMultB*IncSt!AA6),IF(AND(CreditTerms&gt;30,CreditTerms&lt;=60),(CreditMultA*IncSt!AA6)+(CreditMultB*IncSt!Z6),IF(AND(CreditTerms&gt;60,CreditTerms&lt;=90),(CreditMultA*IncSt!Z6)+(CreditMultB*IncSt!Y6),IF(AND(CreditTerms&gt;90,CreditTerms&lt;=120),(CreditMultA*IncSt!Y6)+(CreditMultB*IncSt!X6),"Error"))))</f>
        <v>0</v>
      </c>
      <c r="AC8" s="561">
        <f>SUM(Q8:AB8)</f>
        <v>0</v>
      </c>
      <c r="AD8" s="562"/>
      <c r="AE8" s="571">
        <f>IF(CreditTerms&lt;=30,(CreditMultB*IncSt!AB6)+(IncSt!AE6*CreditSales*2/3)+(CreditMultA*IncSt!AE6/3),IF(AND(CreditTerms&gt;30,CreditTerms&lt;=60),(CreditMultB*IncSt!AA6)+(IncSt!AB6*CreditSales)+(IncSt!AE6*CreditSales/3)+(CreditMultA*IncSt!AE6/3),IF(AND(CreditTerms&gt;60,CreditTerms&lt;=90),(CreditMultB*IncSt!Z6)+((IncSt!AA6+IncSt!AB6)*CreditSales)+(IncSt!AE6/3*CreditMultA),IF(AND(CreditTerms&gt;90,CreditTerms&lt;=120),(CreditMultB*IncSt!Y6)+((IncSt!Z6+IncSt!AA6)*CreditSales)+(CreditMultA*IncSt!AB6),"Error"))))</f>
        <v>0</v>
      </c>
      <c r="AF8" s="571">
        <f>IF(CreditTerms&lt;=30,(CreditMultB*IncSt!AE6/3)+(IncSt!AF6*CreditSales*2/3)+(CreditMultA*IncSt!AF6/3),IF(AND(CreditTerms&gt;30,CreditTerms&lt;=60),(CreditMultB*IncSt!AE6/3)+(IncSt!AE6/3*CreditSales)+(IncSt!AF6*CreditSales/3)+(IncSt!AF6/3*CreditMultA),IF(AND(CreditTerms&gt;60,CreditTerms&lt;=90),(CreditMultB*IncSt!AE6/3)+(IncSt!AE6*CreditSales*2/3)+(IncSt!AF6/3*CreditMultA),IF(AND(CreditTerms&gt;90,CreditTerms&lt;=120),(CreditMultB*IncSt!AB6)+(IncSt!AE6*CreditSales*2/3)+(CreditMultA*IncSt!AE6/3),"Error"))))</f>
        <v>0</v>
      </c>
      <c r="AG8" s="571">
        <f>IF(CreditTerms&lt;=30,(CreditMultB*IncSt!AF6/3)+(IncSt!AG6*CreditSales*2/3)+(CreditMultA*IncSt!AG6/3),IF(AND(CreditTerms&gt;30,CreditTerms&lt;=60),(CreditMultB*IncSt!AF6/3)+(IncSt!AF6/3*CreditSales)+(IncSt!AG6*CreditSales/3)+(IncSt!AG6/3*CreditMultA),IF(AND(CreditTerms&gt;60,CreditTerms&lt;=90),(CreditMultB*IncSt!AF6/3)+(IncSt!AF6*CreditSales*2/3)+(IncSt!AG6/3*CreditMultA),IF(AND(CreditTerms&gt;90,CreditTerms&lt;=120),(CreditMultB*IncSt!AE6/3)+(IncSt!AF6*CreditSales*2/3)+(CreditMultA*IncSt!AF6/3),"Error"))))</f>
        <v>0</v>
      </c>
      <c r="AH8" s="570">
        <f>IF(CreditTerms&lt;=30,(CreditMultB*IncSt!AG6/3)+(IncSt!AH6*CreditSales*2/3)+(CreditMultA*IncSt!AH6/3),IF(AND(CreditTerms&gt;30,CreditTerms&lt;=60),(CreditMultB*IncSt!AG6/3)+(IncSt!AG6/3*CreditSales)+(IncSt!AH6*CreditSales/3)+(IncSt!AH6/3*CreditMultA),IF(AND(CreditTerms&gt;60,CreditTerms&lt;=90),(CreditMultB*IncSt!AG6/3)+(IncSt!AG6*CreditSales*2/3)+(IncSt!AH6/3*CreditMultA),IF(AND(CreditTerms&gt;90,CreditTerms&lt;=120),(CreditMultB*IncSt!AF6/3)+(IncSt!AG6*CreditSales*2/3)+(CreditMultA*IncSt!AG6/3),"Error"))))</f>
        <v>0</v>
      </c>
      <c r="AI8" s="565">
        <f>SUM(AE8:AH8)</f>
        <v>0</v>
      </c>
      <c r="AJ8" s="562"/>
      <c r="AK8" s="571">
        <f>IF(CreditTerms&lt;=30,(CreditMultB*IncSt!AH6/3)+(IncSt!AK6*CreditSales*2/3)+(CreditMultA*IncSt!AK6/3),IF(AND(CreditTerms&gt;30,CreditTerms&lt;=60),(CreditMultB*IncSt!AH6/3)+(IncSt!AH6/3*CreditSales)+(IncSt!AK6*CreditSales/3)+(IncSt!AK6/3*CreditMultA),IF(AND(CreditTerms&gt;60,CreditTerms&lt;=90),(CreditMultB*IncSt!AH6/3)+(IncSt!AH6*CreditSales*2/3)+(IncSt!AK6/3*CreditMultA),IF(AND(CreditTerms&gt;90,CreditTerms&lt;=120),(CreditMultB*IncSt!AG6/3)+(IncSt!AH6*CreditSales*2/3)+(CreditMultA*IncSt!AH6/3),"Error"))))</f>
        <v>0</v>
      </c>
      <c r="AL8" s="571">
        <f>IF(CreditTerms&lt;=30,(CreditMultB*IncSt!AK6/3)+(IncSt!AL6*CreditSales*2/3)+(CreditMultA*IncSt!AL6/3),IF(AND(CreditTerms&gt;30,CreditTerms&lt;=60),(CreditMultB*IncSt!AK6/3)+(IncSt!AK6/3*CreditSales)+(IncSt!AL6*CreditSales/3)+(IncSt!AL6/3*CreditMultA),IF(AND(CreditTerms&gt;60,CreditTerms&lt;=90),(CreditMultB*IncSt!AK6/3)+(IncSt!AK6*CreditSales*2/3)+(IncSt!AL6/3*CreditMultA),IF(AND(CreditTerms&gt;90,CreditTerms&lt;=120),(CreditMultB*IncSt!AH6/3)+(IncSt!AK6*CreditSales*2/3)+(CreditMultA*IncSt!AK6/3),"Error"))))</f>
        <v>0</v>
      </c>
      <c r="AM8" s="571">
        <f>IF(CreditTerms&lt;=30,(CreditMultB*IncSt!AL6/3)+(IncSt!AM6*CreditSales*2/3)+(CreditMultA*IncSt!AM6/3),IF(AND(CreditTerms&gt;30,CreditTerms&lt;=60),(CreditMultB*IncSt!AL6/3)+(IncSt!AL6/3*CreditSales)+(IncSt!AM6*CreditSales/3)+(IncSt!AM6/3*CreditMultA),IF(AND(CreditTerms&gt;60,CreditTerms&lt;=90),(CreditMultB*IncSt!AL6/3)+(IncSt!AL6*CreditSales*2/3)+(IncSt!AM6/3*CreditMultA),IF(AND(CreditTerms&gt;90,CreditTerms&lt;=120),(CreditMultB*IncSt!AK6/3)+(IncSt!AL6*CreditSales*2/3)+(CreditMultA*IncSt!AL6/3),"Error"))))</f>
        <v>0</v>
      </c>
      <c r="AN8" s="570">
        <f>IF(CreditTerms&lt;=30,(CreditMultB*IncSt!AM6/3)+(IncSt!AN6*CreditSales*2/3)+(CreditMultA*IncSt!AN6/3),IF(AND(CreditTerms&gt;30,CreditTerms&lt;=60),(CreditMultB*IncSt!AM6/3)+(IncSt!AM6/3*CreditSales)+(IncSt!AN6*CreditSales/3)+(IncSt!AN6/3*CreditMultA),IF(AND(CreditTerms&gt;60,CreditTerms&lt;=90),(CreditMultB*IncSt!AM6/3)+(IncSt!AM6*CreditSales*2/3)+(IncSt!AN6/3*CreditMultA),IF(AND(CreditTerms&gt;90,CreditTerms&lt;=120),(CreditMultB*IncSt!AL6/3)+(IncSt!AM6*CreditSales*2/3)+(CreditMultA*IncSt!AM6/3),"Error"))))</f>
        <v>0</v>
      </c>
      <c r="AO8" s="565">
        <f>SUM(AK8:AN8)</f>
        <v>0</v>
      </c>
      <c r="AP8" s="562"/>
      <c r="AQ8" s="572">
        <f>IF(CreditTerms&lt;=30,(CreditMultB*IncSt!AN6/3)+(IncSt!AQ6*CreditSales*11/12)+(CreditMultA*IncSt!AQ6/12),IF(AND(CreditTerms&gt;30,CreditTerms&lt;=60),(CreditMultB*IncSt!AN6/3)+(IncSt!AN6/3*CreditSales)+(IncSt!AQ6*CreditSales*5/6)+(IncSt!AQ6/12*CreditMultA),IF(AND(CreditTerms&gt;60,CreditTerms&lt;=90),(CreditMultB*IncSt!AN6/3)+(IncSt!AN6*CreditSales*2/3)+(IncSt!AQ6*3/4)+(IncSt!AQ6/12*CreditMultA),IF(AND(CreditTerms&gt;90,CreditTerms&lt;=120),(CreditMultB*IncSt!AM6/3)+(IncSt!AN6*CreditSales)+(IncSt!AQ6*2/3*CreditSales)+(CreditMultA*IncSt!AQ6/12),"Error"))))</f>
        <v>0</v>
      </c>
    </row>
    <row r="9" spans="1:43" s="556" customFormat="1" ht="14.1" customHeight="1">
      <c r="A9" s="567"/>
      <c r="B9" s="573" t="s">
        <v>2</v>
      </c>
      <c r="C9" s="574">
        <f t="shared" ref="C9:M9" si="0">SUM(C7:C8)</f>
        <v>0</v>
      </c>
      <c r="D9" s="574">
        <f t="shared" si="0"/>
        <v>0</v>
      </c>
      <c r="E9" s="574">
        <f t="shared" si="0"/>
        <v>0</v>
      </c>
      <c r="F9" s="574">
        <f t="shared" si="0"/>
        <v>0</v>
      </c>
      <c r="G9" s="574">
        <f t="shared" si="0"/>
        <v>0</v>
      </c>
      <c r="H9" s="574">
        <f t="shared" si="0"/>
        <v>0</v>
      </c>
      <c r="I9" s="574">
        <f t="shared" si="0"/>
        <v>0</v>
      </c>
      <c r="J9" s="574">
        <f t="shared" si="0"/>
        <v>0</v>
      </c>
      <c r="K9" s="574">
        <f t="shared" si="0"/>
        <v>0</v>
      </c>
      <c r="L9" s="574">
        <f t="shared" si="0"/>
        <v>0</v>
      </c>
      <c r="M9" s="574">
        <f t="shared" si="0"/>
        <v>0</v>
      </c>
      <c r="N9" s="575">
        <f>SUM(N7:N8)</f>
        <v>0</v>
      </c>
      <c r="O9" s="576">
        <f>SUM(C9:N9)</f>
        <v>0</v>
      </c>
      <c r="P9" s="577"/>
      <c r="Q9" s="574">
        <f t="shared" ref="Q9:AB9" si="1">SUM(Q7:Q8)</f>
        <v>0</v>
      </c>
      <c r="R9" s="574">
        <f t="shared" si="1"/>
        <v>0</v>
      </c>
      <c r="S9" s="574">
        <f t="shared" si="1"/>
        <v>0</v>
      </c>
      <c r="T9" s="574">
        <f t="shared" si="1"/>
        <v>0</v>
      </c>
      <c r="U9" s="574">
        <f t="shared" si="1"/>
        <v>0</v>
      </c>
      <c r="V9" s="574">
        <f t="shared" si="1"/>
        <v>0</v>
      </c>
      <c r="W9" s="574">
        <f t="shared" si="1"/>
        <v>0</v>
      </c>
      <c r="X9" s="574">
        <f t="shared" si="1"/>
        <v>0</v>
      </c>
      <c r="Y9" s="574">
        <f t="shared" si="1"/>
        <v>0</v>
      </c>
      <c r="Z9" s="574">
        <f t="shared" si="1"/>
        <v>0</v>
      </c>
      <c r="AA9" s="574">
        <f t="shared" si="1"/>
        <v>0</v>
      </c>
      <c r="AB9" s="575">
        <f t="shared" si="1"/>
        <v>0</v>
      </c>
      <c r="AC9" s="576">
        <f>SUM(Q9:AB9)</f>
        <v>0</v>
      </c>
      <c r="AD9" s="578"/>
      <c r="AE9" s="579">
        <f>SUM(AE7:AE8)</f>
        <v>0</v>
      </c>
      <c r="AF9" s="574">
        <f>SUM(AF7:AF8)</f>
        <v>0</v>
      </c>
      <c r="AG9" s="574">
        <f>SUM(AG7:AG8)</f>
        <v>0</v>
      </c>
      <c r="AH9" s="580">
        <f>SUM(AH7:AH8)</f>
        <v>0</v>
      </c>
      <c r="AI9" s="581">
        <f>SUM(AE9:AH9)</f>
        <v>0</v>
      </c>
      <c r="AJ9" s="562"/>
      <c r="AK9" s="574">
        <f>SUM(AK7:AK8)</f>
        <v>0</v>
      </c>
      <c r="AL9" s="574">
        <f>SUM(AL7:AL8)</f>
        <v>0</v>
      </c>
      <c r="AM9" s="574">
        <f>SUM(AM7:AM8)</f>
        <v>0</v>
      </c>
      <c r="AN9" s="575">
        <f>SUM(AN7:AN8)</f>
        <v>0</v>
      </c>
      <c r="AO9" s="581">
        <f>SUM(AK9:AN9)</f>
        <v>0</v>
      </c>
      <c r="AP9" s="562"/>
      <c r="AQ9" s="582">
        <f>SUM(AQ7:AQ8)</f>
        <v>0</v>
      </c>
    </row>
    <row r="10" spans="1:43" s="556" customFormat="1" ht="14.1" customHeight="1">
      <c r="B10" s="583" t="s">
        <v>3</v>
      </c>
      <c r="C10" s="584"/>
      <c r="D10" s="584"/>
      <c r="E10" s="584"/>
      <c r="F10" s="584"/>
      <c r="G10" s="584"/>
      <c r="H10" s="584"/>
      <c r="I10" s="584"/>
      <c r="J10" s="584"/>
      <c r="K10" s="584"/>
      <c r="L10" s="584"/>
      <c r="M10" s="584"/>
      <c r="N10" s="585"/>
      <c r="O10" s="586"/>
      <c r="P10" s="577"/>
      <c r="Q10" s="584"/>
      <c r="R10" s="584"/>
      <c r="S10" s="584"/>
      <c r="T10" s="584"/>
      <c r="U10" s="584"/>
      <c r="V10" s="584"/>
      <c r="W10" s="584"/>
      <c r="X10" s="584"/>
      <c r="Y10" s="584"/>
      <c r="Z10" s="584"/>
      <c r="AA10" s="584"/>
      <c r="AB10" s="585"/>
      <c r="AC10" s="586"/>
      <c r="AD10" s="578"/>
      <c r="AE10" s="587"/>
      <c r="AF10" s="584"/>
      <c r="AG10" s="584"/>
      <c r="AH10" s="586"/>
      <c r="AI10" s="588"/>
      <c r="AJ10" s="562"/>
      <c r="AK10" s="584"/>
      <c r="AL10" s="584"/>
      <c r="AM10" s="584"/>
      <c r="AN10" s="585"/>
      <c r="AO10" s="588"/>
      <c r="AP10" s="562"/>
      <c r="AQ10" s="588"/>
    </row>
    <row r="11" spans="1:43" s="589" customFormat="1" ht="14.1" customHeight="1">
      <c r="B11" s="568" t="s">
        <v>4</v>
      </c>
      <c r="C11" s="260">
        <f t="shared" ref="C11:N11" si="2">IF((SUM(C9,C12,C15,C31)-C27)&gt;0,(SUM(C9,C12,C15,C31)-C27)*InterestRate/12,0)</f>
        <v>4.166666666666667</v>
      </c>
      <c r="D11" s="260">
        <f t="shared" si="2"/>
        <v>4.1701388888888893</v>
      </c>
      <c r="E11" s="260">
        <f t="shared" si="2"/>
        <v>4.1736140046296297</v>
      </c>
      <c r="F11" s="260">
        <f t="shared" si="2"/>
        <v>4.177092016300155</v>
      </c>
      <c r="G11" s="260">
        <f t="shared" si="2"/>
        <v>4.1805729263137374</v>
      </c>
      <c r="H11" s="260">
        <f t="shared" si="2"/>
        <v>4.1840567370856654</v>
      </c>
      <c r="I11" s="260">
        <f t="shared" si="2"/>
        <v>4.1875434510332363</v>
      </c>
      <c r="J11" s="260">
        <f t="shared" si="2"/>
        <v>4.1910330705757639</v>
      </c>
      <c r="K11" s="260">
        <f t="shared" si="2"/>
        <v>4.1945255981345779</v>
      </c>
      <c r="L11" s="260">
        <f t="shared" si="2"/>
        <v>4.1980210361330235</v>
      </c>
      <c r="M11" s="260">
        <f t="shared" si="2"/>
        <v>4.2015193869964671</v>
      </c>
      <c r="N11" s="274">
        <f t="shared" si="2"/>
        <v>4.2050206531522978</v>
      </c>
      <c r="O11" s="280">
        <f t="shared" ref="O11:O16" si="3">SUM(C11:N11)</f>
        <v>50.229804435910104</v>
      </c>
      <c r="P11" s="279"/>
      <c r="Q11" s="260">
        <f t="shared" ref="Q11:AB11" si="4">IF((SUM(Q9,Q12,Q15,Q31)-Q27)&gt;0,(SUM(Q9,Q12,Q15,Q31)-Q27)*InterestRate/12,0)</f>
        <v>4.2085248370299242</v>
      </c>
      <c r="R11" s="260">
        <f t="shared" si="4"/>
        <v>4.2120319410607827</v>
      </c>
      <c r="S11" s="260">
        <f t="shared" si="4"/>
        <v>4.215541967678333</v>
      </c>
      <c r="T11" s="260">
        <f t="shared" si="4"/>
        <v>4.2190549193180651</v>
      </c>
      <c r="U11" s="260">
        <f t="shared" si="4"/>
        <v>4.2225707984174967</v>
      </c>
      <c r="V11" s="260">
        <f t="shared" si="4"/>
        <v>4.2260896074161778</v>
      </c>
      <c r="W11" s="260">
        <f t="shared" si="4"/>
        <v>4.2296113487556912</v>
      </c>
      <c r="X11" s="260">
        <f t="shared" si="4"/>
        <v>4.2331360248796539</v>
      </c>
      <c r="Y11" s="260">
        <f t="shared" si="4"/>
        <v>4.2366636382337211</v>
      </c>
      <c r="Z11" s="260">
        <f t="shared" si="4"/>
        <v>4.2401941912655827</v>
      </c>
      <c r="AA11" s="260">
        <f t="shared" si="4"/>
        <v>4.2437276864249709</v>
      </c>
      <c r="AB11" s="274">
        <f t="shared" si="4"/>
        <v>4.2472641261636577</v>
      </c>
      <c r="AC11" s="280">
        <f>SUM(Q11:AB11)</f>
        <v>50.734411086644052</v>
      </c>
      <c r="AD11" s="279"/>
      <c r="AE11" s="260">
        <f>IF((SUM(AE9,AE12,AE15,AE31)-AE27)&gt;0,(SUM(AE9,AE12,AE15,AE31)-AE27)*InterestRate/4,0)</f>
        <v>12.752410538806382</v>
      </c>
      <c r="AF11" s="260">
        <f>IF((SUM(AF9,AF12,AF15,AF31)-AF27)&gt;0,(SUM(AF9,AF12,AF15,AF31)-AF27)*InterestRate/4,0)</f>
        <v>12.784291565153399</v>
      </c>
      <c r="AG11" s="260">
        <f>IF((SUM(AG9,AG12,AG15,AG31)-AG27)&gt;0,(SUM(AG9,AG12,AG15,AG31)-AG27)*InterestRate/4,0)</f>
        <v>12.816252294066283</v>
      </c>
      <c r="AH11" s="274">
        <f>IF((SUM(AH9,AH12,AH15,AH31)-AH27)&gt;0,(SUM(AH9,AH12,AH15,AH31)-AH27)*InterestRate/4,0)</f>
        <v>12.848292924801449</v>
      </c>
      <c r="AI11" s="278">
        <f t="shared" ref="AI11:AI16" si="5">SUM(AE11:AH11)</f>
        <v>51.201247322827513</v>
      </c>
      <c r="AJ11" s="279"/>
      <c r="AK11" s="260">
        <f>IF((SUM(AK9,AK12,AK15,AK31)-AK27)&gt;0,(SUM(AK9,AK12,AK15,AK31)-AK27)*InterestRate/4,0)</f>
        <v>12.880413657113452</v>
      </c>
      <c r="AL11" s="260">
        <f>IF((SUM(AL9,AL12,AL15,AL31)-AL27)&gt;0,(SUM(AL9,AL12,AL15,AL31)-AL27)*InterestRate/4,0)</f>
        <v>12.912614691256236</v>
      </c>
      <c r="AM11" s="260">
        <f>IF((SUM(AM9,AM12,AM15,AM31)-AM27)&gt;0,(SUM(AM9,AM12,AM15,AM31)-AM27)*InterestRate/4,0)</f>
        <v>12.944896227984374</v>
      </c>
      <c r="AN11" s="274">
        <f>IF((SUM(AN9,AN12,AN15,AN31)-AN27)&gt;0,(SUM(AN9,AN12,AN15,AN31)-AN27)*InterestRate/4,0)</f>
        <v>12.977258468554338</v>
      </c>
      <c r="AO11" s="278">
        <f t="shared" ref="AO11:AO16" si="6">SUM(AK11:AN11)</f>
        <v>51.7151830449084</v>
      </c>
      <c r="AP11" s="279"/>
      <c r="AQ11" s="278">
        <f>IF((SUM(AQ9,AQ12,AQ15,AQ31)-AQ27)&gt;0,(SUM(AQ9,AQ12,AQ15,AQ31)-AQ27)*InterestRate,0)</f>
        <v>52.03880645890289</v>
      </c>
    </row>
    <row r="12" spans="1:43" s="589" customFormat="1" ht="14.1" customHeight="1">
      <c r="B12" s="590" t="s">
        <v>5</v>
      </c>
      <c r="C12" s="533">
        <f>Config!AD121</f>
        <v>0</v>
      </c>
      <c r="D12" s="533">
        <f>Config!AE121</f>
        <v>0</v>
      </c>
      <c r="E12" s="533">
        <f>Config!AF121</f>
        <v>0</v>
      </c>
      <c r="F12" s="533">
        <f>Config!AG121</f>
        <v>0</v>
      </c>
      <c r="G12" s="533">
        <f>Config!AH121</f>
        <v>0</v>
      </c>
      <c r="H12" s="533">
        <f>Config!AI121</f>
        <v>0</v>
      </c>
      <c r="I12" s="533">
        <f>Config!AJ121</f>
        <v>0</v>
      </c>
      <c r="J12" s="533">
        <f>Config!AK121</f>
        <v>0</v>
      </c>
      <c r="K12" s="533">
        <f>Config!AL121</f>
        <v>0</v>
      </c>
      <c r="L12" s="533">
        <f>Config!AM121</f>
        <v>0</v>
      </c>
      <c r="M12" s="533">
        <f>Config!AN121</f>
        <v>0</v>
      </c>
      <c r="N12" s="274">
        <f>Config!AO121</f>
        <v>0</v>
      </c>
      <c r="O12" s="494">
        <f t="shared" si="3"/>
        <v>0</v>
      </c>
      <c r="P12" s="591"/>
      <c r="Q12" s="533">
        <f>Config!AP121</f>
        <v>0</v>
      </c>
      <c r="R12" s="533">
        <f>Config!AQ121</f>
        <v>0</v>
      </c>
      <c r="S12" s="533">
        <f>Config!AR121</f>
        <v>0</v>
      </c>
      <c r="T12" s="533">
        <f>Config!AS121</f>
        <v>0</v>
      </c>
      <c r="U12" s="533">
        <f>Config!AT121</f>
        <v>0</v>
      </c>
      <c r="V12" s="533">
        <f>Config!AU121</f>
        <v>0</v>
      </c>
      <c r="W12" s="533">
        <f>Config!AV121</f>
        <v>0</v>
      </c>
      <c r="X12" s="533">
        <f>Config!AW121</f>
        <v>0</v>
      </c>
      <c r="Y12" s="533">
        <f>Config!AX121</f>
        <v>0</v>
      </c>
      <c r="Z12" s="533">
        <f>Config!AY121</f>
        <v>0</v>
      </c>
      <c r="AA12" s="533">
        <f>Config!AZ121</f>
        <v>0</v>
      </c>
      <c r="AB12" s="274">
        <f>Config!BA121</f>
        <v>0</v>
      </c>
      <c r="AC12" s="494">
        <f>SUM(Q12:AB12)</f>
        <v>0</v>
      </c>
      <c r="AD12" s="592"/>
      <c r="AE12" s="537">
        <f>SUM(Config!BB121:BD121)</f>
        <v>0</v>
      </c>
      <c r="AF12" s="260">
        <f>SUM(Config!BE121:BG121)</f>
        <v>0</v>
      </c>
      <c r="AG12" s="260">
        <f>SUM(Config!BH121:BJ121)</f>
        <v>0</v>
      </c>
      <c r="AH12" s="533">
        <f>SUM(Config!BK121:BM121)</f>
        <v>0</v>
      </c>
      <c r="AI12" s="366">
        <f t="shared" si="5"/>
        <v>0</v>
      </c>
      <c r="AJ12" s="541"/>
      <c r="AK12" s="537">
        <f>SUM(Config!BN121:BP121)</f>
        <v>0</v>
      </c>
      <c r="AL12" s="260">
        <f>SUM(Config!BQ121:BS121)</f>
        <v>0</v>
      </c>
      <c r="AM12" s="260">
        <f>SUM(Config!BT121:BV121)</f>
        <v>0</v>
      </c>
      <c r="AN12" s="533">
        <f>SUM(Config!BW121:BY121)</f>
        <v>0</v>
      </c>
      <c r="AO12" s="366">
        <f t="shared" si="6"/>
        <v>0</v>
      </c>
      <c r="AP12" s="541"/>
      <c r="AQ12" s="278">
        <f>SUM(Config!BZ121:CK121)</f>
        <v>0</v>
      </c>
    </row>
    <row r="13" spans="1:43" s="589" customFormat="1" ht="14.1" customHeight="1">
      <c r="B13" s="590" t="s">
        <v>247</v>
      </c>
      <c r="C13" s="533">
        <f>Config!AD140</f>
        <v>0</v>
      </c>
      <c r="D13" s="533">
        <f>Config!AE140</f>
        <v>0</v>
      </c>
      <c r="E13" s="533">
        <f>Config!AF140</f>
        <v>0</v>
      </c>
      <c r="F13" s="533">
        <f>Config!AG140</f>
        <v>0</v>
      </c>
      <c r="G13" s="533">
        <f>Config!AH140</f>
        <v>0</v>
      </c>
      <c r="H13" s="533">
        <f>Config!AI140</f>
        <v>0</v>
      </c>
      <c r="I13" s="533">
        <f>Config!AJ140</f>
        <v>0</v>
      </c>
      <c r="J13" s="533">
        <f>Config!AK140</f>
        <v>0</v>
      </c>
      <c r="K13" s="533">
        <f>Config!AL140</f>
        <v>0</v>
      </c>
      <c r="L13" s="533">
        <f>Config!AM140</f>
        <v>0</v>
      </c>
      <c r="M13" s="533">
        <f>Config!AN140</f>
        <v>0</v>
      </c>
      <c r="N13" s="274">
        <f>Config!AO140</f>
        <v>0</v>
      </c>
      <c r="O13" s="494">
        <f t="shared" si="3"/>
        <v>0</v>
      </c>
      <c r="P13" s="591"/>
      <c r="Q13" s="533">
        <f>Config!AP140</f>
        <v>0</v>
      </c>
      <c r="R13" s="533">
        <f>Config!AQ140</f>
        <v>0</v>
      </c>
      <c r="S13" s="533">
        <f>Config!AR140</f>
        <v>0</v>
      </c>
      <c r="T13" s="533">
        <f>Config!AS140</f>
        <v>0</v>
      </c>
      <c r="U13" s="533">
        <f>Config!AT140</f>
        <v>0</v>
      </c>
      <c r="V13" s="533">
        <f>Config!AU140</f>
        <v>0</v>
      </c>
      <c r="W13" s="533">
        <f>Config!AV140</f>
        <v>0</v>
      </c>
      <c r="X13" s="533">
        <f>Config!AW140</f>
        <v>0</v>
      </c>
      <c r="Y13" s="533">
        <f>Config!AX140</f>
        <v>0</v>
      </c>
      <c r="Z13" s="533">
        <f>Config!AY140</f>
        <v>0</v>
      </c>
      <c r="AA13" s="533">
        <f>Config!AZ140</f>
        <v>0</v>
      </c>
      <c r="AB13" s="274">
        <f>Config!BA140</f>
        <v>0</v>
      </c>
      <c r="AC13" s="494">
        <v>0</v>
      </c>
      <c r="AD13" s="592"/>
      <c r="AE13" s="537">
        <f>SUM(Config!BB140:BD140)</f>
        <v>0</v>
      </c>
      <c r="AF13" s="260">
        <f>SUM(Config!BE140:BG140)</f>
        <v>0</v>
      </c>
      <c r="AG13" s="260">
        <f>SUM(Config!BH140:BJ140)</f>
        <v>0</v>
      </c>
      <c r="AH13" s="533">
        <f>SUM(Config!BK140:BM140)</f>
        <v>0</v>
      </c>
      <c r="AI13" s="366">
        <f t="shared" si="5"/>
        <v>0</v>
      </c>
      <c r="AJ13" s="541"/>
      <c r="AK13" s="537">
        <f>SUM(Config!BN140:BP140)</f>
        <v>0</v>
      </c>
      <c r="AL13" s="260">
        <f>SUM(Config!BQ140:BS140)</f>
        <v>0</v>
      </c>
      <c r="AM13" s="260">
        <f>SUM(Config!BT140:BV140)</f>
        <v>0</v>
      </c>
      <c r="AN13" s="533">
        <f>SUM(Config!BW140:BY140)</f>
        <v>0</v>
      </c>
      <c r="AO13" s="366">
        <f t="shared" si="6"/>
        <v>0</v>
      </c>
      <c r="AP13" s="541"/>
      <c r="AQ13" s="534">
        <f>SUM(Config!BZ140:CK140)</f>
        <v>0</v>
      </c>
    </row>
    <row r="14" spans="1:43" s="589" customFormat="1" ht="14.1" customHeight="1">
      <c r="A14" s="593"/>
      <c r="B14" s="594" t="s">
        <v>6</v>
      </c>
      <c r="C14" s="595">
        <f>SUM(C11:C13)</f>
        <v>4.166666666666667</v>
      </c>
      <c r="D14" s="595">
        <f>SUM(D11:D13)</f>
        <v>4.1701388888888893</v>
      </c>
      <c r="E14" s="595">
        <f t="shared" ref="E14:N14" si="7">SUM(E11:E13)</f>
        <v>4.1736140046296297</v>
      </c>
      <c r="F14" s="595">
        <f t="shared" si="7"/>
        <v>4.177092016300155</v>
      </c>
      <c r="G14" s="595">
        <f t="shared" si="7"/>
        <v>4.1805729263137374</v>
      </c>
      <c r="H14" s="595">
        <f t="shared" si="7"/>
        <v>4.1840567370856654</v>
      </c>
      <c r="I14" s="595">
        <f t="shared" si="7"/>
        <v>4.1875434510332363</v>
      </c>
      <c r="J14" s="595">
        <f t="shared" si="7"/>
        <v>4.1910330705757639</v>
      </c>
      <c r="K14" s="595">
        <f t="shared" si="7"/>
        <v>4.1945255981345779</v>
      </c>
      <c r="L14" s="595">
        <f t="shared" si="7"/>
        <v>4.1980210361330235</v>
      </c>
      <c r="M14" s="595">
        <f t="shared" si="7"/>
        <v>4.2015193869964671</v>
      </c>
      <c r="N14" s="596">
        <f t="shared" si="7"/>
        <v>4.2050206531522978</v>
      </c>
      <c r="O14" s="494">
        <f t="shared" si="3"/>
        <v>50.229804435910104</v>
      </c>
      <c r="P14" s="543"/>
      <c r="Q14" s="595">
        <f>SUM(Q11:Q13)</f>
        <v>4.2085248370299242</v>
      </c>
      <c r="R14" s="595">
        <f>SUM(R11:R13)</f>
        <v>4.2120319410607827</v>
      </c>
      <c r="S14" s="595">
        <f t="shared" ref="S14:AB14" si="8">SUM(S11:S13)</f>
        <v>4.215541967678333</v>
      </c>
      <c r="T14" s="595">
        <f t="shared" si="8"/>
        <v>4.2190549193180651</v>
      </c>
      <c r="U14" s="595">
        <f t="shared" si="8"/>
        <v>4.2225707984174967</v>
      </c>
      <c r="V14" s="595">
        <f t="shared" si="8"/>
        <v>4.2260896074161778</v>
      </c>
      <c r="W14" s="595">
        <f t="shared" si="8"/>
        <v>4.2296113487556912</v>
      </c>
      <c r="X14" s="595">
        <f t="shared" si="8"/>
        <v>4.2331360248796539</v>
      </c>
      <c r="Y14" s="595">
        <f t="shared" si="8"/>
        <v>4.2366636382337211</v>
      </c>
      <c r="Z14" s="595">
        <f t="shared" si="8"/>
        <v>4.2401941912655827</v>
      </c>
      <c r="AA14" s="595">
        <f t="shared" si="8"/>
        <v>4.2437276864249709</v>
      </c>
      <c r="AB14" s="596">
        <f t="shared" si="8"/>
        <v>4.2472641261636577</v>
      </c>
      <c r="AC14" s="494">
        <f>SUM(Q14:AB14)</f>
        <v>50.734411086644052</v>
      </c>
      <c r="AD14" s="597"/>
      <c r="AE14" s="598">
        <f>SUM(AE11:AE13)</f>
        <v>12.752410538806382</v>
      </c>
      <c r="AF14" s="595">
        <f>SUM(AF11:AF13)</f>
        <v>12.784291565153399</v>
      </c>
      <c r="AG14" s="595">
        <f>SUM(AG11:AG13)</f>
        <v>12.816252294066283</v>
      </c>
      <c r="AH14" s="599">
        <f>SUM(AH11:AH13)</f>
        <v>12.848292924801449</v>
      </c>
      <c r="AI14" s="366">
        <f t="shared" si="5"/>
        <v>51.201247322827513</v>
      </c>
      <c r="AJ14" s="541"/>
      <c r="AK14" s="598">
        <f>SUM(AK11:AK13)</f>
        <v>12.880413657113452</v>
      </c>
      <c r="AL14" s="595">
        <f>SUM(AL11:AL13)</f>
        <v>12.912614691256236</v>
      </c>
      <c r="AM14" s="595">
        <f>SUM(AM11:AM13)</f>
        <v>12.944896227984374</v>
      </c>
      <c r="AN14" s="599">
        <f>SUM(AN11:AN13)</f>
        <v>12.977258468554338</v>
      </c>
      <c r="AO14" s="366">
        <f t="shared" si="6"/>
        <v>51.7151830449084</v>
      </c>
      <c r="AP14" s="541"/>
      <c r="AQ14" s="540">
        <f>SUM(AQ11:AQ13)</f>
        <v>52.03880645890289</v>
      </c>
    </row>
    <row r="15" spans="1:43" s="589" customFormat="1" ht="14.1" customHeight="1" thickBot="1">
      <c r="A15" s="593"/>
      <c r="B15" s="600" t="s">
        <v>104</v>
      </c>
      <c r="C15" s="263">
        <v>0</v>
      </c>
      <c r="D15" s="263">
        <v>0</v>
      </c>
      <c r="E15" s="263">
        <v>0</v>
      </c>
      <c r="F15" s="263">
        <v>0</v>
      </c>
      <c r="G15" s="263">
        <v>0</v>
      </c>
      <c r="H15" s="263">
        <v>0</v>
      </c>
      <c r="I15" s="263">
        <v>0</v>
      </c>
      <c r="J15" s="263">
        <v>0</v>
      </c>
      <c r="K15" s="263">
        <v>0</v>
      </c>
      <c r="L15" s="263">
        <v>0</v>
      </c>
      <c r="M15" s="263">
        <v>0</v>
      </c>
      <c r="N15" s="264">
        <v>0</v>
      </c>
      <c r="O15" s="399">
        <f t="shared" si="3"/>
        <v>0</v>
      </c>
      <c r="P15" s="591"/>
      <c r="Q15" s="263">
        <v>0</v>
      </c>
      <c r="R15" s="263">
        <v>0</v>
      </c>
      <c r="S15" s="263">
        <v>0</v>
      </c>
      <c r="T15" s="263">
        <v>0</v>
      </c>
      <c r="U15" s="263">
        <v>0</v>
      </c>
      <c r="V15" s="263">
        <v>0</v>
      </c>
      <c r="W15" s="263">
        <v>0</v>
      </c>
      <c r="X15" s="263">
        <v>0</v>
      </c>
      <c r="Y15" s="263">
        <v>0</v>
      </c>
      <c r="Z15" s="263">
        <v>0</v>
      </c>
      <c r="AA15" s="263">
        <v>0</v>
      </c>
      <c r="AB15" s="264">
        <v>0</v>
      </c>
      <c r="AC15" s="399">
        <f>SUM(Q15:AB15)</f>
        <v>0</v>
      </c>
      <c r="AD15" s="592"/>
      <c r="AE15" s="265">
        <v>0</v>
      </c>
      <c r="AF15" s="263">
        <v>0</v>
      </c>
      <c r="AG15" s="263">
        <v>0</v>
      </c>
      <c r="AH15" s="266">
        <v>0</v>
      </c>
      <c r="AI15" s="373">
        <f t="shared" si="5"/>
        <v>0</v>
      </c>
      <c r="AJ15" s="541"/>
      <c r="AK15" s="265">
        <v>0</v>
      </c>
      <c r="AL15" s="263">
        <v>0</v>
      </c>
      <c r="AM15" s="263">
        <v>0</v>
      </c>
      <c r="AN15" s="266">
        <v>0</v>
      </c>
      <c r="AO15" s="373">
        <f t="shared" si="6"/>
        <v>0</v>
      </c>
      <c r="AP15" s="541"/>
      <c r="AQ15" s="267">
        <v>0</v>
      </c>
    </row>
    <row r="16" spans="1:43" s="589" customFormat="1" ht="14.1" customHeight="1" thickBot="1">
      <c r="A16" s="593"/>
      <c r="B16" s="601" t="s">
        <v>105</v>
      </c>
      <c r="C16" s="602">
        <f t="shared" ref="C16:M16" si="9">SUM(C14:C15,C9)</f>
        <v>4.166666666666667</v>
      </c>
      <c r="D16" s="602">
        <f t="shared" si="9"/>
        <v>4.1701388888888893</v>
      </c>
      <c r="E16" s="602">
        <f t="shared" si="9"/>
        <v>4.1736140046296297</v>
      </c>
      <c r="F16" s="602">
        <f t="shared" si="9"/>
        <v>4.177092016300155</v>
      </c>
      <c r="G16" s="602">
        <f t="shared" si="9"/>
        <v>4.1805729263137374</v>
      </c>
      <c r="H16" s="602">
        <f t="shared" si="9"/>
        <v>4.1840567370856654</v>
      </c>
      <c r="I16" s="602">
        <f t="shared" si="9"/>
        <v>4.1875434510332363</v>
      </c>
      <c r="J16" s="602">
        <f t="shared" si="9"/>
        <v>4.1910330705757639</v>
      </c>
      <c r="K16" s="602">
        <f t="shared" si="9"/>
        <v>4.1945255981345779</v>
      </c>
      <c r="L16" s="602">
        <f t="shared" si="9"/>
        <v>4.1980210361330235</v>
      </c>
      <c r="M16" s="602">
        <f t="shared" si="9"/>
        <v>4.2015193869964671</v>
      </c>
      <c r="N16" s="603">
        <f>SUM(N14:N15,N9)</f>
        <v>4.2050206531522978</v>
      </c>
      <c r="O16" s="622">
        <f t="shared" si="3"/>
        <v>50.229804435910104</v>
      </c>
      <c r="P16" s="543"/>
      <c r="Q16" s="602">
        <f t="shared" ref="Q16:AB16" si="10">SUM(Q14:Q15,Q9)</f>
        <v>4.2085248370299242</v>
      </c>
      <c r="R16" s="602">
        <f t="shared" si="10"/>
        <v>4.2120319410607827</v>
      </c>
      <c r="S16" s="602">
        <f t="shared" si="10"/>
        <v>4.215541967678333</v>
      </c>
      <c r="T16" s="602">
        <f t="shared" si="10"/>
        <v>4.2190549193180651</v>
      </c>
      <c r="U16" s="602">
        <f t="shared" si="10"/>
        <v>4.2225707984174967</v>
      </c>
      <c r="V16" s="602">
        <f t="shared" si="10"/>
        <v>4.2260896074161778</v>
      </c>
      <c r="W16" s="602">
        <f t="shared" si="10"/>
        <v>4.2296113487556912</v>
      </c>
      <c r="X16" s="602">
        <f t="shared" si="10"/>
        <v>4.2331360248796539</v>
      </c>
      <c r="Y16" s="602">
        <f t="shared" si="10"/>
        <v>4.2366636382337211</v>
      </c>
      <c r="Z16" s="602">
        <f t="shared" si="10"/>
        <v>4.2401941912655827</v>
      </c>
      <c r="AA16" s="602">
        <f t="shared" si="10"/>
        <v>4.2437276864249709</v>
      </c>
      <c r="AB16" s="603">
        <f t="shared" si="10"/>
        <v>4.2472641261636577</v>
      </c>
      <c r="AC16" s="622">
        <f>SUM(Q16:AB16)</f>
        <v>50.734411086644052</v>
      </c>
      <c r="AD16" s="597"/>
      <c r="AE16" s="604">
        <f>SUM(AE14:AE15,AE9)</f>
        <v>12.752410538806382</v>
      </c>
      <c r="AF16" s="602">
        <f>SUM(AF14:AF15,AF9)</f>
        <v>12.784291565153399</v>
      </c>
      <c r="AG16" s="602">
        <f>SUM(AG14:AG15,AG9)</f>
        <v>12.816252294066283</v>
      </c>
      <c r="AH16" s="605">
        <f>SUM(AH14:AH15,AH9)</f>
        <v>12.848292924801449</v>
      </c>
      <c r="AI16" s="623">
        <f t="shared" si="5"/>
        <v>51.201247322827513</v>
      </c>
      <c r="AJ16" s="541"/>
      <c r="AK16" s="604">
        <f>SUM(AK14:AK15,AK9)</f>
        <v>12.880413657113452</v>
      </c>
      <c r="AL16" s="602">
        <f>SUM(AL14:AL15,AL9)</f>
        <v>12.912614691256236</v>
      </c>
      <c r="AM16" s="602">
        <f>SUM(AM14:AM15,AM9)</f>
        <v>12.944896227984374</v>
      </c>
      <c r="AN16" s="605">
        <f>SUM(AN14:AN15,AN9)</f>
        <v>12.977258468554338</v>
      </c>
      <c r="AO16" s="623">
        <f t="shared" si="6"/>
        <v>51.7151830449084</v>
      </c>
      <c r="AP16" s="541"/>
      <c r="AQ16" s="606">
        <f>SUM(AQ14:AQ15,AQ9)</f>
        <v>52.03880645890289</v>
      </c>
    </row>
    <row r="17" spans="1:43" s="589" customFormat="1" ht="14.1" customHeight="1">
      <c r="A17" s="593"/>
      <c r="B17" s="600"/>
      <c r="C17" s="597"/>
      <c r="D17" s="597"/>
      <c r="E17" s="597"/>
      <c r="F17" s="597"/>
      <c r="G17" s="597"/>
      <c r="H17" s="597"/>
      <c r="I17" s="597"/>
      <c r="J17" s="597"/>
      <c r="K17" s="597"/>
      <c r="L17" s="597"/>
      <c r="M17" s="597"/>
      <c r="N17" s="607"/>
      <c r="O17" s="543"/>
      <c r="P17" s="543"/>
      <c r="Q17" s="597"/>
      <c r="R17" s="597"/>
      <c r="S17" s="597"/>
      <c r="T17" s="597"/>
      <c r="U17" s="597"/>
      <c r="V17" s="597"/>
      <c r="W17" s="597"/>
      <c r="X17" s="597"/>
      <c r="Y17" s="597"/>
      <c r="Z17" s="597"/>
      <c r="AA17" s="597"/>
      <c r="AB17" s="607"/>
      <c r="AC17" s="543"/>
      <c r="AD17" s="597"/>
      <c r="AE17" s="608"/>
      <c r="AF17" s="597"/>
      <c r="AG17" s="597"/>
      <c r="AH17" s="543"/>
      <c r="AI17" s="542"/>
      <c r="AJ17" s="541"/>
      <c r="AK17" s="608"/>
      <c r="AL17" s="597"/>
      <c r="AM17" s="597"/>
      <c r="AN17" s="543"/>
      <c r="AO17" s="542"/>
      <c r="AP17" s="541"/>
      <c r="AQ17" s="542"/>
    </row>
    <row r="18" spans="1:43" s="589" customFormat="1" ht="14.1" customHeight="1">
      <c r="A18" s="593"/>
      <c r="B18" s="557" t="s">
        <v>106</v>
      </c>
      <c r="C18" s="595"/>
      <c r="D18" s="595"/>
      <c r="E18" s="595"/>
      <c r="F18" s="595"/>
      <c r="G18" s="595"/>
      <c r="H18" s="595"/>
      <c r="I18" s="595"/>
      <c r="J18" s="595"/>
      <c r="K18" s="595"/>
      <c r="L18" s="595"/>
      <c r="M18" s="595"/>
      <c r="N18" s="609"/>
      <c r="O18" s="599"/>
      <c r="P18" s="543"/>
      <c r="Q18" s="595"/>
      <c r="R18" s="595"/>
      <c r="S18" s="595"/>
      <c r="T18" s="595"/>
      <c r="U18" s="595"/>
      <c r="V18" s="595"/>
      <c r="W18" s="595"/>
      <c r="X18" s="595"/>
      <c r="Y18" s="595"/>
      <c r="Z18" s="595"/>
      <c r="AA18" s="595"/>
      <c r="AB18" s="609"/>
      <c r="AC18" s="599"/>
      <c r="AD18" s="597"/>
      <c r="AE18" s="598"/>
      <c r="AF18" s="595"/>
      <c r="AG18" s="595"/>
      <c r="AH18" s="599"/>
      <c r="AI18" s="540"/>
      <c r="AJ18" s="541"/>
      <c r="AK18" s="598"/>
      <c r="AL18" s="595"/>
      <c r="AM18" s="595"/>
      <c r="AN18" s="599"/>
      <c r="AO18" s="540"/>
      <c r="AP18" s="541"/>
      <c r="AQ18" s="540"/>
    </row>
    <row r="19" spans="1:43" s="589" customFormat="1" ht="14.1" customHeight="1">
      <c r="A19" s="593"/>
      <c r="B19" s="590" t="s">
        <v>126</v>
      </c>
      <c r="C19" s="595">
        <f>Inventory!C85</f>
        <v>0</v>
      </c>
      <c r="D19" s="595">
        <f>Inventory!D85</f>
        <v>0</v>
      </c>
      <c r="E19" s="595">
        <f>Inventory!E85</f>
        <v>0</v>
      </c>
      <c r="F19" s="595">
        <f>Inventory!F85</f>
        <v>0</v>
      </c>
      <c r="G19" s="595">
        <f>Inventory!G85</f>
        <v>0</v>
      </c>
      <c r="H19" s="595">
        <f>Inventory!H85</f>
        <v>0</v>
      </c>
      <c r="I19" s="595">
        <f>Inventory!I85</f>
        <v>0</v>
      </c>
      <c r="J19" s="595">
        <f>Inventory!J85</f>
        <v>0</v>
      </c>
      <c r="K19" s="595">
        <f>Inventory!K85</f>
        <v>0</v>
      </c>
      <c r="L19" s="595">
        <f>Inventory!L85</f>
        <v>0</v>
      </c>
      <c r="M19" s="595">
        <f>Inventory!M85</f>
        <v>0</v>
      </c>
      <c r="N19" s="596">
        <f>Inventory!N85</f>
        <v>0</v>
      </c>
      <c r="O19" s="599">
        <f t="shared" ref="O19:O27" si="11">SUM(C19:N19)</f>
        <v>0</v>
      </c>
      <c r="P19" s="543"/>
      <c r="Q19" s="595">
        <f>Inventory!Q85</f>
        <v>0</v>
      </c>
      <c r="R19" s="595">
        <f>Inventory!R85</f>
        <v>0</v>
      </c>
      <c r="S19" s="595">
        <f>Inventory!S85</f>
        <v>0</v>
      </c>
      <c r="T19" s="595">
        <f>Inventory!T85</f>
        <v>0</v>
      </c>
      <c r="U19" s="595">
        <f>Inventory!U85</f>
        <v>0</v>
      </c>
      <c r="V19" s="595">
        <f>Inventory!V85</f>
        <v>0</v>
      </c>
      <c r="W19" s="595">
        <f>Inventory!W85</f>
        <v>0</v>
      </c>
      <c r="X19" s="595">
        <f>Inventory!X85</f>
        <v>0</v>
      </c>
      <c r="Y19" s="595">
        <f>Inventory!Y85</f>
        <v>0</v>
      </c>
      <c r="Z19" s="595">
        <f>Inventory!Z85</f>
        <v>0</v>
      </c>
      <c r="AA19" s="595">
        <f>Inventory!AA85</f>
        <v>0</v>
      </c>
      <c r="AB19" s="596">
        <f>Inventory!AB85</f>
        <v>0</v>
      </c>
      <c r="AC19" s="599">
        <f t="shared" ref="AC19:AC27" si="12">SUM(Q19:AB19)</f>
        <v>0</v>
      </c>
      <c r="AD19" s="597"/>
      <c r="AE19" s="610">
        <f>Inventory!AE85</f>
        <v>0</v>
      </c>
      <c r="AF19" s="611">
        <f>Inventory!AF85</f>
        <v>0</v>
      </c>
      <c r="AG19" s="611">
        <f>Inventory!AG85</f>
        <v>0</v>
      </c>
      <c r="AH19" s="595">
        <f>Inventory!AH85</f>
        <v>0</v>
      </c>
      <c r="AI19" s="540">
        <f t="shared" ref="AI19:AI27" si="13">SUM(AE19:AH19)</f>
        <v>0</v>
      </c>
      <c r="AJ19" s="541"/>
      <c r="AK19" s="610">
        <f>Inventory!AK85</f>
        <v>0</v>
      </c>
      <c r="AL19" s="611">
        <f>Inventory!AL85</f>
        <v>0</v>
      </c>
      <c r="AM19" s="611">
        <f>Inventory!AM85</f>
        <v>0</v>
      </c>
      <c r="AN19" s="595">
        <f>Inventory!AN85</f>
        <v>0</v>
      </c>
      <c r="AO19" s="540">
        <f t="shared" ref="AO19:AO27" si="14">SUM(AK19:AN19)</f>
        <v>0</v>
      </c>
      <c r="AP19" s="541"/>
      <c r="AQ19" s="540">
        <f>Inventory!AQ85</f>
        <v>0</v>
      </c>
    </row>
    <row r="20" spans="1:43" s="589" customFormat="1" ht="14.1" customHeight="1">
      <c r="A20" s="593"/>
      <c r="B20" s="590" t="s">
        <v>107</v>
      </c>
      <c r="C20" s="595">
        <f>IncSt!C33-IncSt!C22-IncSt!C30</f>
        <v>0</v>
      </c>
      <c r="D20" s="595">
        <f>IncSt!D33-IncSt!D22-IncSt!D30</f>
        <v>0</v>
      </c>
      <c r="E20" s="595">
        <f>IncSt!E33-IncSt!E22-IncSt!E30</f>
        <v>0</v>
      </c>
      <c r="F20" s="595">
        <f>IncSt!F33-IncSt!F22-IncSt!F30</f>
        <v>0</v>
      </c>
      <c r="G20" s="595">
        <f>IncSt!G33-IncSt!G22-IncSt!G30</f>
        <v>0</v>
      </c>
      <c r="H20" s="595">
        <f>IncSt!H33-IncSt!H22-IncSt!H30</f>
        <v>0</v>
      </c>
      <c r="I20" s="595">
        <f>IncSt!I33-IncSt!I22-IncSt!I30</f>
        <v>0</v>
      </c>
      <c r="J20" s="595">
        <f>IncSt!J33-IncSt!J22-IncSt!J30</f>
        <v>0</v>
      </c>
      <c r="K20" s="595">
        <f>IncSt!K33-IncSt!K22-IncSt!K30</f>
        <v>0</v>
      </c>
      <c r="L20" s="595">
        <f>IncSt!L33-IncSt!L22-IncSt!L30</f>
        <v>0</v>
      </c>
      <c r="M20" s="595">
        <f>IncSt!M33-IncSt!M22-IncSt!M30</f>
        <v>0</v>
      </c>
      <c r="N20" s="596">
        <f>IncSt!N33-IncSt!N22-IncSt!N30</f>
        <v>0</v>
      </c>
      <c r="O20" s="599">
        <f t="shared" si="11"/>
        <v>0</v>
      </c>
      <c r="P20" s="543"/>
      <c r="Q20" s="595">
        <f>IncSt!Q33-IncSt!Q22-IncSt!Q30</f>
        <v>0</v>
      </c>
      <c r="R20" s="595">
        <f>IncSt!R33-IncSt!R22-IncSt!R30</f>
        <v>0</v>
      </c>
      <c r="S20" s="595">
        <f>IncSt!S33-IncSt!S22-IncSt!S30</f>
        <v>0</v>
      </c>
      <c r="T20" s="595">
        <f>IncSt!T33-IncSt!T22-IncSt!T30</f>
        <v>0</v>
      </c>
      <c r="U20" s="595">
        <f>IncSt!U33-IncSt!U22-IncSt!U30</f>
        <v>0</v>
      </c>
      <c r="V20" s="595">
        <f>IncSt!V33-IncSt!V22-IncSt!V30</f>
        <v>0</v>
      </c>
      <c r="W20" s="595">
        <f>IncSt!W33-IncSt!W22-IncSt!W30</f>
        <v>0</v>
      </c>
      <c r="X20" s="595">
        <f>IncSt!X33-IncSt!X22-IncSt!X30</f>
        <v>0</v>
      </c>
      <c r="Y20" s="595">
        <f>IncSt!Y33-IncSt!Y22-IncSt!Y30</f>
        <v>0</v>
      </c>
      <c r="Z20" s="595">
        <f>IncSt!Z33-IncSt!Z22-IncSt!Z30</f>
        <v>0</v>
      </c>
      <c r="AA20" s="595">
        <f>IncSt!AA33-IncSt!AA22-IncSt!AA30</f>
        <v>0</v>
      </c>
      <c r="AB20" s="596">
        <f>IncSt!AB33-IncSt!AB22-IncSt!AB30</f>
        <v>0</v>
      </c>
      <c r="AC20" s="599">
        <f t="shared" si="12"/>
        <v>0</v>
      </c>
      <c r="AD20" s="541"/>
      <c r="AE20" s="610">
        <f>IncSt!AE33-IncSt!AE22-IncSt!AE30</f>
        <v>0</v>
      </c>
      <c r="AF20" s="611">
        <f>IncSt!AF33-IncSt!AF22-IncSt!AF30</f>
        <v>0</v>
      </c>
      <c r="AG20" s="611">
        <f>IncSt!AG33-IncSt!AG22-IncSt!AG30</f>
        <v>0</v>
      </c>
      <c r="AH20" s="611">
        <f>IncSt!AH33-IncSt!AH22-IncSt!AH30</f>
        <v>0</v>
      </c>
      <c r="AI20" s="540">
        <f t="shared" si="13"/>
        <v>0</v>
      </c>
      <c r="AJ20" s="541"/>
      <c r="AK20" s="610">
        <f>IncSt!AK33-IncSt!AK22-IncSt!AK30</f>
        <v>0</v>
      </c>
      <c r="AL20" s="611">
        <f>IncSt!AL33-IncSt!AL22-IncSt!AL30</f>
        <v>0</v>
      </c>
      <c r="AM20" s="611">
        <f>IncSt!AM33-IncSt!AM22-IncSt!AM30</f>
        <v>0</v>
      </c>
      <c r="AN20" s="611">
        <f>IncSt!AN33-IncSt!AN22-IncSt!AN30</f>
        <v>0</v>
      </c>
      <c r="AO20" s="540">
        <f t="shared" si="14"/>
        <v>0</v>
      </c>
      <c r="AP20" s="541"/>
      <c r="AQ20" s="540">
        <f>IncSt!AQ33-IncSt!AQ22-IncSt!AQ30</f>
        <v>0</v>
      </c>
    </row>
    <row r="21" spans="1:43" s="589" customFormat="1" ht="14.1" customHeight="1">
      <c r="A21" s="593"/>
      <c r="B21" s="590" t="s">
        <v>164</v>
      </c>
      <c r="C21" s="533">
        <f>SUM(IncSt!C7:C8)</f>
        <v>0</v>
      </c>
      <c r="D21" s="533">
        <f>SUM(IncSt!D7:D8)</f>
        <v>0</v>
      </c>
      <c r="E21" s="533">
        <f>SUM(IncSt!E7:E8)</f>
        <v>0</v>
      </c>
      <c r="F21" s="533">
        <f>SUM(IncSt!F7:F8)</f>
        <v>0</v>
      </c>
      <c r="G21" s="533">
        <f>SUM(IncSt!G7:G8)</f>
        <v>0</v>
      </c>
      <c r="H21" s="533">
        <f>SUM(IncSt!H7:H8)</f>
        <v>0</v>
      </c>
      <c r="I21" s="533">
        <f>SUM(IncSt!I7:I8)</f>
        <v>0</v>
      </c>
      <c r="J21" s="533">
        <f>SUM(IncSt!J7:J8)</f>
        <v>0</v>
      </c>
      <c r="K21" s="533">
        <f>SUM(IncSt!K7:K8)</f>
        <v>0</v>
      </c>
      <c r="L21" s="533">
        <f>SUM(IncSt!L7:L8)</f>
        <v>0</v>
      </c>
      <c r="M21" s="533">
        <f>SUM(IncSt!M7:M8)</f>
        <v>0</v>
      </c>
      <c r="N21" s="612">
        <f>SUM(IncSt!N7:N8)</f>
        <v>0</v>
      </c>
      <c r="O21" s="599">
        <f t="shared" si="11"/>
        <v>0</v>
      </c>
      <c r="P21" s="591"/>
      <c r="Q21" s="533">
        <f>SUM(IncSt!Q7:Q8)</f>
        <v>0</v>
      </c>
      <c r="R21" s="533">
        <f>SUM(IncSt!R7:R8)</f>
        <v>0</v>
      </c>
      <c r="S21" s="533">
        <f>SUM(IncSt!S7:S8)</f>
        <v>0</v>
      </c>
      <c r="T21" s="533">
        <f>SUM(IncSt!T7:T8)</f>
        <v>0</v>
      </c>
      <c r="U21" s="533">
        <f>SUM(IncSt!U7:U8)</f>
        <v>0</v>
      </c>
      <c r="V21" s="533">
        <f>SUM(IncSt!V7:V8)</f>
        <v>0</v>
      </c>
      <c r="W21" s="533">
        <f>SUM(IncSt!W7:W8)</f>
        <v>0</v>
      </c>
      <c r="X21" s="533">
        <f>SUM(IncSt!X7:X8)</f>
        <v>0</v>
      </c>
      <c r="Y21" s="533">
        <f>SUM(IncSt!Y7:Y8)</f>
        <v>0</v>
      </c>
      <c r="Z21" s="533">
        <f>SUM(IncSt!Z7:Z8)</f>
        <v>0</v>
      </c>
      <c r="AA21" s="533">
        <f>SUM(IncSt!AA7:AA8)</f>
        <v>0</v>
      </c>
      <c r="AB21" s="612">
        <f>SUM(IncSt!AB7:AB8)</f>
        <v>0</v>
      </c>
      <c r="AC21" s="599">
        <f t="shared" si="12"/>
        <v>0</v>
      </c>
      <c r="AD21" s="592"/>
      <c r="AE21" s="536">
        <f>SUM(IncSt!AE7:AE8)</f>
        <v>0</v>
      </c>
      <c r="AF21" s="533">
        <f>SUM(IncSt!AF7:AF8)</f>
        <v>0</v>
      </c>
      <c r="AG21" s="533">
        <f>SUM(IncSt!AG7:AG8)</f>
        <v>0</v>
      </c>
      <c r="AH21" s="539">
        <f>SUM(IncSt!AH7:AH8)</f>
        <v>0</v>
      </c>
      <c r="AI21" s="540">
        <f t="shared" si="13"/>
        <v>0</v>
      </c>
      <c r="AJ21" s="541"/>
      <c r="AK21" s="536">
        <f>SUM(IncSt!AK7:AK8)</f>
        <v>0</v>
      </c>
      <c r="AL21" s="533">
        <f>SUM(IncSt!AL7:AL8)</f>
        <v>0</v>
      </c>
      <c r="AM21" s="533">
        <f>SUM(IncSt!AM7:AM8)</f>
        <v>0</v>
      </c>
      <c r="AN21" s="539">
        <f>SUM(IncSt!AN7:AN8)</f>
        <v>0</v>
      </c>
      <c r="AO21" s="540">
        <f t="shared" si="14"/>
        <v>0</v>
      </c>
      <c r="AP21" s="541"/>
      <c r="AQ21" s="534">
        <f>SUM(IncSt!AQ7:AQ8)</f>
        <v>0</v>
      </c>
    </row>
    <row r="22" spans="1:43" s="589" customFormat="1" ht="14.1" customHeight="1">
      <c r="A22" s="593"/>
      <c r="B22" s="590" t="s">
        <v>226</v>
      </c>
      <c r="C22" s="613">
        <f>Config!AD70</f>
        <v>0</v>
      </c>
      <c r="D22" s="613">
        <f>Config!AE70</f>
        <v>0</v>
      </c>
      <c r="E22" s="613">
        <f>Config!AF70</f>
        <v>0</v>
      </c>
      <c r="F22" s="613">
        <f>Config!AG70</f>
        <v>0</v>
      </c>
      <c r="G22" s="613">
        <f>Config!AH70</f>
        <v>0</v>
      </c>
      <c r="H22" s="613">
        <f>Config!AI70</f>
        <v>0</v>
      </c>
      <c r="I22" s="613">
        <f>Config!AJ70</f>
        <v>0</v>
      </c>
      <c r="J22" s="613">
        <f>Config!AK70</f>
        <v>0</v>
      </c>
      <c r="K22" s="613">
        <f>Config!AL70</f>
        <v>0</v>
      </c>
      <c r="L22" s="613">
        <f>Config!AM70</f>
        <v>0</v>
      </c>
      <c r="M22" s="613">
        <f>Config!AN70</f>
        <v>0</v>
      </c>
      <c r="N22" s="614">
        <f>Config!AO70</f>
        <v>0</v>
      </c>
      <c r="O22" s="599">
        <f t="shared" si="11"/>
        <v>0</v>
      </c>
      <c r="P22" s="591"/>
      <c r="Q22" s="615">
        <f>Config!AP70</f>
        <v>0</v>
      </c>
      <c r="R22" s="616">
        <f>Config!AQ70</f>
        <v>0</v>
      </c>
      <c r="S22" s="616">
        <f>Config!AR70</f>
        <v>0</v>
      </c>
      <c r="T22" s="616">
        <f>Config!AS70</f>
        <v>0</v>
      </c>
      <c r="U22" s="616">
        <f>Config!AT70</f>
        <v>0</v>
      </c>
      <c r="V22" s="616">
        <f>Config!AU70</f>
        <v>0</v>
      </c>
      <c r="W22" s="616">
        <f>Config!AV70</f>
        <v>0</v>
      </c>
      <c r="X22" s="616">
        <f>Config!AW70</f>
        <v>0</v>
      </c>
      <c r="Y22" s="616">
        <f>Config!AX70</f>
        <v>0</v>
      </c>
      <c r="Z22" s="616">
        <f>Config!AY70</f>
        <v>0</v>
      </c>
      <c r="AA22" s="613">
        <f>Config!AZ70</f>
        <v>0</v>
      </c>
      <c r="AB22" s="617">
        <f>Config!BA70</f>
        <v>0</v>
      </c>
      <c r="AC22" s="599">
        <f t="shared" si="12"/>
        <v>0</v>
      </c>
      <c r="AD22" s="618"/>
      <c r="AE22" s="616">
        <f>SUM(Config!BB70:BD70)</f>
        <v>0</v>
      </c>
      <c r="AF22" s="616">
        <f>SUM(Config!BE70:BG70)</f>
        <v>0</v>
      </c>
      <c r="AG22" s="616">
        <f>SUM(Config!BH70:BJ70)</f>
        <v>0</v>
      </c>
      <c r="AH22" s="616">
        <f>SUM(Config!BK70:BM70)</f>
        <v>0</v>
      </c>
      <c r="AI22" s="540">
        <f t="shared" si="13"/>
        <v>0</v>
      </c>
      <c r="AJ22" s="542"/>
      <c r="AK22" s="616">
        <f>SUM(Config!BN70:BP70)</f>
        <v>0</v>
      </c>
      <c r="AL22" s="616">
        <f>SUM(Config!BQ70:BS70)</f>
        <v>0</v>
      </c>
      <c r="AM22" s="616">
        <f>SUM(Config!BT70:BV70)</f>
        <v>0</v>
      </c>
      <c r="AN22" s="616">
        <f>SUM(Config!BW70:BY70)</f>
        <v>0</v>
      </c>
      <c r="AO22" s="540">
        <f t="shared" si="14"/>
        <v>0</v>
      </c>
      <c r="AP22" s="542"/>
      <c r="AQ22" s="619">
        <f>SUM(Config!BZ70:CK70)</f>
        <v>0</v>
      </c>
    </row>
    <row r="23" spans="1:43" s="589" customFormat="1" ht="14.1" customHeight="1">
      <c r="A23" s="593"/>
      <c r="B23" s="590" t="s">
        <v>108</v>
      </c>
      <c r="C23" s="533">
        <f>Config!AD98</f>
        <v>0</v>
      </c>
      <c r="D23" s="533">
        <f>Config!AE98</f>
        <v>0</v>
      </c>
      <c r="E23" s="533">
        <f>Config!AF98</f>
        <v>0</v>
      </c>
      <c r="F23" s="533">
        <f>Config!AG98</f>
        <v>0</v>
      </c>
      <c r="G23" s="533">
        <f>Config!AH98</f>
        <v>0</v>
      </c>
      <c r="H23" s="533">
        <f>Config!AI98</f>
        <v>0</v>
      </c>
      <c r="I23" s="533">
        <f>Config!AJ98</f>
        <v>0</v>
      </c>
      <c r="J23" s="533">
        <f>Config!AK98</f>
        <v>0</v>
      </c>
      <c r="K23" s="533">
        <f>Config!AL98</f>
        <v>0</v>
      </c>
      <c r="L23" s="533">
        <f>Config!AM98</f>
        <v>0</v>
      </c>
      <c r="M23" s="533">
        <f>Config!AN98</f>
        <v>0</v>
      </c>
      <c r="N23" s="274">
        <f>Config!AO98</f>
        <v>0</v>
      </c>
      <c r="O23" s="599">
        <f t="shared" si="11"/>
        <v>0</v>
      </c>
      <c r="P23" s="591"/>
      <c r="Q23" s="533">
        <f>Config!AP98</f>
        <v>0</v>
      </c>
      <c r="R23" s="533">
        <f>Config!AQ98</f>
        <v>0</v>
      </c>
      <c r="S23" s="533">
        <f>Config!AR98</f>
        <v>0</v>
      </c>
      <c r="T23" s="533">
        <f>Config!AS98</f>
        <v>0</v>
      </c>
      <c r="U23" s="533">
        <f>Config!AT98</f>
        <v>0</v>
      </c>
      <c r="V23" s="533">
        <f>Config!AU98</f>
        <v>0</v>
      </c>
      <c r="W23" s="533">
        <f>Config!AV98</f>
        <v>0</v>
      </c>
      <c r="X23" s="533">
        <f>Config!AW98</f>
        <v>0</v>
      </c>
      <c r="Y23" s="533">
        <f>Config!AX98</f>
        <v>0</v>
      </c>
      <c r="Z23" s="533">
        <f>Config!AY98</f>
        <v>0</v>
      </c>
      <c r="AA23" s="533">
        <f>Config!AZ98</f>
        <v>0</v>
      </c>
      <c r="AB23" s="274">
        <f>Config!BA98</f>
        <v>0</v>
      </c>
      <c r="AC23" s="599">
        <f t="shared" si="12"/>
        <v>0</v>
      </c>
      <c r="AD23" s="592"/>
      <c r="AE23" s="536">
        <f>SUM(Config!BB98:BD98)</f>
        <v>0</v>
      </c>
      <c r="AF23" s="616">
        <f>SUM(Config!BE98:BG98)</f>
        <v>0</v>
      </c>
      <c r="AG23" s="616">
        <f>SUM(Config!BH98:BJ98)</f>
        <v>0</v>
      </c>
      <c r="AH23" s="616">
        <f>SUM(Config!BK98:BM98)</f>
        <v>0</v>
      </c>
      <c r="AI23" s="540">
        <f t="shared" si="13"/>
        <v>0</v>
      </c>
      <c r="AJ23" s="542"/>
      <c r="AK23" s="616">
        <f>SUM(Config!BN98:BP98)</f>
        <v>0</v>
      </c>
      <c r="AL23" s="616">
        <f>SUM(Config!BQ98:BS98)</f>
        <v>0</v>
      </c>
      <c r="AM23" s="616">
        <f>SUM(Config!BT98:BV98)</f>
        <v>0</v>
      </c>
      <c r="AN23" s="616">
        <f>SUM(Config!BW98:BY98)</f>
        <v>0</v>
      </c>
      <c r="AO23" s="540">
        <f t="shared" si="14"/>
        <v>0</v>
      </c>
      <c r="AP23" s="541"/>
      <c r="AQ23" s="619">
        <f>SUM(Config!BZ98:CK98)</f>
        <v>0</v>
      </c>
    </row>
    <row r="24" spans="1:43" s="589" customFormat="1" ht="14.1" customHeight="1">
      <c r="A24" s="593"/>
      <c r="B24" s="590" t="s">
        <v>109</v>
      </c>
      <c r="C24" s="146">
        <v>0</v>
      </c>
      <c r="D24" s="146">
        <f>C24</f>
        <v>0</v>
      </c>
      <c r="E24" s="146">
        <f t="shared" ref="E24:N24" si="15">D24</f>
        <v>0</v>
      </c>
      <c r="F24" s="146">
        <f t="shared" si="15"/>
        <v>0</v>
      </c>
      <c r="G24" s="146">
        <f t="shared" si="15"/>
        <v>0</v>
      </c>
      <c r="H24" s="146">
        <f t="shared" si="15"/>
        <v>0</v>
      </c>
      <c r="I24" s="146">
        <f t="shared" si="15"/>
        <v>0</v>
      </c>
      <c r="J24" s="146">
        <f t="shared" si="15"/>
        <v>0</v>
      </c>
      <c r="K24" s="146">
        <f t="shared" si="15"/>
        <v>0</v>
      </c>
      <c r="L24" s="146">
        <f t="shared" si="15"/>
        <v>0</v>
      </c>
      <c r="M24" s="146">
        <f t="shared" si="15"/>
        <v>0</v>
      </c>
      <c r="N24" s="262">
        <f t="shared" si="15"/>
        <v>0</v>
      </c>
      <c r="O24" s="599">
        <f t="shared" si="11"/>
        <v>0</v>
      </c>
      <c r="P24" s="591"/>
      <c r="Q24" s="146">
        <f>N24</f>
        <v>0</v>
      </c>
      <c r="R24" s="146">
        <f>Q24</f>
        <v>0</v>
      </c>
      <c r="S24" s="146">
        <f t="shared" ref="S24:AB24" si="16">R24</f>
        <v>0</v>
      </c>
      <c r="T24" s="146">
        <f t="shared" si="16"/>
        <v>0</v>
      </c>
      <c r="U24" s="146">
        <f t="shared" si="16"/>
        <v>0</v>
      </c>
      <c r="V24" s="146">
        <f t="shared" si="16"/>
        <v>0</v>
      </c>
      <c r="W24" s="146">
        <f t="shared" si="16"/>
        <v>0</v>
      </c>
      <c r="X24" s="146">
        <f t="shared" si="16"/>
        <v>0</v>
      </c>
      <c r="Y24" s="146">
        <f t="shared" si="16"/>
        <v>0</v>
      </c>
      <c r="Z24" s="146">
        <f t="shared" si="16"/>
        <v>0</v>
      </c>
      <c r="AA24" s="146">
        <f t="shared" si="16"/>
        <v>0</v>
      </c>
      <c r="AB24" s="262">
        <f t="shared" si="16"/>
        <v>0</v>
      </c>
      <c r="AC24" s="599">
        <f t="shared" si="12"/>
        <v>0</v>
      </c>
      <c r="AD24" s="592"/>
      <c r="AE24" s="172">
        <f>AB24*3</f>
        <v>0</v>
      </c>
      <c r="AF24" s="146">
        <f t="shared" ref="AF24:AH26" si="17">AE24</f>
        <v>0</v>
      </c>
      <c r="AG24" s="146">
        <f t="shared" si="17"/>
        <v>0</v>
      </c>
      <c r="AH24" s="262">
        <f t="shared" si="17"/>
        <v>0</v>
      </c>
      <c r="AI24" s="540">
        <f t="shared" si="13"/>
        <v>0</v>
      </c>
      <c r="AJ24" s="541"/>
      <c r="AK24" s="172">
        <f>AH24</f>
        <v>0</v>
      </c>
      <c r="AL24" s="146">
        <f t="shared" ref="AL24:AN26" si="18">AK24</f>
        <v>0</v>
      </c>
      <c r="AM24" s="146">
        <f t="shared" si="18"/>
        <v>0</v>
      </c>
      <c r="AN24" s="262">
        <f t="shared" si="18"/>
        <v>0</v>
      </c>
      <c r="AO24" s="540">
        <f t="shared" si="14"/>
        <v>0</v>
      </c>
      <c r="AP24" s="541"/>
      <c r="AQ24" s="154">
        <f>AN24*4</f>
        <v>0</v>
      </c>
    </row>
    <row r="25" spans="1:43" s="589" customFormat="1" ht="14.1" customHeight="1">
      <c r="A25" s="593"/>
      <c r="B25" s="590" t="s">
        <v>264</v>
      </c>
      <c r="C25" s="146">
        <v>0</v>
      </c>
      <c r="D25" s="146">
        <f>C25</f>
        <v>0</v>
      </c>
      <c r="E25" s="146">
        <f t="shared" ref="E25:N25" si="19">D25</f>
        <v>0</v>
      </c>
      <c r="F25" s="146">
        <f t="shared" si="19"/>
        <v>0</v>
      </c>
      <c r="G25" s="146">
        <f t="shared" si="19"/>
        <v>0</v>
      </c>
      <c r="H25" s="146">
        <f t="shared" si="19"/>
        <v>0</v>
      </c>
      <c r="I25" s="146">
        <f t="shared" si="19"/>
        <v>0</v>
      </c>
      <c r="J25" s="146">
        <f t="shared" si="19"/>
        <v>0</v>
      </c>
      <c r="K25" s="146">
        <f t="shared" si="19"/>
        <v>0</v>
      </c>
      <c r="L25" s="146">
        <f t="shared" si="19"/>
        <v>0</v>
      </c>
      <c r="M25" s="146">
        <f t="shared" si="19"/>
        <v>0</v>
      </c>
      <c r="N25" s="262">
        <f t="shared" si="19"/>
        <v>0</v>
      </c>
      <c r="O25" s="599">
        <f t="shared" si="11"/>
        <v>0</v>
      </c>
      <c r="P25" s="591"/>
      <c r="Q25" s="146">
        <f>N25</f>
        <v>0</v>
      </c>
      <c r="R25" s="146">
        <f>Q25</f>
        <v>0</v>
      </c>
      <c r="S25" s="146">
        <f t="shared" ref="S25:AB25" si="20">R25</f>
        <v>0</v>
      </c>
      <c r="T25" s="146">
        <f t="shared" si="20"/>
        <v>0</v>
      </c>
      <c r="U25" s="146">
        <f t="shared" si="20"/>
        <v>0</v>
      </c>
      <c r="V25" s="146">
        <f t="shared" si="20"/>
        <v>0</v>
      </c>
      <c r="W25" s="146">
        <f t="shared" si="20"/>
        <v>0</v>
      </c>
      <c r="X25" s="146">
        <f t="shared" si="20"/>
        <v>0</v>
      </c>
      <c r="Y25" s="146">
        <f t="shared" si="20"/>
        <v>0</v>
      </c>
      <c r="Z25" s="146">
        <f t="shared" si="20"/>
        <v>0</v>
      </c>
      <c r="AA25" s="146">
        <f t="shared" si="20"/>
        <v>0</v>
      </c>
      <c r="AB25" s="262">
        <f t="shared" si="20"/>
        <v>0</v>
      </c>
      <c r="AC25" s="599">
        <f t="shared" si="12"/>
        <v>0</v>
      </c>
      <c r="AD25" s="592"/>
      <c r="AE25" s="172">
        <f>AB25*3</f>
        <v>0</v>
      </c>
      <c r="AF25" s="146">
        <f t="shared" si="17"/>
        <v>0</v>
      </c>
      <c r="AG25" s="146">
        <f t="shared" si="17"/>
        <v>0</v>
      </c>
      <c r="AH25" s="262">
        <f t="shared" si="17"/>
        <v>0</v>
      </c>
      <c r="AI25" s="540">
        <f t="shared" si="13"/>
        <v>0</v>
      </c>
      <c r="AJ25" s="541"/>
      <c r="AK25" s="172">
        <f>AH25</f>
        <v>0</v>
      </c>
      <c r="AL25" s="146">
        <f t="shared" si="18"/>
        <v>0</v>
      </c>
      <c r="AM25" s="146">
        <f t="shared" si="18"/>
        <v>0</v>
      </c>
      <c r="AN25" s="262">
        <f t="shared" si="18"/>
        <v>0</v>
      </c>
      <c r="AO25" s="540">
        <f t="shared" si="14"/>
        <v>0</v>
      </c>
      <c r="AP25" s="541"/>
      <c r="AQ25" s="154">
        <f>AN25*4</f>
        <v>0</v>
      </c>
    </row>
    <row r="26" spans="1:43" s="589" customFormat="1" ht="14.1" customHeight="1" thickBot="1">
      <c r="A26" s="593"/>
      <c r="B26" s="600" t="s">
        <v>110</v>
      </c>
      <c r="C26" s="263">
        <v>0</v>
      </c>
      <c r="D26" s="263">
        <f>C26</f>
        <v>0</v>
      </c>
      <c r="E26" s="263">
        <f t="shared" ref="E26:M26" si="21">D26</f>
        <v>0</v>
      </c>
      <c r="F26" s="263">
        <f t="shared" si="21"/>
        <v>0</v>
      </c>
      <c r="G26" s="263">
        <f t="shared" si="21"/>
        <v>0</v>
      </c>
      <c r="H26" s="263">
        <f t="shared" si="21"/>
        <v>0</v>
      </c>
      <c r="I26" s="263">
        <f t="shared" si="21"/>
        <v>0</v>
      </c>
      <c r="J26" s="263">
        <f t="shared" si="21"/>
        <v>0</v>
      </c>
      <c r="K26" s="263">
        <f t="shared" si="21"/>
        <v>0</v>
      </c>
      <c r="L26" s="263">
        <f t="shared" si="21"/>
        <v>0</v>
      </c>
      <c r="M26" s="263">
        <f t="shared" si="21"/>
        <v>0</v>
      </c>
      <c r="N26" s="281">
        <f>M26</f>
        <v>0</v>
      </c>
      <c r="O26" s="620">
        <f t="shared" si="11"/>
        <v>0</v>
      </c>
      <c r="P26" s="591"/>
      <c r="Q26" s="263">
        <f>N26</f>
        <v>0</v>
      </c>
      <c r="R26" s="263">
        <f>Q26</f>
        <v>0</v>
      </c>
      <c r="S26" s="263">
        <f t="shared" ref="S26:AA26" si="22">R26</f>
        <v>0</v>
      </c>
      <c r="T26" s="263">
        <f t="shared" si="22"/>
        <v>0</v>
      </c>
      <c r="U26" s="263">
        <f t="shared" si="22"/>
        <v>0</v>
      </c>
      <c r="V26" s="263">
        <f t="shared" si="22"/>
        <v>0</v>
      </c>
      <c r="W26" s="263">
        <f t="shared" si="22"/>
        <v>0</v>
      </c>
      <c r="X26" s="263">
        <f t="shared" si="22"/>
        <v>0</v>
      </c>
      <c r="Y26" s="263">
        <f t="shared" si="22"/>
        <v>0</v>
      </c>
      <c r="Z26" s="263">
        <f t="shared" si="22"/>
        <v>0</v>
      </c>
      <c r="AA26" s="263">
        <f t="shared" si="22"/>
        <v>0</v>
      </c>
      <c r="AB26" s="281">
        <f>AA26</f>
        <v>0</v>
      </c>
      <c r="AC26" s="620">
        <f t="shared" si="12"/>
        <v>0</v>
      </c>
      <c r="AD26" s="592"/>
      <c r="AE26" s="265">
        <f>N26*3</f>
        <v>0</v>
      </c>
      <c r="AF26" s="263">
        <f t="shared" si="17"/>
        <v>0</v>
      </c>
      <c r="AG26" s="263">
        <f t="shared" si="17"/>
        <v>0</v>
      </c>
      <c r="AH26" s="266">
        <f t="shared" si="17"/>
        <v>0</v>
      </c>
      <c r="AI26" s="621">
        <f t="shared" si="13"/>
        <v>0</v>
      </c>
      <c r="AJ26" s="541"/>
      <c r="AK26" s="265">
        <f>AH26</f>
        <v>0</v>
      </c>
      <c r="AL26" s="263">
        <f t="shared" si="18"/>
        <v>0</v>
      </c>
      <c r="AM26" s="263">
        <f t="shared" si="18"/>
        <v>0</v>
      </c>
      <c r="AN26" s="266">
        <f t="shared" si="18"/>
        <v>0</v>
      </c>
      <c r="AO26" s="621">
        <f t="shared" si="14"/>
        <v>0</v>
      </c>
      <c r="AP26" s="541"/>
      <c r="AQ26" s="267">
        <f>AN26*4</f>
        <v>0</v>
      </c>
    </row>
    <row r="27" spans="1:43" s="589" customFormat="1" ht="14.1" customHeight="1" thickBot="1">
      <c r="A27" s="593"/>
      <c r="B27" s="601" t="s">
        <v>111</v>
      </c>
      <c r="C27" s="602">
        <f t="shared" ref="C27:M27" si="23">SUM(C19:C26)</f>
        <v>0</v>
      </c>
      <c r="D27" s="602">
        <f t="shared" si="23"/>
        <v>0</v>
      </c>
      <c r="E27" s="602">
        <f t="shared" si="23"/>
        <v>0</v>
      </c>
      <c r="F27" s="602">
        <f t="shared" si="23"/>
        <v>0</v>
      </c>
      <c r="G27" s="602">
        <f t="shared" si="23"/>
        <v>0</v>
      </c>
      <c r="H27" s="602">
        <f t="shared" si="23"/>
        <v>0</v>
      </c>
      <c r="I27" s="602">
        <f t="shared" si="23"/>
        <v>0</v>
      </c>
      <c r="J27" s="602">
        <f t="shared" si="23"/>
        <v>0</v>
      </c>
      <c r="K27" s="602">
        <f t="shared" si="23"/>
        <v>0</v>
      </c>
      <c r="L27" s="602">
        <f t="shared" si="23"/>
        <v>0</v>
      </c>
      <c r="M27" s="602">
        <f t="shared" si="23"/>
        <v>0</v>
      </c>
      <c r="N27" s="603">
        <f>SUM(N19:N26)</f>
        <v>0</v>
      </c>
      <c r="O27" s="622">
        <f t="shared" si="11"/>
        <v>0</v>
      </c>
      <c r="P27" s="543"/>
      <c r="Q27" s="602">
        <f t="shared" ref="Q27:AB27" si="24">SUM(Q19:Q26)</f>
        <v>0</v>
      </c>
      <c r="R27" s="602">
        <f t="shared" si="24"/>
        <v>0</v>
      </c>
      <c r="S27" s="602">
        <f t="shared" si="24"/>
        <v>0</v>
      </c>
      <c r="T27" s="602">
        <f t="shared" si="24"/>
        <v>0</v>
      </c>
      <c r="U27" s="602">
        <f t="shared" si="24"/>
        <v>0</v>
      </c>
      <c r="V27" s="602">
        <f t="shared" si="24"/>
        <v>0</v>
      </c>
      <c r="W27" s="602">
        <f t="shared" si="24"/>
        <v>0</v>
      </c>
      <c r="X27" s="602">
        <f t="shared" si="24"/>
        <v>0</v>
      </c>
      <c r="Y27" s="602">
        <f t="shared" si="24"/>
        <v>0</v>
      </c>
      <c r="Z27" s="602">
        <f t="shared" si="24"/>
        <v>0</v>
      </c>
      <c r="AA27" s="602">
        <f t="shared" si="24"/>
        <v>0</v>
      </c>
      <c r="AB27" s="603">
        <f t="shared" si="24"/>
        <v>0</v>
      </c>
      <c r="AC27" s="622">
        <f t="shared" si="12"/>
        <v>0</v>
      </c>
      <c r="AD27" s="597"/>
      <c r="AE27" s="604">
        <f>SUM(AE19:AE26)</f>
        <v>0</v>
      </c>
      <c r="AF27" s="602">
        <f>SUM(AF19:AF26)</f>
        <v>0</v>
      </c>
      <c r="AG27" s="602">
        <f>SUM(AG19:AG26)</f>
        <v>0</v>
      </c>
      <c r="AH27" s="605">
        <f>SUM(AH19:AH26)</f>
        <v>0</v>
      </c>
      <c r="AI27" s="623">
        <f t="shared" si="13"/>
        <v>0</v>
      </c>
      <c r="AJ27" s="541"/>
      <c r="AK27" s="604">
        <f>SUM(AK19:AK26)</f>
        <v>0</v>
      </c>
      <c r="AL27" s="602">
        <f>SUM(AL19:AL26)</f>
        <v>0</v>
      </c>
      <c r="AM27" s="602">
        <f>SUM(AM19:AM26)</f>
        <v>0</v>
      </c>
      <c r="AN27" s="605">
        <f>SUM(AN19:AN26)</f>
        <v>0</v>
      </c>
      <c r="AO27" s="623">
        <f t="shared" si="14"/>
        <v>0</v>
      </c>
      <c r="AP27" s="541"/>
      <c r="AQ27" s="606">
        <f>SUM(AQ19:AQ26)</f>
        <v>0</v>
      </c>
    </row>
    <row r="28" spans="1:43" s="589" customFormat="1" ht="14.1" customHeight="1" thickBot="1">
      <c r="A28" s="593"/>
      <c r="B28" s="600"/>
      <c r="C28" s="597"/>
      <c r="D28" s="597"/>
      <c r="E28" s="597"/>
      <c r="F28" s="597"/>
      <c r="G28" s="597"/>
      <c r="H28" s="597"/>
      <c r="I28" s="597"/>
      <c r="J28" s="597"/>
      <c r="K28" s="597"/>
      <c r="L28" s="597"/>
      <c r="M28" s="597"/>
      <c r="N28" s="607"/>
      <c r="O28" s="543"/>
      <c r="P28" s="543"/>
      <c r="Q28" s="597"/>
      <c r="R28" s="597"/>
      <c r="S28" s="597"/>
      <c r="T28" s="597"/>
      <c r="U28" s="597"/>
      <c r="V28" s="597"/>
      <c r="W28" s="597"/>
      <c r="X28" s="597"/>
      <c r="Y28" s="597"/>
      <c r="Z28" s="597"/>
      <c r="AA28" s="597"/>
      <c r="AB28" s="607"/>
      <c r="AC28" s="543"/>
      <c r="AD28" s="597"/>
      <c r="AE28" s="608"/>
      <c r="AF28" s="597"/>
      <c r="AG28" s="597"/>
      <c r="AH28" s="543"/>
      <c r="AI28" s="542"/>
      <c r="AJ28" s="541"/>
      <c r="AK28" s="608"/>
      <c r="AL28" s="597"/>
      <c r="AM28" s="597"/>
      <c r="AN28" s="543"/>
      <c r="AO28" s="542"/>
      <c r="AP28" s="541"/>
      <c r="AQ28" s="542"/>
    </row>
    <row r="29" spans="1:43" s="589" customFormat="1" ht="14.1" customHeight="1" thickBot="1">
      <c r="A29" s="593"/>
      <c r="B29" s="624" t="s">
        <v>112</v>
      </c>
      <c r="C29" s="602">
        <f t="shared" ref="C29:M29" si="25">C16-C27</f>
        <v>4.166666666666667</v>
      </c>
      <c r="D29" s="602">
        <f t="shared" si="25"/>
        <v>4.1701388888888893</v>
      </c>
      <c r="E29" s="602">
        <f t="shared" si="25"/>
        <v>4.1736140046296297</v>
      </c>
      <c r="F29" s="602">
        <f t="shared" si="25"/>
        <v>4.177092016300155</v>
      </c>
      <c r="G29" s="602">
        <f t="shared" si="25"/>
        <v>4.1805729263137374</v>
      </c>
      <c r="H29" s="602">
        <f t="shared" si="25"/>
        <v>4.1840567370856654</v>
      </c>
      <c r="I29" s="602">
        <f t="shared" si="25"/>
        <v>4.1875434510332363</v>
      </c>
      <c r="J29" s="602">
        <f t="shared" si="25"/>
        <v>4.1910330705757639</v>
      </c>
      <c r="K29" s="602">
        <f t="shared" si="25"/>
        <v>4.1945255981345779</v>
      </c>
      <c r="L29" s="602">
        <f t="shared" si="25"/>
        <v>4.1980210361330235</v>
      </c>
      <c r="M29" s="602">
        <f t="shared" si="25"/>
        <v>4.2015193869964671</v>
      </c>
      <c r="N29" s="603">
        <f>N16-N27</f>
        <v>4.2050206531522978</v>
      </c>
      <c r="O29" s="622">
        <f>O16-O27</f>
        <v>50.229804435910104</v>
      </c>
      <c r="P29" s="543"/>
      <c r="Q29" s="602">
        <f t="shared" ref="Q29:AA29" si="26">Q16-Q27</f>
        <v>4.2085248370299242</v>
      </c>
      <c r="R29" s="602">
        <f t="shared" si="26"/>
        <v>4.2120319410607827</v>
      </c>
      <c r="S29" s="602">
        <f t="shared" si="26"/>
        <v>4.215541967678333</v>
      </c>
      <c r="T29" s="602">
        <f t="shared" si="26"/>
        <v>4.2190549193180651</v>
      </c>
      <c r="U29" s="602">
        <f t="shared" si="26"/>
        <v>4.2225707984174967</v>
      </c>
      <c r="V29" s="602">
        <f t="shared" si="26"/>
        <v>4.2260896074161778</v>
      </c>
      <c r="W29" s="602">
        <f t="shared" si="26"/>
        <v>4.2296113487556912</v>
      </c>
      <c r="X29" s="602">
        <f t="shared" si="26"/>
        <v>4.2331360248796539</v>
      </c>
      <c r="Y29" s="602">
        <f t="shared" si="26"/>
        <v>4.2366636382337211</v>
      </c>
      <c r="Z29" s="602">
        <f t="shared" si="26"/>
        <v>4.2401941912655827</v>
      </c>
      <c r="AA29" s="602">
        <f t="shared" si="26"/>
        <v>4.2437276864249709</v>
      </c>
      <c r="AB29" s="603">
        <f>AB16-AB27</f>
        <v>4.2472641261636577</v>
      </c>
      <c r="AC29" s="622">
        <f>AC16-AC27</f>
        <v>50.734411086644052</v>
      </c>
      <c r="AD29" s="597"/>
      <c r="AE29" s="604">
        <f>AE16-AE27</f>
        <v>12.752410538806382</v>
      </c>
      <c r="AF29" s="602">
        <f>AF16-AF27</f>
        <v>12.784291565153399</v>
      </c>
      <c r="AG29" s="602">
        <f>AG16-AG27</f>
        <v>12.816252294066283</v>
      </c>
      <c r="AH29" s="605">
        <f>AH16-AH27</f>
        <v>12.848292924801449</v>
      </c>
      <c r="AI29" s="623">
        <f>AI16-AI27</f>
        <v>51.201247322827513</v>
      </c>
      <c r="AJ29" s="541"/>
      <c r="AK29" s="604">
        <f>AK16-AK27</f>
        <v>12.880413657113452</v>
      </c>
      <c r="AL29" s="602">
        <f>AL16-AL27</f>
        <v>12.912614691256236</v>
      </c>
      <c r="AM29" s="602">
        <f>AM16-AM27</f>
        <v>12.944896227984374</v>
      </c>
      <c r="AN29" s="605">
        <f>AN16-AN27</f>
        <v>12.977258468554338</v>
      </c>
      <c r="AO29" s="623">
        <f>AO16-AO27</f>
        <v>51.7151830449084</v>
      </c>
      <c r="AP29" s="541"/>
      <c r="AQ29" s="606">
        <f>AQ16-AQ27</f>
        <v>52.03880645890289</v>
      </c>
    </row>
    <row r="30" spans="1:43" s="589" customFormat="1" ht="14.1" customHeight="1">
      <c r="A30" s="593"/>
      <c r="B30" s="590"/>
      <c r="C30" s="595"/>
      <c r="D30" s="595"/>
      <c r="E30" s="595"/>
      <c r="F30" s="595"/>
      <c r="G30" s="595"/>
      <c r="H30" s="595"/>
      <c r="I30" s="595"/>
      <c r="J30" s="595"/>
      <c r="K30" s="595"/>
      <c r="L30" s="595"/>
      <c r="M30" s="595"/>
      <c r="N30" s="609"/>
      <c r="O30" s="599"/>
      <c r="P30" s="543"/>
      <c r="Q30" s="595"/>
      <c r="R30" s="595"/>
      <c r="S30" s="595"/>
      <c r="T30" s="595"/>
      <c r="U30" s="595"/>
      <c r="V30" s="595"/>
      <c r="W30" s="595"/>
      <c r="X30" s="595"/>
      <c r="Y30" s="595"/>
      <c r="Z30" s="595"/>
      <c r="AA30" s="595"/>
      <c r="AB30" s="609"/>
      <c r="AC30" s="599"/>
      <c r="AD30" s="597"/>
      <c r="AE30" s="598"/>
      <c r="AF30" s="595"/>
      <c r="AG30" s="595"/>
      <c r="AH30" s="599"/>
      <c r="AI30" s="540"/>
      <c r="AJ30" s="541"/>
      <c r="AK30" s="598"/>
      <c r="AL30" s="595"/>
      <c r="AM30" s="595"/>
      <c r="AN30" s="599"/>
      <c r="AO30" s="540"/>
      <c r="AP30" s="541"/>
      <c r="AQ30" s="540"/>
    </row>
    <row r="31" spans="1:43" s="589" customFormat="1" ht="14.1" customHeight="1">
      <c r="A31" s="593"/>
      <c r="B31" s="625" t="s">
        <v>113</v>
      </c>
      <c r="C31" s="595">
        <f>StartupCash</f>
        <v>5000</v>
      </c>
      <c r="D31" s="595">
        <f>C34</f>
        <v>5004.166666666667</v>
      </c>
      <c r="E31" s="595">
        <f>D34</f>
        <v>5008.3368055555557</v>
      </c>
      <c r="F31" s="595">
        <f>E34</f>
        <v>5012.5104195601853</v>
      </c>
      <c r="G31" s="595">
        <f>F34</f>
        <v>5016.6875115764851</v>
      </c>
      <c r="H31" s="595">
        <f t="shared" ref="H31:M31" si="27">G34</f>
        <v>5020.8680845027984</v>
      </c>
      <c r="I31" s="595">
        <f t="shared" si="27"/>
        <v>5025.0521412398839</v>
      </c>
      <c r="J31" s="595">
        <f t="shared" si="27"/>
        <v>5029.2396846909169</v>
      </c>
      <c r="K31" s="595">
        <f t="shared" si="27"/>
        <v>5033.4307177614928</v>
      </c>
      <c r="L31" s="595">
        <f t="shared" si="27"/>
        <v>5037.6252433596273</v>
      </c>
      <c r="M31" s="595">
        <f t="shared" si="27"/>
        <v>5041.8232643957608</v>
      </c>
      <c r="N31" s="596">
        <f>M34</f>
        <v>5046.0247837827574</v>
      </c>
      <c r="O31" s="626"/>
      <c r="P31" s="543"/>
      <c r="Q31" s="595">
        <f>N34</f>
        <v>5050.2298044359095</v>
      </c>
      <c r="R31" s="595">
        <f t="shared" ref="R31:AB31" si="28">Q34</f>
        <v>5054.438329272939</v>
      </c>
      <c r="S31" s="595">
        <f t="shared" si="28"/>
        <v>5058.6503612139995</v>
      </c>
      <c r="T31" s="595">
        <f t="shared" si="28"/>
        <v>5062.8659031816778</v>
      </c>
      <c r="U31" s="595">
        <f t="shared" si="28"/>
        <v>5067.0849581009961</v>
      </c>
      <c r="V31" s="595">
        <f t="shared" si="28"/>
        <v>5071.3075288994132</v>
      </c>
      <c r="W31" s="595">
        <f t="shared" si="28"/>
        <v>5075.533618506829</v>
      </c>
      <c r="X31" s="595">
        <f t="shared" si="28"/>
        <v>5079.7632298555845</v>
      </c>
      <c r="Y31" s="595">
        <f t="shared" si="28"/>
        <v>5083.9963658804645</v>
      </c>
      <c r="Z31" s="595">
        <f t="shared" si="28"/>
        <v>5088.2330295186985</v>
      </c>
      <c r="AA31" s="595">
        <f t="shared" si="28"/>
        <v>5092.4732237099643</v>
      </c>
      <c r="AB31" s="596">
        <f t="shared" si="28"/>
        <v>5096.716951396389</v>
      </c>
      <c r="AC31" s="626"/>
      <c r="AD31" s="597"/>
      <c r="AE31" s="598">
        <f>AB34</f>
        <v>5100.9642155225529</v>
      </c>
      <c r="AF31" s="595">
        <f>AE34</f>
        <v>5113.7166260613594</v>
      </c>
      <c r="AG31" s="595">
        <f>AF34</f>
        <v>5126.500917626513</v>
      </c>
      <c r="AH31" s="599">
        <f>AG34</f>
        <v>5139.3171699205795</v>
      </c>
      <c r="AI31" s="626"/>
      <c r="AJ31" s="541"/>
      <c r="AK31" s="598">
        <f>AH34</f>
        <v>5152.1654628453807</v>
      </c>
      <c r="AL31" s="595">
        <f>AK34</f>
        <v>5165.0458765024941</v>
      </c>
      <c r="AM31" s="595">
        <f>AL34</f>
        <v>5177.95849119375</v>
      </c>
      <c r="AN31" s="599">
        <f>AM34</f>
        <v>5190.9033874217348</v>
      </c>
      <c r="AO31" s="626"/>
      <c r="AP31" s="541"/>
      <c r="AQ31" s="540">
        <f>AO34</f>
        <v>5203.8806458902891</v>
      </c>
    </row>
    <row r="32" spans="1:43" s="589" customFormat="1" ht="14.1" customHeight="1">
      <c r="A32" s="593"/>
      <c r="B32" s="590" t="s">
        <v>114</v>
      </c>
      <c r="C32" s="595">
        <f t="shared" ref="C32:M32" si="29">C16</f>
        <v>4.166666666666667</v>
      </c>
      <c r="D32" s="595">
        <f t="shared" si="29"/>
        <v>4.1701388888888893</v>
      </c>
      <c r="E32" s="595">
        <f t="shared" si="29"/>
        <v>4.1736140046296297</v>
      </c>
      <c r="F32" s="595">
        <f t="shared" si="29"/>
        <v>4.177092016300155</v>
      </c>
      <c r="G32" s="595">
        <f t="shared" si="29"/>
        <v>4.1805729263137374</v>
      </c>
      <c r="H32" s="595">
        <f t="shared" si="29"/>
        <v>4.1840567370856654</v>
      </c>
      <c r="I32" s="595">
        <f t="shared" si="29"/>
        <v>4.1875434510332363</v>
      </c>
      <c r="J32" s="595">
        <f t="shared" si="29"/>
        <v>4.1910330705757639</v>
      </c>
      <c r="K32" s="595">
        <f t="shared" si="29"/>
        <v>4.1945255981345779</v>
      </c>
      <c r="L32" s="595">
        <f t="shared" si="29"/>
        <v>4.1980210361330235</v>
      </c>
      <c r="M32" s="595">
        <f t="shared" si="29"/>
        <v>4.2015193869964671</v>
      </c>
      <c r="N32" s="609">
        <f>N16</f>
        <v>4.2050206531522978</v>
      </c>
      <c r="O32" s="626"/>
      <c r="P32" s="543"/>
      <c r="Q32" s="595">
        <f t="shared" ref="Q32:AA32" si="30">Q16</f>
        <v>4.2085248370299242</v>
      </c>
      <c r="R32" s="595">
        <f t="shared" si="30"/>
        <v>4.2120319410607827</v>
      </c>
      <c r="S32" s="595">
        <f t="shared" si="30"/>
        <v>4.215541967678333</v>
      </c>
      <c r="T32" s="595">
        <f t="shared" si="30"/>
        <v>4.2190549193180651</v>
      </c>
      <c r="U32" s="595">
        <f t="shared" si="30"/>
        <v>4.2225707984174967</v>
      </c>
      <c r="V32" s="595">
        <f t="shared" si="30"/>
        <v>4.2260896074161778</v>
      </c>
      <c r="W32" s="595">
        <f t="shared" si="30"/>
        <v>4.2296113487556912</v>
      </c>
      <c r="X32" s="595">
        <f t="shared" si="30"/>
        <v>4.2331360248796539</v>
      </c>
      <c r="Y32" s="595">
        <f t="shared" si="30"/>
        <v>4.2366636382337211</v>
      </c>
      <c r="Z32" s="595">
        <f t="shared" si="30"/>
        <v>4.2401941912655827</v>
      </c>
      <c r="AA32" s="595">
        <f t="shared" si="30"/>
        <v>4.2437276864249709</v>
      </c>
      <c r="AB32" s="609">
        <f>AB16</f>
        <v>4.2472641261636577</v>
      </c>
      <c r="AC32" s="626"/>
      <c r="AD32" s="597"/>
      <c r="AE32" s="598">
        <f>AE16</f>
        <v>12.752410538806382</v>
      </c>
      <c r="AF32" s="595">
        <f>AF16</f>
        <v>12.784291565153399</v>
      </c>
      <c r="AG32" s="595">
        <f>AG16</f>
        <v>12.816252294066283</v>
      </c>
      <c r="AH32" s="599">
        <f>AH16</f>
        <v>12.848292924801449</v>
      </c>
      <c r="AI32" s="626"/>
      <c r="AJ32" s="541"/>
      <c r="AK32" s="598">
        <f>AK16</f>
        <v>12.880413657113452</v>
      </c>
      <c r="AL32" s="595">
        <f>AL16</f>
        <v>12.912614691256236</v>
      </c>
      <c r="AM32" s="595">
        <f>AM16</f>
        <v>12.944896227984374</v>
      </c>
      <c r="AN32" s="599">
        <f>AN16</f>
        <v>12.977258468554338</v>
      </c>
      <c r="AO32" s="626"/>
      <c r="AP32" s="541"/>
      <c r="AQ32" s="540">
        <f>AQ16</f>
        <v>52.03880645890289</v>
      </c>
    </row>
    <row r="33" spans="1:43" s="589" customFormat="1" ht="14.1" customHeight="1" thickBot="1">
      <c r="A33" s="593"/>
      <c r="B33" s="600" t="s">
        <v>115</v>
      </c>
      <c r="C33" s="597">
        <f t="shared" ref="C33:M33" si="31">C27</f>
        <v>0</v>
      </c>
      <c r="D33" s="597">
        <f t="shared" si="31"/>
        <v>0</v>
      </c>
      <c r="E33" s="597">
        <f t="shared" si="31"/>
        <v>0</v>
      </c>
      <c r="F33" s="597">
        <f t="shared" si="31"/>
        <v>0</v>
      </c>
      <c r="G33" s="597">
        <f t="shared" si="31"/>
        <v>0</v>
      </c>
      <c r="H33" s="597">
        <f t="shared" si="31"/>
        <v>0</v>
      </c>
      <c r="I33" s="597">
        <f t="shared" si="31"/>
        <v>0</v>
      </c>
      <c r="J33" s="597">
        <f t="shared" si="31"/>
        <v>0</v>
      </c>
      <c r="K33" s="597">
        <f t="shared" si="31"/>
        <v>0</v>
      </c>
      <c r="L33" s="597">
        <f t="shared" si="31"/>
        <v>0</v>
      </c>
      <c r="M33" s="597">
        <f t="shared" si="31"/>
        <v>0</v>
      </c>
      <c r="N33" s="607">
        <f>N27</f>
        <v>0</v>
      </c>
      <c r="O33" s="626"/>
      <c r="P33" s="543"/>
      <c r="Q33" s="597">
        <f t="shared" ref="Q33:AA33" si="32">Q27</f>
        <v>0</v>
      </c>
      <c r="R33" s="597">
        <f t="shared" si="32"/>
        <v>0</v>
      </c>
      <c r="S33" s="597">
        <f t="shared" si="32"/>
        <v>0</v>
      </c>
      <c r="T33" s="597">
        <f t="shared" si="32"/>
        <v>0</v>
      </c>
      <c r="U33" s="597">
        <f t="shared" si="32"/>
        <v>0</v>
      </c>
      <c r="V33" s="597">
        <f t="shared" si="32"/>
        <v>0</v>
      </c>
      <c r="W33" s="597">
        <f t="shared" si="32"/>
        <v>0</v>
      </c>
      <c r="X33" s="597">
        <f t="shared" si="32"/>
        <v>0</v>
      </c>
      <c r="Y33" s="597">
        <f t="shared" si="32"/>
        <v>0</v>
      </c>
      <c r="Z33" s="597">
        <f t="shared" si="32"/>
        <v>0</v>
      </c>
      <c r="AA33" s="597">
        <f t="shared" si="32"/>
        <v>0</v>
      </c>
      <c r="AB33" s="607">
        <f>AB27</f>
        <v>0</v>
      </c>
      <c r="AC33" s="626"/>
      <c r="AD33" s="597"/>
      <c r="AE33" s="608">
        <f>AE27</f>
        <v>0</v>
      </c>
      <c r="AF33" s="597">
        <f>AF27</f>
        <v>0</v>
      </c>
      <c r="AG33" s="597">
        <f>AG27</f>
        <v>0</v>
      </c>
      <c r="AH33" s="543">
        <f>AH27</f>
        <v>0</v>
      </c>
      <c r="AI33" s="626"/>
      <c r="AJ33" s="541"/>
      <c r="AK33" s="608">
        <f>AK27</f>
        <v>0</v>
      </c>
      <c r="AL33" s="597">
        <f>AL27</f>
        <v>0</v>
      </c>
      <c r="AM33" s="597">
        <f>AM27</f>
        <v>0</v>
      </c>
      <c r="AN33" s="543">
        <f>AN27</f>
        <v>0</v>
      </c>
      <c r="AO33" s="626"/>
      <c r="AP33" s="541"/>
      <c r="AQ33" s="542">
        <f>AQ27</f>
        <v>0</v>
      </c>
    </row>
    <row r="34" spans="1:43" s="589" customFormat="1" ht="14.1" customHeight="1" thickBot="1">
      <c r="A34" s="593"/>
      <c r="B34" s="624" t="s">
        <v>116</v>
      </c>
      <c r="C34" s="386">
        <f t="shared" ref="C34:M34" si="33">C31+C32-C33</f>
        <v>5004.166666666667</v>
      </c>
      <c r="D34" s="386">
        <f t="shared" si="33"/>
        <v>5008.3368055555557</v>
      </c>
      <c r="E34" s="386">
        <f t="shared" si="33"/>
        <v>5012.5104195601853</v>
      </c>
      <c r="F34" s="386">
        <f t="shared" si="33"/>
        <v>5016.6875115764851</v>
      </c>
      <c r="G34" s="386">
        <f t="shared" si="33"/>
        <v>5020.8680845027984</v>
      </c>
      <c r="H34" s="386">
        <f t="shared" si="33"/>
        <v>5025.0521412398839</v>
      </c>
      <c r="I34" s="386">
        <f t="shared" si="33"/>
        <v>5029.2396846909169</v>
      </c>
      <c r="J34" s="386">
        <f t="shared" si="33"/>
        <v>5033.4307177614928</v>
      </c>
      <c r="K34" s="386">
        <f t="shared" si="33"/>
        <v>5037.6252433596273</v>
      </c>
      <c r="L34" s="386">
        <f t="shared" si="33"/>
        <v>5041.8232643957608</v>
      </c>
      <c r="M34" s="386">
        <f t="shared" si="33"/>
        <v>5046.0247837827574</v>
      </c>
      <c r="N34" s="531">
        <f>N31+N32-N33</f>
        <v>5050.2298044359095</v>
      </c>
      <c r="O34" s="627">
        <f>N34</f>
        <v>5050.2298044359095</v>
      </c>
      <c r="P34" s="388"/>
      <c r="Q34" s="386">
        <f t="shared" ref="Q34:AB34" si="34">Q31+Q32-Q33</f>
        <v>5054.438329272939</v>
      </c>
      <c r="R34" s="386">
        <f t="shared" si="34"/>
        <v>5058.6503612139995</v>
      </c>
      <c r="S34" s="386">
        <f t="shared" si="34"/>
        <v>5062.8659031816778</v>
      </c>
      <c r="T34" s="386">
        <f t="shared" si="34"/>
        <v>5067.0849581009961</v>
      </c>
      <c r="U34" s="386">
        <f t="shared" si="34"/>
        <v>5071.3075288994132</v>
      </c>
      <c r="V34" s="386">
        <f t="shared" si="34"/>
        <v>5075.533618506829</v>
      </c>
      <c r="W34" s="386">
        <f t="shared" si="34"/>
        <v>5079.7632298555845</v>
      </c>
      <c r="X34" s="386">
        <f t="shared" si="34"/>
        <v>5083.9963658804645</v>
      </c>
      <c r="Y34" s="386">
        <f t="shared" si="34"/>
        <v>5088.2330295186985</v>
      </c>
      <c r="Z34" s="386">
        <f t="shared" si="34"/>
        <v>5092.4732237099643</v>
      </c>
      <c r="AA34" s="386">
        <f t="shared" si="34"/>
        <v>5096.716951396389</v>
      </c>
      <c r="AB34" s="531">
        <f t="shared" si="34"/>
        <v>5100.9642155225529</v>
      </c>
      <c r="AC34" s="627">
        <f>AB34</f>
        <v>5100.9642155225529</v>
      </c>
      <c r="AD34" s="628"/>
      <c r="AE34" s="629">
        <f>AE31+AE32-AE33</f>
        <v>5113.7166260613594</v>
      </c>
      <c r="AF34" s="386">
        <f>AF31+AF32-AF33</f>
        <v>5126.500917626513</v>
      </c>
      <c r="AG34" s="386">
        <f>AG31+AG32-AG33</f>
        <v>5139.3171699205795</v>
      </c>
      <c r="AH34" s="627">
        <f>AH31+AH32-AH33</f>
        <v>5152.1654628453807</v>
      </c>
      <c r="AI34" s="387">
        <f>AH34</f>
        <v>5152.1654628453807</v>
      </c>
      <c r="AJ34" s="541"/>
      <c r="AK34" s="629">
        <f>AK31+AK32-AK33</f>
        <v>5165.0458765024941</v>
      </c>
      <c r="AL34" s="386">
        <f>AL31+AL32-AL33</f>
        <v>5177.95849119375</v>
      </c>
      <c r="AM34" s="386">
        <f>AM31+AM32-AM33</f>
        <v>5190.9033874217348</v>
      </c>
      <c r="AN34" s="627">
        <f>AN31+AN32-AN33</f>
        <v>5203.8806458902891</v>
      </c>
      <c r="AO34" s="387">
        <f>AN34</f>
        <v>5203.8806458902891</v>
      </c>
      <c r="AP34" s="541"/>
      <c r="AQ34" s="387">
        <f>AQ31+AQ32-AQ33</f>
        <v>5255.9194523491924</v>
      </c>
    </row>
  </sheetData>
  <sheetProtection sheet="1" objects="1" scenarios="1"/>
  <phoneticPr fontId="3" type="noConversion"/>
  <printOptions horizontalCentered="1"/>
  <pageMargins left="0.5" right="0.5" top="1.25" bottom="1" header="0.5" footer="0.5"/>
  <pageSetup scale="69" orientation="landscape" horizontalDpi="4294967292" verticalDpi="4294967292" r:id="rId1"/>
  <headerFooter alignWithMargins="0">
    <oddHeader>&amp;CCash Flow Statements</oddHeader>
    <oddFooter>Page &amp;P of &amp;N</oddFooter>
  </headerFooter>
  <colBreaks count="2" manualBreakCount="2">
    <brk id="15" min="1" max="33" man="1"/>
    <brk id="29" max="1048575" man="1"/>
  </colBreaks>
  <legacyDrawing r:id="rId2"/>
</worksheet>
</file>

<file path=xl/worksheets/sheet17.xml><?xml version="1.0" encoding="utf-8"?>
<worksheet xmlns="http://schemas.openxmlformats.org/spreadsheetml/2006/main" xmlns:r="http://schemas.openxmlformats.org/officeDocument/2006/relationships">
  <sheetPr codeName="BalSht">
    <pageSetUpPr autoPageBreaks="0"/>
  </sheetPr>
  <dimension ref="A1:AV43"/>
  <sheetViews>
    <sheetView showGridLines="0" showOutlineSymbols="0" workbookViewId="0">
      <selection activeCell="C13" sqref="C13"/>
    </sheetView>
  </sheetViews>
  <sheetFormatPr defaultColWidth="10.5703125" defaultRowHeight="15"/>
  <cols>
    <col min="1" max="1" width="1.7109375" style="431" customWidth="1"/>
    <col min="2" max="2" width="37.85546875" style="431" customWidth="1"/>
    <col min="3" max="5" width="14.7109375" style="431" customWidth="1"/>
    <col min="6" max="6" width="5.140625" style="431" customWidth="1"/>
    <col min="7" max="7" width="5.7109375" style="431" customWidth="1"/>
    <col min="8" max="8" width="37.85546875" style="431" customWidth="1"/>
    <col min="9" max="11" width="14.7109375" style="431" customWidth="1"/>
    <col min="12" max="12" width="5.140625" style="431" customWidth="1"/>
    <col min="13" max="13" width="5.7109375" style="431" customWidth="1"/>
    <col min="14" max="14" width="37.85546875" style="431" customWidth="1"/>
    <col min="15" max="17" width="14.7109375" style="431" customWidth="1"/>
    <col min="18" max="18" width="5.140625" style="431" customWidth="1"/>
    <col min="19" max="19" width="5.7109375" style="431" customWidth="1"/>
    <col min="20" max="20" width="37.85546875" style="431" customWidth="1"/>
    <col min="21" max="23" width="14.7109375" style="431" customWidth="1"/>
    <col min="24" max="24" width="5.140625" style="431" customWidth="1"/>
    <col min="25" max="25" width="5.7109375" style="431" customWidth="1"/>
    <col min="26" max="26" width="37.85546875" style="431" customWidth="1"/>
    <col min="27" max="29" width="14.7109375" style="431" customWidth="1"/>
    <col min="30" max="30" width="5.140625" style="431" customWidth="1"/>
    <col min="31" max="31" width="5.7109375" style="431" customWidth="1"/>
    <col min="32" max="32" width="37.85546875" style="431" customWidth="1"/>
    <col min="33" max="35" width="14.7109375" style="431" customWidth="1"/>
    <col min="36" max="36" width="5.140625" style="431" customWidth="1"/>
    <col min="37" max="37" width="5.7109375" style="431" customWidth="1"/>
    <col min="38" max="38" width="37.85546875" style="431" customWidth="1"/>
    <col min="39" max="41" width="14.7109375" style="431" customWidth="1"/>
    <col min="42" max="42" width="5.140625" style="431" customWidth="1"/>
    <col min="43" max="43" width="5.7109375" style="431" customWidth="1"/>
    <col min="44" max="44" width="37.85546875" style="431" customWidth="1"/>
    <col min="45" max="47" width="14.7109375" style="431" customWidth="1"/>
    <col min="48" max="48" width="4.5703125" style="431" customWidth="1"/>
    <col min="49" max="16384" width="10.5703125" style="431"/>
  </cols>
  <sheetData>
    <row r="1" spans="1:48" ht="9.9499999999999993" customHeight="1" thickBot="1"/>
    <row r="2" spans="1:48" s="470" customFormat="1" ht="24.95" customHeight="1" thickBot="1">
      <c r="B2" s="796" t="s">
        <v>121</v>
      </c>
      <c r="C2" s="806"/>
      <c r="D2" s="807"/>
      <c r="E2" s="808"/>
      <c r="F2" s="810"/>
      <c r="H2" s="796" t="s">
        <v>121</v>
      </c>
      <c r="I2" s="806"/>
      <c r="J2" s="807"/>
      <c r="K2" s="808"/>
      <c r="L2" s="810"/>
      <c r="N2" s="796" t="s">
        <v>121</v>
      </c>
      <c r="O2" s="806"/>
      <c r="P2" s="807"/>
      <c r="Q2" s="808"/>
      <c r="R2" s="810"/>
      <c r="T2" s="796" t="s">
        <v>121</v>
      </c>
      <c r="U2" s="806"/>
      <c r="V2" s="807"/>
      <c r="W2" s="808"/>
      <c r="X2" s="810"/>
      <c r="Z2" s="796" t="s">
        <v>121</v>
      </c>
      <c r="AA2" s="806"/>
      <c r="AB2" s="807"/>
      <c r="AC2" s="808"/>
      <c r="AD2" s="810"/>
      <c r="AF2" s="796" t="s">
        <v>121</v>
      </c>
      <c r="AG2" s="806"/>
      <c r="AH2" s="807"/>
      <c r="AI2" s="808"/>
      <c r="AJ2" s="810"/>
      <c r="AL2" s="796" t="s">
        <v>121</v>
      </c>
      <c r="AM2" s="806"/>
      <c r="AN2" s="807"/>
      <c r="AO2" s="808"/>
      <c r="AP2" s="810"/>
      <c r="AR2" s="796" t="s">
        <v>121</v>
      </c>
      <c r="AS2" s="806"/>
      <c r="AT2" s="807"/>
      <c r="AU2" s="808"/>
      <c r="AV2" s="809"/>
    </row>
    <row r="3" spans="1:48" s="110" customFormat="1" ht="14.1" customHeight="1">
      <c r="A3" s="108"/>
      <c r="B3" s="631"/>
      <c r="F3" s="108"/>
      <c r="H3" s="631"/>
      <c r="L3" s="108"/>
      <c r="N3" s="631"/>
      <c r="R3" s="108"/>
      <c r="T3" s="631"/>
      <c r="X3" s="108"/>
      <c r="Z3" s="631"/>
      <c r="AD3" s="108"/>
      <c r="AF3" s="631"/>
      <c r="AJ3" s="108"/>
      <c r="AL3" s="631"/>
      <c r="AP3" s="108"/>
      <c r="AR3" s="631"/>
      <c r="AV3" s="108"/>
    </row>
    <row r="4" spans="1:48" s="110" customFormat="1" ht="14.1" customHeight="1">
      <c r="A4" s="108"/>
      <c r="B4" s="904" t="str">
        <f>Setup!B7</f>
        <v>Your Company Name</v>
      </c>
      <c r="C4" s="905"/>
      <c r="D4" s="905"/>
      <c r="E4" s="905"/>
      <c r="F4" s="906"/>
      <c r="H4" s="904" t="str">
        <f>Setup!B7</f>
        <v>Your Company Name</v>
      </c>
      <c r="I4" s="905"/>
      <c r="J4" s="905"/>
      <c r="K4" s="905"/>
      <c r="L4" s="906"/>
      <c r="N4" s="904" t="str">
        <f>Setup!B7</f>
        <v>Your Company Name</v>
      </c>
      <c r="O4" s="905"/>
      <c r="P4" s="905"/>
      <c r="Q4" s="905"/>
      <c r="R4" s="906"/>
      <c r="T4" s="904" t="str">
        <f>Setup!B7</f>
        <v>Your Company Name</v>
      </c>
      <c r="U4" s="905"/>
      <c r="V4" s="905"/>
      <c r="W4" s="905"/>
      <c r="X4" s="906"/>
      <c r="Z4" s="904" t="str">
        <f>Setup!B7</f>
        <v>Your Company Name</v>
      </c>
      <c r="AA4" s="905"/>
      <c r="AB4" s="905"/>
      <c r="AC4" s="905"/>
      <c r="AD4" s="906"/>
      <c r="AF4" s="904" t="str">
        <f>Setup!B7</f>
        <v>Your Company Name</v>
      </c>
      <c r="AG4" s="905"/>
      <c r="AH4" s="905"/>
      <c r="AI4" s="905"/>
      <c r="AJ4" s="906"/>
      <c r="AL4" s="904" t="str">
        <f>Setup!B7</f>
        <v>Your Company Name</v>
      </c>
      <c r="AM4" s="905"/>
      <c r="AN4" s="905"/>
      <c r="AO4" s="905"/>
      <c r="AP4" s="906"/>
      <c r="AR4" s="904" t="str">
        <f>Setup!B7</f>
        <v>Your Company Name</v>
      </c>
      <c r="AS4" s="905"/>
      <c r="AT4" s="905"/>
      <c r="AU4" s="905"/>
      <c r="AV4" s="108"/>
    </row>
    <row r="5" spans="1:48" s="110" customFormat="1" ht="14.1" customHeight="1">
      <c r="A5" s="108"/>
      <c r="B5" s="907" t="s">
        <v>165</v>
      </c>
      <c r="C5" s="908"/>
      <c r="D5" s="908"/>
      <c r="E5" s="908"/>
      <c r="F5" s="909"/>
      <c r="H5" s="907" t="s">
        <v>166</v>
      </c>
      <c r="I5" s="908"/>
      <c r="J5" s="908"/>
      <c r="K5" s="908"/>
      <c r="L5" s="909"/>
      <c r="N5" s="907" t="s">
        <v>167</v>
      </c>
      <c r="O5" s="908"/>
      <c r="P5" s="908"/>
      <c r="Q5" s="908"/>
      <c r="R5" s="909"/>
      <c r="T5" s="907" t="s">
        <v>168</v>
      </c>
      <c r="U5" s="908"/>
      <c r="V5" s="908"/>
      <c r="W5" s="908"/>
      <c r="X5" s="909"/>
      <c r="Z5" s="910">
        <f>SalesProj!S2</f>
        <v>2009</v>
      </c>
      <c r="AA5" s="913"/>
      <c r="AB5" s="913"/>
      <c r="AC5" s="913"/>
      <c r="AD5" s="914"/>
      <c r="AF5" s="910">
        <f>SalesProj!AG2</f>
        <v>2010</v>
      </c>
      <c r="AG5" s="913"/>
      <c r="AH5" s="913"/>
      <c r="AI5" s="913"/>
      <c r="AJ5" s="914"/>
      <c r="AL5" s="910">
        <f>SalesProj!AM2</f>
        <v>2011</v>
      </c>
      <c r="AM5" s="913"/>
      <c r="AN5" s="913"/>
      <c r="AO5" s="913"/>
      <c r="AP5" s="914"/>
      <c r="AR5" s="910">
        <f>SalesProj!AS2</f>
        <v>2012</v>
      </c>
      <c r="AS5" s="913"/>
      <c r="AT5" s="913"/>
      <c r="AU5" s="913"/>
      <c r="AV5" s="108"/>
    </row>
    <row r="6" spans="1:48" s="110" customFormat="1" ht="14.1" customHeight="1">
      <c r="A6" s="108"/>
      <c r="B6" s="910">
        <f>SalesProj!E2</f>
        <v>2008</v>
      </c>
      <c r="C6" s="911"/>
      <c r="D6" s="911"/>
      <c r="E6" s="911"/>
      <c r="F6" s="912"/>
      <c r="H6" s="910">
        <f>SalesProj!E2</f>
        <v>2008</v>
      </c>
      <c r="I6" s="911"/>
      <c r="J6" s="911"/>
      <c r="K6" s="911"/>
      <c r="L6" s="912"/>
      <c r="N6" s="910">
        <f>SalesProj!E2</f>
        <v>2008</v>
      </c>
      <c r="O6" s="911"/>
      <c r="P6" s="911"/>
      <c r="Q6" s="911"/>
      <c r="R6" s="912"/>
      <c r="T6" s="910">
        <f>SalesProj!E2</f>
        <v>2008</v>
      </c>
      <c r="U6" s="911"/>
      <c r="V6" s="911"/>
      <c r="W6" s="911"/>
      <c r="X6" s="912"/>
      <c r="Z6" s="632"/>
      <c r="AD6" s="108"/>
      <c r="AF6" s="631"/>
      <c r="AJ6" s="108"/>
      <c r="AL6" s="631"/>
      <c r="AP6" s="108"/>
      <c r="AR6" s="631"/>
      <c r="AV6" s="108"/>
    </row>
    <row r="7" spans="1:48" s="110" customFormat="1" ht="14.1" customHeight="1">
      <c r="A7" s="108"/>
      <c r="B7" s="631"/>
      <c r="C7" s="471"/>
      <c r="F7" s="108"/>
      <c r="H7" s="631"/>
      <c r="I7" s="471"/>
      <c r="L7" s="108"/>
      <c r="N7" s="631"/>
      <c r="O7" s="471"/>
      <c r="R7" s="108"/>
      <c r="T7" s="631"/>
      <c r="U7" s="471"/>
      <c r="X7" s="108"/>
      <c r="Z7" s="631"/>
      <c r="AA7" s="471"/>
      <c r="AD7" s="108"/>
      <c r="AF7" s="631"/>
      <c r="AG7" s="471"/>
      <c r="AJ7" s="108"/>
      <c r="AL7" s="631"/>
      <c r="AM7" s="471"/>
      <c r="AP7" s="108"/>
      <c r="AR7" s="631"/>
      <c r="AS7" s="471"/>
      <c r="AV7" s="108"/>
    </row>
    <row r="8" spans="1:48" s="112" customFormat="1" ht="14.1" customHeight="1">
      <c r="A8" s="111"/>
      <c r="B8" s="113" t="s">
        <v>122</v>
      </c>
      <c r="C8" s="472"/>
      <c r="D8" s="633"/>
      <c r="F8" s="111"/>
      <c r="H8" s="113" t="s">
        <v>122</v>
      </c>
      <c r="I8" s="472"/>
      <c r="J8" s="633"/>
      <c r="L8" s="111"/>
      <c r="N8" s="113" t="s">
        <v>122</v>
      </c>
      <c r="O8" s="472"/>
      <c r="P8" s="633"/>
      <c r="R8" s="111"/>
      <c r="T8" s="113" t="s">
        <v>122</v>
      </c>
      <c r="U8" s="472"/>
      <c r="V8" s="633"/>
      <c r="X8" s="111"/>
      <c r="Z8" s="113" t="s">
        <v>122</v>
      </c>
      <c r="AA8" s="472"/>
      <c r="AB8" s="633"/>
      <c r="AD8" s="111"/>
      <c r="AF8" s="113" t="s">
        <v>122</v>
      </c>
      <c r="AG8" s="472"/>
      <c r="AH8" s="633"/>
      <c r="AJ8" s="111"/>
      <c r="AL8" s="113" t="s">
        <v>122</v>
      </c>
      <c r="AM8" s="472"/>
      <c r="AN8" s="633"/>
      <c r="AP8" s="111"/>
      <c r="AR8" s="113" t="s">
        <v>122</v>
      </c>
      <c r="AS8" s="472"/>
      <c r="AT8" s="633"/>
      <c r="AV8" s="111"/>
    </row>
    <row r="9" spans="1:48" s="112" customFormat="1" ht="14.1" customHeight="1">
      <c r="B9" s="113" t="s">
        <v>123</v>
      </c>
      <c r="C9" s="472"/>
      <c r="D9" s="633"/>
      <c r="F9" s="111"/>
      <c r="H9" s="113" t="s">
        <v>123</v>
      </c>
      <c r="I9" s="472"/>
      <c r="J9" s="633"/>
      <c r="L9" s="111"/>
      <c r="N9" s="113" t="s">
        <v>123</v>
      </c>
      <c r="O9" s="472"/>
      <c r="P9" s="633"/>
      <c r="R9" s="111"/>
      <c r="T9" s="113" t="s">
        <v>123</v>
      </c>
      <c r="U9" s="472"/>
      <c r="V9" s="633"/>
      <c r="X9" s="111"/>
      <c r="Z9" s="113" t="s">
        <v>123</v>
      </c>
      <c r="AA9" s="472"/>
      <c r="AB9" s="633"/>
      <c r="AD9" s="111"/>
      <c r="AF9" s="113" t="s">
        <v>123</v>
      </c>
      <c r="AG9" s="472"/>
      <c r="AH9" s="633"/>
      <c r="AJ9" s="111"/>
      <c r="AL9" s="113" t="s">
        <v>123</v>
      </c>
      <c r="AM9" s="472"/>
      <c r="AN9" s="633"/>
      <c r="AP9" s="111"/>
      <c r="AR9" s="113" t="s">
        <v>123</v>
      </c>
      <c r="AS9" s="472"/>
      <c r="AT9" s="633"/>
      <c r="AV9" s="111"/>
    </row>
    <row r="10" spans="1:48" s="112" customFormat="1" ht="14.1" customHeight="1">
      <c r="B10" s="473" t="s">
        <v>124</v>
      </c>
      <c r="C10" s="634">
        <f>CshFlw!E34</f>
        <v>5012.5104195601853</v>
      </c>
      <c r="D10" s="635"/>
      <c r="E10" s="635"/>
      <c r="F10" s="111"/>
      <c r="H10" s="473" t="s">
        <v>124</v>
      </c>
      <c r="I10" s="634">
        <f>CshFlw!H34</f>
        <v>5025.0521412398839</v>
      </c>
      <c r="J10" s="635"/>
      <c r="K10" s="635"/>
      <c r="L10" s="111"/>
      <c r="N10" s="473" t="s">
        <v>124</v>
      </c>
      <c r="O10" s="634">
        <f>CshFlw!K34</f>
        <v>5037.6252433596273</v>
      </c>
      <c r="P10" s="635"/>
      <c r="Q10" s="635"/>
      <c r="R10" s="111"/>
      <c r="T10" s="473" t="s">
        <v>124</v>
      </c>
      <c r="U10" s="634">
        <f>CshFlw!N34</f>
        <v>5050.2298044359095</v>
      </c>
      <c r="V10" s="635"/>
      <c r="W10" s="635"/>
      <c r="X10" s="111"/>
      <c r="Z10" s="473" t="s">
        <v>124</v>
      </c>
      <c r="AA10" s="634">
        <f>CshFlw!AB34</f>
        <v>5100.9642155225529</v>
      </c>
      <c r="AB10" s="635"/>
      <c r="AC10" s="635"/>
      <c r="AD10" s="111"/>
      <c r="AF10" s="473" t="s">
        <v>124</v>
      </c>
      <c r="AG10" s="634">
        <f>CshFlw!AI34</f>
        <v>5152.1654628453807</v>
      </c>
      <c r="AH10" s="635"/>
      <c r="AI10" s="635"/>
      <c r="AJ10" s="111"/>
      <c r="AL10" s="473" t="s">
        <v>124</v>
      </c>
      <c r="AM10" s="634">
        <f>CshFlw!AO34</f>
        <v>5203.8806458902891</v>
      </c>
      <c r="AN10" s="635"/>
      <c r="AO10" s="635"/>
      <c r="AP10" s="111"/>
      <c r="AR10" s="473" t="s">
        <v>124</v>
      </c>
      <c r="AS10" s="634">
        <f>CshFlw!AQ34</f>
        <v>5255.9194523491924</v>
      </c>
      <c r="AT10" s="635"/>
      <c r="AU10" s="635"/>
      <c r="AV10" s="111"/>
    </row>
    <row r="11" spans="1:48" s="112" customFormat="1" ht="14.1" customHeight="1">
      <c r="A11" s="111"/>
      <c r="B11" s="473" t="s">
        <v>125</v>
      </c>
      <c r="C11" s="270">
        <f>SUM(IncSt!C6:E6)-SUM(CshFlw!C7:E8)</f>
        <v>0</v>
      </c>
      <c r="D11" s="635"/>
      <c r="E11" s="635"/>
      <c r="F11" s="111"/>
      <c r="H11" s="473" t="s">
        <v>125</v>
      </c>
      <c r="I11" s="270">
        <f>SUM(IncSt!$C$6:H$6)-SUM(CshFlw!$C$7:H$8)</f>
        <v>0</v>
      </c>
      <c r="J11" s="635"/>
      <c r="K11" s="635"/>
      <c r="L11" s="111"/>
      <c r="N11" s="473" t="s">
        <v>125</v>
      </c>
      <c r="O11" s="270">
        <f>SUM(IncSt!$C$6:K$6)-SUM(CshFlw!$C$7:K$8)</f>
        <v>0</v>
      </c>
      <c r="P11" s="635"/>
      <c r="Q11" s="635"/>
      <c r="R11" s="111"/>
      <c r="T11" s="473" t="s">
        <v>125</v>
      </c>
      <c r="U11" s="270">
        <f>SUM(IncSt!$C$6:N$6)-SUM(CshFlw!$C$7:N$8)</f>
        <v>0</v>
      </c>
      <c r="V11" s="635"/>
      <c r="W11" s="635"/>
      <c r="X11" s="111"/>
      <c r="Z11" s="473" t="s">
        <v>125</v>
      </c>
      <c r="AA11" s="270">
        <f>IncSt!AC6-CshFlw!AC9+U11</f>
        <v>0</v>
      </c>
      <c r="AB11" s="635"/>
      <c r="AC11" s="635"/>
      <c r="AD11" s="111"/>
      <c r="AF11" s="473" t="s">
        <v>125</v>
      </c>
      <c r="AG11" s="270">
        <f>IncSt!AI$6-CshFlw!AI9+AA11</f>
        <v>0</v>
      </c>
      <c r="AH11" s="635"/>
      <c r="AI11" s="635"/>
      <c r="AJ11" s="111"/>
      <c r="AL11" s="473" t="s">
        <v>125</v>
      </c>
      <c r="AM11" s="270">
        <f>IncSt!AO6-CshFlw!AO9+AG11</f>
        <v>0</v>
      </c>
      <c r="AN11" s="635"/>
      <c r="AO11" s="635"/>
      <c r="AP11" s="111"/>
      <c r="AR11" s="473" t="s">
        <v>125</v>
      </c>
      <c r="AS11" s="270">
        <f>IncSt!AQ6-CshFlw!AQ9+AM11</f>
        <v>0</v>
      </c>
      <c r="AT11" s="635"/>
      <c r="AU11" s="635"/>
      <c r="AV11" s="111"/>
    </row>
    <row r="12" spans="1:48" s="112" customFormat="1" ht="14.1" customHeight="1">
      <c r="A12" s="111"/>
      <c r="B12" s="636" t="s">
        <v>126</v>
      </c>
      <c r="C12" s="270">
        <f>SUM(Inventory!C85:E85)-SUM(SalesProj!E111:G111)</f>
        <v>0</v>
      </c>
      <c r="D12" s="637"/>
      <c r="E12" s="635"/>
      <c r="F12" s="111"/>
      <c r="H12" s="636" t="s">
        <v>126</v>
      </c>
      <c r="I12" s="270">
        <f>C12+SUM(Inventory!F85:H85)-SUM(SalesProj!H111:J111)</f>
        <v>0</v>
      </c>
      <c r="J12" s="637"/>
      <c r="K12" s="635"/>
      <c r="L12" s="111"/>
      <c r="N12" s="636" t="s">
        <v>126</v>
      </c>
      <c r="O12" s="270">
        <f>I12+SUM(Inventory!I85:K85)-SUM(SalesProj!K111:M111)</f>
        <v>0</v>
      </c>
      <c r="P12" s="637"/>
      <c r="Q12" s="635"/>
      <c r="R12" s="111"/>
      <c r="T12" s="636" t="s">
        <v>126</v>
      </c>
      <c r="U12" s="270">
        <f>O12+SUM(Inventory!L85:N85)-SUM(SalesProj!N111:P111)</f>
        <v>0</v>
      </c>
      <c r="V12" s="637"/>
      <c r="W12" s="635"/>
      <c r="X12" s="111"/>
      <c r="Z12" s="636" t="s">
        <v>126</v>
      </c>
      <c r="AA12" s="270">
        <f>U12+Inventory!AC85-SalesProj!AE111</f>
        <v>0</v>
      </c>
      <c r="AB12" s="637"/>
      <c r="AC12" s="635"/>
      <c r="AD12" s="111"/>
      <c r="AF12" s="636" t="s">
        <v>126</v>
      </c>
      <c r="AG12" s="270">
        <f>AA12+Inventory!AI85-SalesProj!AK111</f>
        <v>0</v>
      </c>
      <c r="AH12" s="637"/>
      <c r="AI12" s="635"/>
      <c r="AJ12" s="111"/>
      <c r="AL12" s="636" t="s">
        <v>126</v>
      </c>
      <c r="AM12" s="270">
        <f>AG12+Inventory!AO85-SalesProj!AQ111</f>
        <v>0</v>
      </c>
      <c r="AN12" s="637"/>
      <c r="AO12" s="635"/>
      <c r="AP12" s="111"/>
      <c r="AR12" s="636" t="s">
        <v>126</v>
      </c>
      <c r="AS12" s="638">
        <f>AM12+Inventory!AQ85-SalesProj!AS111</f>
        <v>0</v>
      </c>
      <c r="AT12" s="637"/>
      <c r="AU12" s="635"/>
      <c r="AV12" s="111"/>
    </row>
    <row r="13" spans="1:48" s="112" customFormat="1" ht="14.1" customHeight="1">
      <c r="B13" s="636" t="s">
        <v>212</v>
      </c>
      <c r="C13" s="268">
        <v>0</v>
      </c>
      <c r="D13" s="637"/>
      <c r="E13" s="635"/>
      <c r="F13" s="111"/>
      <c r="H13" s="636" t="s">
        <v>212</v>
      </c>
      <c r="I13" s="268">
        <v>0</v>
      </c>
      <c r="J13" s="637"/>
      <c r="K13" s="635"/>
      <c r="L13" s="111"/>
      <c r="N13" s="636" t="s">
        <v>212</v>
      </c>
      <c r="O13" s="268">
        <v>0</v>
      </c>
      <c r="P13" s="637"/>
      <c r="Q13" s="635"/>
      <c r="R13" s="111"/>
      <c r="T13" s="636" t="s">
        <v>212</v>
      </c>
      <c r="U13" s="268">
        <v>0</v>
      </c>
      <c r="V13" s="637"/>
      <c r="W13" s="635"/>
      <c r="X13" s="111"/>
      <c r="Z13" s="636" t="s">
        <v>212</v>
      </c>
      <c r="AA13" s="268">
        <v>0</v>
      </c>
      <c r="AB13" s="637"/>
      <c r="AC13" s="635"/>
      <c r="AD13" s="111"/>
      <c r="AF13" s="636" t="s">
        <v>212</v>
      </c>
      <c r="AG13" s="268">
        <v>0</v>
      </c>
      <c r="AH13" s="637"/>
      <c r="AI13" s="635"/>
      <c r="AJ13" s="111"/>
      <c r="AL13" s="636" t="s">
        <v>212</v>
      </c>
      <c r="AM13" s="268">
        <v>0</v>
      </c>
      <c r="AN13" s="637"/>
      <c r="AO13" s="635"/>
      <c r="AP13" s="111"/>
      <c r="AR13" s="636" t="s">
        <v>212</v>
      </c>
      <c r="AS13" s="268">
        <v>0</v>
      </c>
      <c r="AT13" s="637"/>
      <c r="AU13" s="635"/>
      <c r="AV13" s="111"/>
    </row>
    <row r="14" spans="1:48" s="116" customFormat="1" ht="14.1" customHeight="1">
      <c r="B14" s="639" t="s">
        <v>127</v>
      </c>
      <c r="C14" s="640"/>
      <c r="D14" s="641">
        <f>SUM(C10:C13)</f>
        <v>5012.5104195601853</v>
      </c>
      <c r="E14" s="368"/>
      <c r="F14" s="357"/>
      <c r="H14" s="639" t="s">
        <v>127</v>
      </c>
      <c r="I14" s="640"/>
      <c r="J14" s="641">
        <f>SUM(I10:I13)</f>
        <v>5025.0521412398839</v>
      </c>
      <c r="K14" s="368"/>
      <c r="L14" s="357"/>
      <c r="N14" s="639" t="s">
        <v>127</v>
      </c>
      <c r="O14" s="640"/>
      <c r="P14" s="641">
        <f>SUM(O10:O13)</f>
        <v>5037.6252433596273</v>
      </c>
      <c r="Q14" s="368"/>
      <c r="R14" s="357"/>
      <c r="T14" s="639" t="s">
        <v>127</v>
      </c>
      <c r="U14" s="640"/>
      <c r="V14" s="641">
        <f>SUM(U10:U13)</f>
        <v>5050.2298044359095</v>
      </c>
      <c r="W14" s="368"/>
      <c r="X14" s="357"/>
      <c r="Z14" s="639" t="s">
        <v>127</v>
      </c>
      <c r="AA14" s="640"/>
      <c r="AB14" s="641">
        <f>SUM(AA10:AA13)</f>
        <v>5100.9642155225529</v>
      </c>
      <c r="AC14" s="368"/>
      <c r="AD14" s="357"/>
      <c r="AF14" s="639" t="s">
        <v>127</v>
      </c>
      <c r="AG14" s="640"/>
      <c r="AH14" s="641">
        <f>SUM(AG10:AG13)</f>
        <v>5152.1654628453807</v>
      </c>
      <c r="AI14" s="368"/>
      <c r="AJ14" s="357"/>
      <c r="AL14" s="639" t="s">
        <v>127</v>
      </c>
      <c r="AM14" s="640"/>
      <c r="AN14" s="641">
        <f>SUM(AM10:AM13)</f>
        <v>5203.8806458902891</v>
      </c>
      <c r="AO14" s="368"/>
      <c r="AP14" s="357"/>
      <c r="AR14" s="639" t="s">
        <v>127</v>
      </c>
      <c r="AS14" s="640"/>
      <c r="AT14" s="641">
        <f>SUM(AS10:AS13)</f>
        <v>5255.9194523491924</v>
      </c>
      <c r="AU14" s="368"/>
      <c r="AV14" s="357"/>
    </row>
    <row r="15" spans="1:48" s="116" customFormat="1" ht="14.1" customHeight="1">
      <c r="B15" s="473"/>
      <c r="C15" s="635"/>
      <c r="D15" s="368"/>
      <c r="E15" s="368"/>
      <c r="F15" s="357"/>
      <c r="H15" s="473"/>
      <c r="I15" s="635"/>
      <c r="J15" s="368"/>
      <c r="K15" s="368"/>
      <c r="L15" s="357"/>
      <c r="N15" s="473"/>
      <c r="O15" s="635"/>
      <c r="P15" s="368"/>
      <c r="Q15" s="368"/>
      <c r="R15" s="357"/>
      <c r="T15" s="473"/>
      <c r="U15" s="635"/>
      <c r="V15" s="368"/>
      <c r="W15" s="368"/>
      <c r="X15" s="357"/>
      <c r="Z15" s="473"/>
      <c r="AA15" s="635"/>
      <c r="AB15" s="368"/>
      <c r="AC15" s="368"/>
      <c r="AD15" s="357"/>
      <c r="AF15" s="473"/>
      <c r="AG15" s="635"/>
      <c r="AH15" s="368"/>
      <c r="AI15" s="368"/>
      <c r="AJ15" s="357"/>
      <c r="AL15" s="473"/>
      <c r="AM15" s="635"/>
      <c r="AN15" s="368"/>
      <c r="AO15" s="368"/>
      <c r="AP15" s="357"/>
      <c r="AR15" s="473"/>
      <c r="AS15" s="635"/>
      <c r="AT15" s="368"/>
      <c r="AU15" s="368"/>
      <c r="AV15" s="357"/>
    </row>
    <row r="16" spans="1:48" s="116" customFormat="1" ht="14.1" customHeight="1">
      <c r="A16" s="117"/>
      <c r="B16" s="642" t="s">
        <v>128</v>
      </c>
      <c r="C16" s="643"/>
      <c r="D16" s="368"/>
      <c r="E16" s="368"/>
      <c r="F16" s="357"/>
      <c r="H16" s="642" t="s">
        <v>128</v>
      </c>
      <c r="I16" s="643"/>
      <c r="J16" s="368"/>
      <c r="K16" s="368"/>
      <c r="L16" s="357"/>
      <c r="N16" s="642" t="s">
        <v>128</v>
      </c>
      <c r="O16" s="643"/>
      <c r="P16" s="368"/>
      <c r="Q16" s="368"/>
      <c r="R16" s="357"/>
      <c r="T16" s="642" t="s">
        <v>128</v>
      </c>
      <c r="U16" s="643"/>
      <c r="V16" s="368"/>
      <c r="W16" s="368"/>
      <c r="X16" s="357"/>
      <c r="Z16" s="642" t="s">
        <v>128</v>
      </c>
      <c r="AA16" s="643"/>
      <c r="AB16" s="368"/>
      <c r="AC16" s="368"/>
      <c r="AD16" s="357"/>
      <c r="AF16" s="642" t="s">
        <v>128</v>
      </c>
      <c r="AG16" s="643"/>
      <c r="AH16" s="368"/>
      <c r="AI16" s="368"/>
      <c r="AJ16" s="357"/>
      <c r="AL16" s="642" t="s">
        <v>128</v>
      </c>
      <c r="AM16" s="643"/>
      <c r="AN16" s="368"/>
      <c r="AO16" s="368"/>
      <c r="AP16" s="357"/>
      <c r="AR16" s="642" t="s">
        <v>128</v>
      </c>
      <c r="AS16" s="643"/>
      <c r="AT16" s="368"/>
      <c r="AU16" s="368"/>
      <c r="AV16" s="357"/>
    </row>
    <row r="17" spans="1:48" s="116" customFormat="1" ht="14.1" customHeight="1">
      <c r="A17" s="117"/>
      <c r="B17" s="473" t="s">
        <v>129</v>
      </c>
      <c r="C17" s="644">
        <f>SUM(Config!AD66:AF66)</f>
        <v>0</v>
      </c>
      <c r="D17" s="645"/>
      <c r="E17" s="368"/>
      <c r="F17" s="357"/>
      <c r="H17" s="473" t="s">
        <v>129</v>
      </c>
      <c r="I17" s="644">
        <f>C17+SUM(Config!AG66:AI66)</f>
        <v>0</v>
      </c>
      <c r="J17" s="645"/>
      <c r="K17" s="368"/>
      <c r="L17" s="357"/>
      <c r="N17" s="473" t="s">
        <v>129</v>
      </c>
      <c r="O17" s="644">
        <f>I17+SUM(Config!AJ66:AL66)</f>
        <v>0</v>
      </c>
      <c r="P17" s="645"/>
      <c r="Q17" s="368"/>
      <c r="R17" s="357"/>
      <c r="T17" s="473" t="s">
        <v>129</v>
      </c>
      <c r="U17" s="644">
        <f>O17+SUM(Config!AM66:AO66)</f>
        <v>0</v>
      </c>
      <c r="V17" s="645"/>
      <c r="W17" s="368"/>
      <c r="X17" s="357"/>
      <c r="Z17" s="473" t="s">
        <v>129</v>
      </c>
      <c r="AA17" s="644">
        <f>U17+SUM(Config!AP66:BA66)</f>
        <v>0</v>
      </c>
      <c r="AB17" s="645"/>
      <c r="AC17" s="368"/>
      <c r="AD17" s="357"/>
      <c r="AF17" s="473" t="s">
        <v>129</v>
      </c>
      <c r="AG17" s="644">
        <f>AA17+SUM(Config!BB66:BM66)</f>
        <v>0</v>
      </c>
      <c r="AH17" s="645"/>
      <c r="AI17" s="368"/>
      <c r="AJ17" s="357"/>
      <c r="AL17" s="473" t="s">
        <v>129</v>
      </c>
      <c r="AM17" s="644">
        <f>AG17+SUM(Config!BN66:BY66)</f>
        <v>0</v>
      </c>
      <c r="AN17" s="645"/>
      <c r="AO17" s="368"/>
      <c r="AP17" s="357"/>
      <c r="AR17" s="473" t="s">
        <v>129</v>
      </c>
      <c r="AS17" s="644">
        <f>AM17+SUM(Config!BZ66:CK66)</f>
        <v>0</v>
      </c>
      <c r="AT17" s="645"/>
      <c r="AU17" s="368"/>
      <c r="AV17" s="357"/>
    </row>
    <row r="18" spans="1:48" s="116" customFormat="1" ht="14.1" customHeight="1">
      <c r="A18" s="117"/>
      <c r="B18" s="636" t="s">
        <v>213</v>
      </c>
      <c r="C18" s="270">
        <f>SUM(Config!AD67:AF67)</f>
        <v>0</v>
      </c>
      <c r="D18" s="645"/>
      <c r="E18" s="368"/>
      <c r="F18" s="357"/>
      <c r="H18" s="636" t="s">
        <v>213</v>
      </c>
      <c r="I18" s="270">
        <f>C18+SUM(Config!AG67:AI67)</f>
        <v>0</v>
      </c>
      <c r="J18" s="645"/>
      <c r="K18" s="368"/>
      <c r="L18" s="357"/>
      <c r="N18" s="636" t="s">
        <v>213</v>
      </c>
      <c r="O18" s="270">
        <f>I18+SUM(Config!AJ67:AL67)</f>
        <v>0</v>
      </c>
      <c r="P18" s="645"/>
      <c r="Q18" s="368"/>
      <c r="R18" s="357"/>
      <c r="T18" s="636" t="s">
        <v>213</v>
      </c>
      <c r="U18" s="270">
        <f>O18+SUM(Config!AM67:AO67)</f>
        <v>0</v>
      </c>
      <c r="V18" s="645"/>
      <c r="W18" s="368"/>
      <c r="X18" s="357"/>
      <c r="Z18" s="636" t="s">
        <v>213</v>
      </c>
      <c r="AA18" s="270">
        <f>U18+SUM(Config!AP67:BA67)</f>
        <v>0</v>
      </c>
      <c r="AB18" s="645"/>
      <c r="AC18" s="368"/>
      <c r="AD18" s="357"/>
      <c r="AF18" s="636" t="s">
        <v>213</v>
      </c>
      <c r="AG18" s="270">
        <f>AA18+SUM(Config!BB67:BM67)</f>
        <v>0</v>
      </c>
      <c r="AH18" s="645"/>
      <c r="AI18" s="368"/>
      <c r="AJ18" s="357"/>
      <c r="AL18" s="636" t="s">
        <v>213</v>
      </c>
      <c r="AM18" s="270">
        <f>AG18+SUM(Config!BN67:BY67)</f>
        <v>0</v>
      </c>
      <c r="AN18" s="645"/>
      <c r="AO18" s="368"/>
      <c r="AP18" s="357"/>
      <c r="AR18" s="636" t="s">
        <v>213</v>
      </c>
      <c r="AS18" s="270">
        <f>AM18+SUM(Config!BZ67:CK67)</f>
        <v>0</v>
      </c>
      <c r="AT18" s="645"/>
      <c r="AU18" s="368"/>
      <c r="AV18" s="357"/>
    </row>
    <row r="19" spans="1:48" s="116" customFormat="1" ht="14.1" customHeight="1">
      <c r="A19" s="117"/>
      <c r="B19" s="473" t="s">
        <v>214</v>
      </c>
      <c r="C19" s="270">
        <f>SUM(Config!AD68:AF68)</f>
        <v>0</v>
      </c>
      <c r="D19" s="645"/>
      <c r="E19" s="368"/>
      <c r="F19" s="357"/>
      <c r="H19" s="473" t="s">
        <v>214</v>
      </c>
      <c r="I19" s="270">
        <f>C19+SUM(Config!AG68:AI68)</f>
        <v>0</v>
      </c>
      <c r="J19" s="645"/>
      <c r="K19" s="368"/>
      <c r="L19" s="357"/>
      <c r="N19" s="473" t="s">
        <v>214</v>
      </c>
      <c r="O19" s="270">
        <f>I19+SUM(Config!AJ68:AL68)</f>
        <v>0</v>
      </c>
      <c r="P19" s="645"/>
      <c r="Q19" s="368"/>
      <c r="R19" s="357"/>
      <c r="T19" s="473" t="s">
        <v>214</v>
      </c>
      <c r="U19" s="270">
        <f>O19+SUM(Config!AM68:AO68)</f>
        <v>0</v>
      </c>
      <c r="V19" s="645"/>
      <c r="W19" s="368"/>
      <c r="X19" s="357"/>
      <c r="Z19" s="473" t="s">
        <v>214</v>
      </c>
      <c r="AA19" s="270">
        <f>U19+SUM(Config!AP68:BA68)</f>
        <v>0</v>
      </c>
      <c r="AB19" s="645"/>
      <c r="AC19" s="368"/>
      <c r="AD19" s="357"/>
      <c r="AF19" s="473" t="s">
        <v>214</v>
      </c>
      <c r="AG19" s="270">
        <f>AA19+SUM(Config!BB68:BM68)</f>
        <v>0</v>
      </c>
      <c r="AH19" s="645"/>
      <c r="AI19" s="368"/>
      <c r="AJ19" s="357"/>
      <c r="AL19" s="473" t="s">
        <v>214</v>
      </c>
      <c r="AM19" s="270">
        <f>AG19+SUM(Config!BN68:BY68)</f>
        <v>0</v>
      </c>
      <c r="AN19" s="645"/>
      <c r="AO19" s="368"/>
      <c r="AP19" s="357"/>
      <c r="AR19" s="473" t="s">
        <v>214</v>
      </c>
      <c r="AS19" s="270">
        <f>AM19+SUM(Config!BZ68:CK68)</f>
        <v>0</v>
      </c>
      <c r="AT19" s="645"/>
      <c r="AU19" s="368"/>
      <c r="AV19" s="357"/>
    </row>
    <row r="20" spans="1:48" s="116" customFormat="1" ht="14.1" customHeight="1">
      <c r="A20" s="117"/>
      <c r="B20" s="473" t="s">
        <v>244</v>
      </c>
      <c r="C20" s="270">
        <f>SUM(Config!AD69:AF69)</f>
        <v>0</v>
      </c>
      <c r="D20" s="645"/>
      <c r="E20" s="368"/>
      <c r="F20" s="357"/>
      <c r="H20" s="473" t="s">
        <v>244</v>
      </c>
      <c r="I20" s="270">
        <f>C20+SUM(Config!AG69:AI69)</f>
        <v>0</v>
      </c>
      <c r="J20" s="645"/>
      <c r="K20" s="368"/>
      <c r="L20" s="357"/>
      <c r="N20" s="473" t="s">
        <v>244</v>
      </c>
      <c r="O20" s="270">
        <f>I20+SUM(Config!AJ69:AL69)</f>
        <v>0</v>
      </c>
      <c r="P20" s="645"/>
      <c r="Q20" s="368"/>
      <c r="R20" s="357"/>
      <c r="T20" s="473" t="s">
        <v>244</v>
      </c>
      <c r="U20" s="270">
        <f>O20+SUM(Config!AM69:AO69)</f>
        <v>0</v>
      </c>
      <c r="V20" s="645"/>
      <c r="W20" s="368"/>
      <c r="X20" s="357"/>
      <c r="Z20" s="473" t="s">
        <v>244</v>
      </c>
      <c r="AA20" s="270">
        <f>U20+SUM(Config!AP69:BA69)</f>
        <v>0</v>
      </c>
      <c r="AB20" s="645"/>
      <c r="AC20" s="368"/>
      <c r="AD20" s="357"/>
      <c r="AF20" s="473" t="s">
        <v>244</v>
      </c>
      <c r="AG20" s="270">
        <f>AA20+SUM(Config!BB69:BM69)</f>
        <v>0</v>
      </c>
      <c r="AH20" s="645"/>
      <c r="AI20" s="368"/>
      <c r="AJ20" s="357"/>
      <c r="AL20" s="473" t="s">
        <v>244</v>
      </c>
      <c r="AM20" s="270">
        <f>AG20+SUM(Config!BN69:BY69)</f>
        <v>0</v>
      </c>
      <c r="AN20" s="645"/>
      <c r="AO20" s="368"/>
      <c r="AP20" s="357"/>
      <c r="AR20" s="473" t="s">
        <v>244</v>
      </c>
      <c r="AS20" s="270">
        <f>AM20+SUM(Config!BZ69:CK69)</f>
        <v>0</v>
      </c>
      <c r="AT20" s="645"/>
      <c r="AU20" s="368"/>
      <c r="AV20" s="357"/>
    </row>
    <row r="21" spans="1:48" s="116" customFormat="1" ht="14.1" customHeight="1">
      <c r="A21" s="117"/>
      <c r="B21" s="646" t="s">
        <v>173</v>
      </c>
      <c r="C21" s="270">
        <f>SUM(IncSt!C22:E22)</f>
        <v>0</v>
      </c>
      <c r="D21" s="645"/>
      <c r="E21" s="368"/>
      <c r="F21" s="357"/>
      <c r="H21" s="646" t="s">
        <v>173</v>
      </c>
      <c r="I21" s="270">
        <f>SUM(IncSt!C22:H22)</f>
        <v>0</v>
      </c>
      <c r="J21" s="645"/>
      <c r="K21" s="368"/>
      <c r="L21" s="357"/>
      <c r="N21" s="646" t="s">
        <v>173</v>
      </c>
      <c r="O21" s="270">
        <f>SUM(IncSt!C22:K22)</f>
        <v>0</v>
      </c>
      <c r="P21" s="645"/>
      <c r="Q21" s="368"/>
      <c r="R21" s="357"/>
      <c r="T21" s="646" t="s">
        <v>173</v>
      </c>
      <c r="U21" s="270">
        <f>SUM(IncSt!C22:N22)</f>
        <v>0</v>
      </c>
      <c r="V21" s="645"/>
      <c r="W21" s="368"/>
      <c r="X21" s="357"/>
      <c r="Z21" s="646" t="s">
        <v>173</v>
      </c>
      <c r="AA21" s="270">
        <f>U21+IncSt!AC22</f>
        <v>0</v>
      </c>
      <c r="AB21" s="645"/>
      <c r="AC21" s="368"/>
      <c r="AD21" s="357"/>
      <c r="AF21" s="646" t="s">
        <v>173</v>
      </c>
      <c r="AG21" s="270">
        <f>AA21+IncSt!AI22</f>
        <v>0</v>
      </c>
      <c r="AH21" s="645"/>
      <c r="AI21" s="368"/>
      <c r="AJ21" s="357"/>
      <c r="AL21" s="646" t="s">
        <v>173</v>
      </c>
      <c r="AM21" s="270">
        <f>AG21+IncSt!AO22</f>
        <v>0</v>
      </c>
      <c r="AN21" s="645"/>
      <c r="AO21" s="368"/>
      <c r="AP21" s="357"/>
      <c r="AR21" s="646" t="s">
        <v>173</v>
      </c>
      <c r="AS21" s="270">
        <f>AM21+IncSt!AQ22</f>
        <v>0</v>
      </c>
      <c r="AT21" s="645"/>
      <c r="AU21" s="368"/>
      <c r="AV21" s="357"/>
    </row>
    <row r="22" spans="1:48" s="116" customFormat="1" ht="14.1" customHeight="1">
      <c r="A22" s="117"/>
      <c r="B22" s="639" t="s">
        <v>130</v>
      </c>
      <c r="C22" s="640"/>
      <c r="D22" s="641">
        <f>SUM(C17:C20)-C21</f>
        <v>0</v>
      </c>
      <c r="E22" s="368"/>
      <c r="F22" s="357"/>
      <c r="H22" s="639" t="s">
        <v>130</v>
      </c>
      <c r="I22" s="640"/>
      <c r="J22" s="641">
        <f>SUM(I17:I20)-I21</f>
        <v>0</v>
      </c>
      <c r="K22" s="368"/>
      <c r="L22" s="357"/>
      <c r="N22" s="639" t="s">
        <v>130</v>
      </c>
      <c r="O22" s="640"/>
      <c r="P22" s="641">
        <f>SUM(O17:O20)-O21</f>
        <v>0</v>
      </c>
      <c r="Q22" s="368"/>
      <c r="R22" s="357"/>
      <c r="T22" s="639" t="s">
        <v>130</v>
      </c>
      <c r="U22" s="640"/>
      <c r="V22" s="641">
        <f>SUM(U17:U20)-U21</f>
        <v>0</v>
      </c>
      <c r="W22" s="368"/>
      <c r="X22" s="357"/>
      <c r="Z22" s="639" t="s">
        <v>130</v>
      </c>
      <c r="AA22" s="640"/>
      <c r="AB22" s="641">
        <f>SUM(AA17:AA20)-AA21</f>
        <v>0</v>
      </c>
      <c r="AC22" s="368"/>
      <c r="AD22" s="357"/>
      <c r="AF22" s="639" t="s">
        <v>130</v>
      </c>
      <c r="AG22" s="640"/>
      <c r="AH22" s="641">
        <f>SUM(AG17:AG20)-AG21</f>
        <v>0</v>
      </c>
      <c r="AI22" s="368"/>
      <c r="AJ22" s="357"/>
      <c r="AL22" s="639" t="s">
        <v>130</v>
      </c>
      <c r="AM22" s="640"/>
      <c r="AN22" s="641">
        <f>SUM(AM17:AM20)-AM21</f>
        <v>0</v>
      </c>
      <c r="AO22" s="368"/>
      <c r="AP22" s="357"/>
      <c r="AR22" s="639" t="s">
        <v>130</v>
      </c>
      <c r="AS22" s="640"/>
      <c r="AT22" s="641">
        <f>SUM(AS17:AS20)-AS21</f>
        <v>0</v>
      </c>
      <c r="AU22" s="368"/>
      <c r="AV22" s="357"/>
    </row>
    <row r="23" spans="1:48" s="116" customFormat="1" ht="14.1" customHeight="1">
      <c r="A23" s="117"/>
      <c r="B23" s="647" t="s">
        <v>131</v>
      </c>
      <c r="C23" s="637"/>
      <c r="D23" s="271">
        <v>0</v>
      </c>
      <c r="E23" s="368"/>
      <c r="F23" s="357"/>
      <c r="H23" s="647" t="s">
        <v>131</v>
      </c>
      <c r="I23" s="637"/>
      <c r="J23" s="271">
        <v>0</v>
      </c>
      <c r="K23" s="368"/>
      <c r="L23" s="357"/>
      <c r="N23" s="647" t="s">
        <v>131</v>
      </c>
      <c r="O23" s="637"/>
      <c r="P23" s="271">
        <v>0</v>
      </c>
      <c r="Q23" s="368"/>
      <c r="R23" s="357"/>
      <c r="T23" s="647" t="s">
        <v>131</v>
      </c>
      <c r="U23" s="637"/>
      <c r="V23" s="271">
        <v>0</v>
      </c>
      <c r="W23" s="368"/>
      <c r="X23" s="357"/>
      <c r="Z23" s="647" t="s">
        <v>131</v>
      </c>
      <c r="AA23" s="637"/>
      <c r="AB23" s="271">
        <v>0</v>
      </c>
      <c r="AC23" s="368"/>
      <c r="AD23" s="357"/>
      <c r="AF23" s="647" t="s">
        <v>131</v>
      </c>
      <c r="AG23" s="637"/>
      <c r="AH23" s="271">
        <v>0</v>
      </c>
      <c r="AI23" s="368"/>
      <c r="AJ23" s="357"/>
      <c r="AL23" s="647" t="s">
        <v>131</v>
      </c>
      <c r="AM23" s="637"/>
      <c r="AN23" s="271">
        <v>0</v>
      </c>
      <c r="AO23" s="368"/>
      <c r="AP23" s="357"/>
      <c r="AR23" s="647" t="s">
        <v>131</v>
      </c>
      <c r="AS23" s="637"/>
      <c r="AT23" s="271">
        <v>0</v>
      </c>
      <c r="AU23" s="368"/>
      <c r="AV23" s="357"/>
    </row>
    <row r="24" spans="1:48" s="116" customFormat="1" ht="14.1" customHeight="1" thickBot="1">
      <c r="A24" s="117"/>
      <c r="B24" s="647" t="s">
        <v>132</v>
      </c>
      <c r="C24" s="640"/>
      <c r="D24" s="640"/>
      <c r="E24" s="648">
        <f>SUM(D23,D22,D14)</f>
        <v>5012.5104195601853</v>
      </c>
      <c r="F24" s="357"/>
      <c r="H24" s="647" t="s">
        <v>132</v>
      </c>
      <c r="I24" s="640"/>
      <c r="J24" s="640"/>
      <c r="K24" s="648">
        <f>SUM(J23,J22,J14)</f>
        <v>5025.0521412398839</v>
      </c>
      <c r="L24" s="357"/>
      <c r="N24" s="647" t="s">
        <v>132</v>
      </c>
      <c r="O24" s="640"/>
      <c r="P24" s="640"/>
      <c r="Q24" s="648">
        <f>SUM(P23,P22,P14)</f>
        <v>5037.6252433596273</v>
      </c>
      <c r="R24" s="357"/>
      <c r="T24" s="647" t="s">
        <v>132</v>
      </c>
      <c r="U24" s="640"/>
      <c r="V24" s="640"/>
      <c r="W24" s="648">
        <f>SUM(V23,V22,V14)</f>
        <v>5050.2298044359095</v>
      </c>
      <c r="X24" s="357"/>
      <c r="Z24" s="647" t="s">
        <v>132</v>
      </c>
      <c r="AA24" s="640"/>
      <c r="AB24" s="640"/>
      <c r="AC24" s="648">
        <f>SUM(AB23,AB22,AB14)</f>
        <v>5100.9642155225529</v>
      </c>
      <c r="AD24" s="357"/>
      <c r="AF24" s="647" t="s">
        <v>132</v>
      </c>
      <c r="AG24" s="640"/>
      <c r="AH24" s="640"/>
      <c r="AI24" s="648">
        <f>SUM(AH23,AH22,AH14)</f>
        <v>5152.1654628453807</v>
      </c>
      <c r="AJ24" s="357"/>
      <c r="AL24" s="647" t="s">
        <v>132</v>
      </c>
      <c r="AM24" s="640"/>
      <c r="AN24" s="640"/>
      <c r="AO24" s="648">
        <f>SUM(AN23,AN22,AN14)</f>
        <v>5203.8806458902891</v>
      </c>
      <c r="AP24" s="357"/>
      <c r="AR24" s="647" t="s">
        <v>132</v>
      </c>
      <c r="AS24" s="640"/>
      <c r="AT24" s="640"/>
      <c r="AU24" s="648">
        <f>SUM(AT23,AT22,AT14)</f>
        <v>5255.9194523491924</v>
      </c>
      <c r="AV24" s="357"/>
    </row>
    <row r="25" spans="1:48" s="116" customFormat="1" ht="14.1" customHeight="1" thickTop="1">
      <c r="A25" s="117"/>
      <c r="B25" s="473"/>
      <c r="C25" s="635"/>
      <c r="D25" s="368"/>
      <c r="E25" s="368"/>
      <c r="F25" s="357"/>
      <c r="H25" s="473"/>
      <c r="I25" s="635"/>
      <c r="J25" s="368"/>
      <c r="K25" s="368"/>
      <c r="L25" s="357"/>
      <c r="N25" s="473"/>
      <c r="O25" s="635"/>
      <c r="P25" s="368"/>
      <c r="Q25" s="368"/>
      <c r="R25" s="357"/>
      <c r="T25" s="473"/>
      <c r="U25" s="635"/>
      <c r="V25" s="368"/>
      <c r="W25" s="368"/>
      <c r="X25" s="357"/>
      <c r="Z25" s="473"/>
      <c r="AA25" s="635"/>
      <c r="AB25" s="368"/>
      <c r="AC25" s="368"/>
      <c r="AD25" s="357"/>
      <c r="AF25" s="473"/>
      <c r="AG25" s="635"/>
      <c r="AH25" s="368"/>
      <c r="AI25" s="368"/>
      <c r="AJ25" s="357"/>
      <c r="AL25" s="473"/>
      <c r="AM25" s="635"/>
      <c r="AN25" s="368"/>
      <c r="AO25" s="368"/>
      <c r="AP25" s="357"/>
      <c r="AR25" s="473"/>
      <c r="AS25" s="635"/>
      <c r="AT25" s="368"/>
      <c r="AU25" s="368"/>
      <c r="AV25" s="357"/>
    </row>
    <row r="26" spans="1:48" s="652" customFormat="1" ht="14.1" customHeight="1">
      <c r="A26" s="649"/>
      <c r="B26" s="647" t="s">
        <v>133</v>
      </c>
      <c r="C26" s="640"/>
      <c r="D26" s="650"/>
      <c r="E26" s="650"/>
      <c r="F26" s="651"/>
      <c r="H26" s="647" t="s">
        <v>133</v>
      </c>
      <c r="I26" s="640"/>
      <c r="J26" s="650"/>
      <c r="K26" s="650"/>
      <c r="L26" s="651"/>
      <c r="N26" s="647" t="s">
        <v>133</v>
      </c>
      <c r="O26" s="640"/>
      <c r="P26" s="650"/>
      <c r="Q26" s="650"/>
      <c r="R26" s="651"/>
      <c r="T26" s="647" t="s">
        <v>133</v>
      </c>
      <c r="U26" s="640"/>
      <c r="V26" s="650"/>
      <c r="W26" s="650"/>
      <c r="X26" s="651"/>
      <c r="Z26" s="647" t="s">
        <v>133</v>
      </c>
      <c r="AA26" s="640"/>
      <c r="AB26" s="650"/>
      <c r="AC26" s="650"/>
      <c r="AD26" s="651"/>
      <c r="AF26" s="647" t="s">
        <v>133</v>
      </c>
      <c r="AG26" s="640"/>
      <c r="AH26" s="650"/>
      <c r="AI26" s="650"/>
      <c r="AJ26" s="651"/>
      <c r="AL26" s="647" t="s">
        <v>133</v>
      </c>
      <c r="AM26" s="640"/>
      <c r="AN26" s="650"/>
      <c r="AO26" s="650"/>
      <c r="AP26" s="651"/>
      <c r="AR26" s="647" t="s">
        <v>133</v>
      </c>
      <c r="AS26" s="640"/>
      <c r="AT26" s="650"/>
      <c r="AU26" s="650"/>
      <c r="AV26" s="651"/>
    </row>
    <row r="27" spans="1:48" s="116" customFormat="1" ht="14.1" customHeight="1">
      <c r="A27" s="117"/>
      <c r="B27" s="113" t="s">
        <v>134</v>
      </c>
      <c r="C27" s="643"/>
      <c r="D27" s="368"/>
      <c r="E27" s="368"/>
      <c r="F27" s="357"/>
      <c r="H27" s="113" t="s">
        <v>134</v>
      </c>
      <c r="I27" s="643"/>
      <c r="J27" s="368"/>
      <c r="K27" s="368"/>
      <c r="L27" s="357"/>
      <c r="N27" s="113" t="s">
        <v>134</v>
      </c>
      <c r="O27" s="643"/>
      <c r="P27" s="368"/>
      <c r="Q27" s="368"/>
      <c r="R27" s="357"/>
      <c r="T27" s="113" t="s">
        <v>134</v>
      </c>
      <c r="U27" s="643"/>
      <c r="V27" s="368"/>
      <c r="W27" s="368"/>
      <c r="X27" s="357"/>
      <c r="Z27" s="113" t="s">
        <v>134</v>
      </c>
      <c r="AA27" s="643"/>
      <c r="AB27" s="368"/>
      <c r="AC27" s="368"/>
      <c r="AD27" s="357"/>
      <c r="AF27" s="113" t="s">
        <v>134</v>
      </c>
      <c r="AG27" s="643"/>
      <c r="AH27" s="368"/>
      <c r="AI27" s="368"/>
      <c r="AJ27" s="357"/>
      <c r="AL27" s="113" t="s">
        <v>134</v>
      </c>
      <c r="AM27" s="643"/>
      <c r="AN27" s="368"/>
      <c r="AO27" s="368"/>
      <c r="AP27" s="357"/>
      <c r="AR27" s="113" t="s">
        <v>134</v>
      </c>
      <c r="AS27" s="643"/>
      <c r="AT27" s="368"/>
      <c r="AU27" s="368"/>
      <c r="AV27" s="357"/>
    </row>
    <row r="28" spans="1:48" s="116" customFormat="1" ht="14.1" customHeight="1">
      <c r="A28" s="117"/>
      <c r="B28" s="473" t="s">
        <v>135</v>
      </c>
      <c r="C28" s="644">
        <f>Config!AE166</f>
        <v>0</v>
      </c>
      <c r="D28" s="645"/>
      <c r="E28" s="368"/>
      <c r="F28" s="357"/>
      <c r="H28" s="473" t="s">
        <v>135</v>
      </c>
      <c r="I28" s="644">
        <f>Config!AH166</f>
        <v>0</v>
      </c>
      <c r="J28" s="645"/>
      <c r="K28" s="368"/>
      <c r="L28" s="357"/>
      <c r="N28" s="473" t="s">
        <v>135</v>
      </c>
      <c r="O28" s="644">
        <f>Config!AK166</f>
        <v>0</v>
      </c>
      <c r="P28" s="645"/>
      <c r="Q28" s="368"/>
      <c r="R28" s="357"/>
      <c r="T28" s="473" t="s">
        <v>135</v>
      </c>
      <c r="U28" s="644">
        <f>Config!AN166</f>
        <v>0</v>
      </c>
      <c r="V28" s="645"/>
      <c r="W28" s="368"/>
      <c r="X28" s="357"/>
      <c r="Z28" s="473" t="s">
        <v>135</v>
      </c>
      <c r="AA28" s="644">
        <f>Config!AQ166</f>
        <v>0</v>
      </c>
      <c r="AB28" s="645"/>
      <c r="AC28" s="368"/>
      <c r="AD28" s="357"/>
      <c r="AF28" s="473" t="s">
        <v>135</v>
      </c>
      <c r="AG28" s="644">
        <f>Config!AT166</f>
        <v>0</v>
      </c>
      <c r="AH28" s="645"/>
      <c r="AI28" s="368"/>
      <c r="AJ28" s="357"/>
      <c r="AL28" s="473" t="s">
        <v>135</v>
      </c>
      <c r="AM28" s="644">
        <f>Config!AW166</f>
        <v>0</v>
      </c>
      <c r="AN28" s="645"/>
      <c r="AO28" s="368"/>
      <c r="AP28" s="357"/>
      <c r="AR28" s="473" t="s">
        <v>135</v>
      </c>
      <c r="AS28" s="644">
        <f>Config!AZ166</f>
        <v>0</v>
      </c>
      <c r="AT28" s="645"/>
      <c r="AU28" s="368"/>
      <c r="AV28" s="357"/>
    </row>
    <row r="29" spans="1:48" s="116" customFormat="1" ht="14.1" customHeight="1">
      <c r="A29" s="117"/>
      <c r="B29" s="473" t="s">
        <v>311</v>
      </c>
      <c r="C29" s="666">
        <f>(SUM(IncSt!C35:E35))-(SUM(CshFlw!C24:E24))</f>
        <v>0</v>
      </c>
      <c r="D29" s="645"/>
      <c r="E29" s="368"/>
      <c r="F29" s="357"/>
      <c r="H29" s="473" t="s">
        <v>311</v>
      </c>
      <c r="I29" s="666">
        <f>(SUM(IncSt!C35:H35))-(SUM(CshFlw!C24:H24))</f>
        <v>0</v>
      </c>
      <c r="J29" s="645"/>
      <c r="K29" s="368"/>
      <c r="L29" s="357"/>
      <c r="N29" s="473" t="s">
        <v>311</v>
      </c>
      <c r="O29" s="666">
        <f>(SUM(IncSt!C35:K35))-(SUM(CshFlw!C24:K24))</f>
        <v>0</v>
      </c>
      <c r="P29" s="645"/>
      <c r="Q29" s="368"/>
      <c r="R29" s="357"/>
      <c r="T29" s="473" t="s">
        <v>311</v>
      </c>
      <c r="U29" s="666">
        <f>(SUM(IncSt!O35))-(SUM(CshFlw!O24))</f>
        <v>0</v>
      </c>
      <c r="V29" s="645"/>
      <c r="W29" s="368"/>
      <c r="X29" s="357"/>
      <c r="Z29" s="473" t="s">
        <v>311</v>
      </c>
      <c r="AA29" s="666">
        <f>U29+IncSt!AC35-CshFlw!AC24</f>
        <v>0</v>
      </c>
      <c r="AB29" s="645"/>
      <c r="AC29" s="368"/>
      <c r="AD29" s="357"/>
      <c r="AF29" s="473" t="s">
        <v>311</v>
      </c>
      <c r="AG29" s="666">
        <f>AA29+IncSt!AI35-CshFlw!AI24</f>
        <v>0</v>
      </c>
      <c r="AH29" s="645"/>
      <c r="AI29" s="368"/>
      <c r="AJ29" s="357"/>
      <c r="AL29" s="473" t="s">
        <v>311</v>
      </c>
      <c r="AM29" s="666">
        <f>AG29+IncSt!AO35-CshFlw!AO24</f>
        <v>0</v>
      </c>
      <c r="AN29" s="645"/>
      <c r="AO29" s="368"/>
      <c r="AP29" s="357"/>
      <c r="AR29" s="473" t="s">
        <v>311</v>
      </c>
      <c r="AS29" s="666">
        <f>AM29+IncSt!AQ35-CshFlw!AQ24</f>
        <v>0</v>
      </c>
      <c r="AT29" s="645"/>
      <c r="AU29" s="368"/>
      <c r="AV29" s="357"/>
    </row>
    <row r="30" spans="1:48" s="116" customFormat="1" ht="14.1" customHeight="1">
      <c r="A30" s="117"/>
      <c r="B30" s="473" t="s">
        <v>210</v>
      </c>
      <c r="C30" s="268">
        <v>0</v>
      </c>
      <c r="D30" s="645"/>
      <c r="E30" s="368"/>
      <c r="F30" s="357"/>
      <c r="H30" s="473" t="s">
        <v>210</v>
      </c>
      <c r="I30" s="268">
        <v>0</v>
      </c>
      <c r="J30" s="645"/>
      <c r="K30" s="368"/>
      <c r="L30" s="357"/>
      <c r="N30" s="473" t="s">
        <v>210</v>
      </c>
      <c r="O30" s="268">
        <v>0</v>
      </c>
      <c r="P30" s="645"/>
      <c r="Q30" s="368"/>
      <c r="R30" s="357"/>
      <c r="T30" s="473" t="s">
        <v>210</v>
      </c>
      <c r="U30" s="268">
        <v>0</v>
      </c>
      <c r="V30" s="645"/>
      <c r="W30" s="368"/>
      <c r="X30" s="357"/>
      <c r="Z30" s="473" t="s">
        <v>210</v>
      </c>
      <c r="AA30" s="268">
        <v>0</v>
      </c>
      <c r="AB30" s="645"/>
      <c r="AC30" s="368"/>
      <c r="AD30" s="357"/>
      <c r="AF30" s="473" t="s">
        <v>210</v>
      </c>
      <c r="AG30" s="268">
        <v>0</v>
      </c>
      <c r="AH30" s="645"/>
      <c r="AI30" s="368"/>
      <c r="AJ30" s="357"/>
      <c r="AL30" s="473" t="s">
        <v>210</v>
      </c>
      <c r="AM30" s="268">
        <v>0</v>
      </c>
      <c r="AN30" s="645"/>
      <c r="AO30" s="368"/>
      <c r="AP30" s="357"/>
      <c r="AR30" s="473" t="s">
        <v>210</v>
      </c>
      <c r="AS30" s="268">
        <v>0</v>
      </c>
      <c r="AT30" s="645"/>
      <c r="AU30" s="368"/>
      <c r="AV30" s="357"/>
    </row>
    <row r="31" spans="1:48" s="116" customFormat="1" ht="14.1" customHeight="1">
      <c r="A31" s="117"/>
      <c r="B31" s="653" t="s">
        <v>136</v>
      </c>
      <c r="C31" s="654"/>
      <c r="D31" s="641">
        <f>SUM(C28:C30)</f>
        <v>0</v>
      </c>
      <c r="E31" s="368"/>
      <c r="F31" s="357"/>
      <c r="H31" s="653" t="s">
        <v>136</v>
      </c>
      <c r="I31" s="654"/>
      <c r="J31" s="641">
        <f>SUM(I28:I30)</f>
        <v>0</v>
      </c>
      <c r="K31" s="368"/>
      <c r="L31" s="357"/>
      <c r="N31" s="653" t="s">
        <v>136</v>
      </c>
      <c r="O31" s="643"/>
      <c r="P31" s="641">
        <f>SUM(O28:O30)</f>
        <v>0</v>
      </c>
      <c r="Q31" s="368"/>
      <c r="R31" s="357"/>
      <c r="T31" s="653" t="s">
        <v>136</v>
      </c>
      <c r="U31" s="643"/>
      <c r="V31" s="641">
        <f>SUM(U28:U30)</f>
        <v>0</v>
      </c>
      <c r="W31" s="368"/>
      <c r="X31" s="357"/>
      <c r="Z31" s="653" t="s">
        <v>136</v>
      </c>
      <c r="AA31" s="643"/>
      <c r="AB31" s="641">
        <f>SUM(AA28:AA30)</f>
        <v>0</v>
      </c>
      <c r="AC31" s="368"/>
      <c r="AD31" s="357"/>
      <c r="AF31" s="653" t="s">
        <v>136</v>
      </c>
      <c r="AG31" s="643"/>
      <c r="AH31" s="641">
        <f>SUM(AG28:AG30)</f>
        <v>0</v>
      </c>
      <c r="AI31" s="368"/>
      <c r="AJ31" s="357"/>
      <c r="AL31" s="653" t="s">
        <v>136</v>
      </c>
      <c r="AM31" s="654"/>
      <c r="AN31" s="641">
        <f>SUM(AM28:AM30)</f>
        <v>0</v>
      </c>
      <c r="AO31" s="368"/>
      <c r="AP31" s="357"/>
      <c r="AR31" s="653" t="s">
        <v>136</v>
      </c>
      <c r="AS31" s="643"/>
      <c r="AT31" s="641">
        <f>SUM(AS28:AS30)</f>
        <v>0</v>
      </c>
      <c r="AU31" s="368"/>
      <c r="AV31" s="357"/>
    </row>
    <row r="32" spans="1:48" ht="14.1" customHeight="1">
      <c r="B32" s="655"/>
      <c r="C32" s="635"/>
      <c r="D32" s="635"/>
      <c r="E32" s="368"/>
      <c r="F32" s="357"/>
      <c r="G32" s="116"/>
      <c r="H32" s="655"/>
      <c r="I32" s="635"/>
      <c r="J32" s="635"/>
      <c r="K32" s="368"/>
      <c r="L32" s="357"/>
      <c r="M32" s="116"/>
      <c r="N32" s="655"/>
      <c r="O32" s="635"/>
      <c r="P32" s="635"/>
      <c r="Q32" s="368"/>
      <c r="R32" s="357"/>
      <c r="S32" s="116"/>
      <c r="T32" s="655"/>
      <c r="U32" s="635"/>
      <c r="V32" s="635"/>
      <c r="W32" s="368"/>
      <c r="X32" s="357"/>
      <c r="Y32" s="116"/>
      <c r="Z32" s="655"/>
      <c r="AA32" s="635"/>
      <c r="AB32" s="635"/>
      <c r="AC32" s="368"/>
      <c r="AD32" s="357"/>
      <c r="AE32" s="116"/>
      <c r="AF32" s="655"/>
      <c r="AG32" s="635"/>
      <c r="AH32" s="635"/>
      <c r="AI32" s="368"/>
      <c r="AJ32" s="357"/>
      <c r="AK32" s="116"/>
      <c r="AL32" s="655"/>
      <c r="AM32" s="635"/>
      <c r="AN32" s="635"/>
      <c r="AO32" s="368"/>
      <c r="AP32" s="357"/>
      <c r="AQ32" s="116"/>
      <c r="AR32" s="655"/>
      <c r="AS32" s="635"/>
      <c r="AT32" s="635"/>
      <c r="AU32" s="368"/>
      <c r="AV32" s="773"/>
    </row>
    <row r="33" spans="2:48" ht="14.1" customHeight="1">
      <c r="B33" s="656" t="s">
        <v>137</v>
      </c>
      <c r="C33" s="657"/>
      <c r="D33" s="657"/>
      <c r="E33" s="368"/>
      <c r="F33" s="357"/>
      <c r="G33" s="116"/>
      <c r="H33" s="656" t="s">
        <v>137</v>
      </c>
      <c r="I33" s="657"/>
      <c r="J33" s="657"/>
      <c r="K33" s="368"/>
      <c r="L33" s="357"/>
      <c r="M33" s="116"/>
      <c r="N33" s="656" t="s">
        <v>137</v>
      </c>
      <c r="O33" s="657"/>
      <c r="P33" s="657"/>
      <c r="Q33" s="368"/>
      <c r="R33" s="357"/>
      <c r="S33" s="116"/>
      <c r="T33" s="656" t="s">
        <v>137</v>
      </c>
      <c r="U33" s="657"/>
      <c r="V33" s="657"/>
      <c r="W33" s="368"/>
      <c r="X33" s="357"/>
      <c r="Y33" s="116"/>
      <c r="Z33" s="656" t="s">
        <v>137</v>
      </c>
      <c r="AA33" s="657"/>
      <c r="AB33" s="657"/>
      <c r="AC33" s="368"/>
      <c r="AD33" s="357"/>
      <c r="AE33" s="116"/>
      <c r="AF33" s="656" t="s">
        <v>137</v>
      </c>
      <c r="AG33" s="657"/>
      <c r="AH33" s="657"/>
      <c r="AI33" s="368"/>
      <c r="AJ33" s="357"/>
      <c r="AK33" s="116"/>
      <c r="AL33" s="656" t="s">
        <v>137</v>
      </c>
      <c r="AM33" s="657"/>
      <c r="AN33" s="657"/>
      <c r="AO33" s="368"/>
      <c r="AP33" s="357"/>
      <c r="AQ33" s="116"/>
      <c r="AR33" s="656" t="s">
        <v>137</v>
      </c>
      <c r="AS33" s="657"/>
      <c r="AT33" s="657"/>
      <c r="AU33" s="368"/>
      <c r="AV33" s="773"/>
    </row>
    <row r="34" spans="2:48" ht="14.1" customHeight="1">
      <c r="B34" s="473" t="s">
        <v>138</v>
      </c>
      <c r="C34" s="644">
        <f>Config!AF166</f>
        <v>0</v>
      </c>
      <c r="D34" s="645"/>
      <c r="E34" s="368"/>
      <c r="F34" s="357"/>
      <c r="G34" s="116"/>
      <c r="H34" s="473" t="s">
        <v>138</v>
      </c>
      <c r="I34" s="644">
        <f>Config!AI166</f>
        <v>0</v>
      </c>
      <c r="J34" s="645"/>
      <c r="K34" s="368"/>
      <c r="L34" s="357"/>
      <c r="M34" s="116"/>
      <c r="N34" s="473" t="s">
        <v>138</v>
      </c>
      <c r="O34" s="644">
        <f>Config!AL166</f>
        <v>0</v>
      </c>
      <c r="P34" s="645"/>
      <c r="Q34" s="368"/>
      <c r="R34" s="357"/>
      <c r="S34" s="116"/>
      <c r="T34" s="473" t="s">
        <v>138</v>
      </c>
      <c r="U34" s="644">
        <f>Config!AO166</f>
        <v>0</v>
      </c>
      <c r="V34" s="645"/>
      <c r="W34" s="368"/>
      <c r="X34" s="357"/>
      <c r="Y34" s="116"/>
      <c r="Z34" s="473" t="s">
        <v>138</v>
      </c>
      <c r="AA34" s="644">
        <f>Config!AR166</f>
        <v>0</v>
      </c>
      <c r="AB34" s="645"/>
      <c r="AC34" s="368"/>
      <c r="AD34" s="357"/>
      <c r="AE34" s="116"/>
      <c r="AF34" s="473" t="s">
        <v>138</v>
      </c>
      <c r="AG34" s="644">
        <f>Config!AU166</f>
        <v>0</v>
      </c>
      <c r="AH34" s="645"/>
      <c r="AI34" s="368"/>
      <c r="AJ34" s="357"/>
      <c r="AK34" s="116"/>
      <c r="AL34" s="473" t="s">
        <v>138</v>
      </c>
      <c r="AM34" s="644">
        <f>Config!AX166</f>
        <v>0</v>
      </c>
      <c r="AN34" s="645"/>
      <c r="AO34" s="368"/>
      <c r="AP34" s="357"/>
      <c r="AQ34" s="116"/>
      <c r="AR34" s="473" t="s">
        <v>138</v>
      </c>
      <c r="AS34" s="644">
        <f>Config!BA166</f>
        <v>0</v>
      </c>
      <c r="AT34" s="645"/>
      <c r="AU34" s="368"/>
      <c r="AV34" s="773"/>
    </row>
    <row r="35" spans="2:48" ht="14.1" customHeight="1">
      <c r="B35" s="473" t="s">
        <v>211</v>
      </c>
      <c r="C35" s="269">
        <v>0</v>
      </c>
      <c r="D35" s="645"/>
      <c r="E35" s="368"/>
      <c r="F35" s="357"/>
      <c r="G35" s="116"/>
      <c r="H35" s="473" t="s">
        <v>211</v>
      </c>
      <c r="I35" s="269">
        <v>0</v>
      </c>
      <c r="J35" s="645"/>
      <c r="K35" s="368"/>
      <c r="L35" s="357"/>
      <c r="M35" s="116"/>
      <c r="N35" s="473" t="s">
        <v>211</v>
      </c>
      <c r="O35" s="269">
        <v>0</v>
      </c>
      <c r="P35" s="645"/>
      <c r="Q35" s="368"/>
      <c r="R35" s="357"/>
      <c r="S35" s="116"/>
      <c r="T35" s="473" t="s">
        <v>211</v>
      </c>
      <c r="U35" s="269">
        <v>0</v>
      </c>
      <c r="V35" s="645"/>
      <c r="W35" s="368"/>
      <c r="X35" s="357"/>
      <c r="Y35" s="116"/>
      <c r="Z35" s="473" t="s">
        <v>211</v>
      </c>
      <c r="AA35" s="269">
        <v>0</v>
      </c>
      <c r="AB35" s="645"/>
      <c r="AC35" s="368"/>
      <c r="AD35" s="357"/>
      <c r="AE35" s="116"/>
      <c r="AF35" s="473" t="s">
        <v>211</v>
      </c>
      <c r="AG35" s="269">
        <v>0</v>
      </c>
      <c r="AH35" s="645"/>
      <c r="AI35" s="368"/>
      <c r="AJ35" s="357"/>
      <c r="AK35" s="116"/>
      <c r="AL35" s="473" t="s">
        <v>211</v>
      </c>
      <c r="AM35" s="269">
        <v>0</v>
      </c>
      <c r="AN35" s="645"/>
      <c r="AO35" s="368"/>
      <c r="AP35" s="357"/>
      <c r="AQ35" s="116"/>
      <c r="AR35" s="473" t="s">
        <v>211</v>
      </c>
      <c r="AS35" s="269">
        <v>0</v>
      </c>
      <c r="AT35" s="645"/>
      <c r="AU35" s="368"/>
      <c r="AV35" s="773"/>
    </row>
    <row r="36" spans="2:48" ht="14.1" customHeight="1">
      <c r="B36" s="639" t="s">
        <v>139</v>
      </c>
      <c r="C36" s="640"/>
      <c r="D36" s="641">
        <f>C34+C35</f>
        <v>0</v>
      </c>
      <c r="E36" s="368"/>
      <c r="F36" s="357"/>
      <c r="G36" s="116"/>
      <c r="H36" s="639" t="s">
        <v>139</v>
      </c>
      <c r="I36" s="640"/>
      <c r="J36" s="641">
        <f>I34+I35</f>
        <v>0</v>
      </c>
      <c r="K36" s="368"/>
      <c r="L36" s="357"/>
      <c r="M36" s="116"/>
      <c r="N36" s="639" t="s">
        <v>139</v>
      </c>
      <c r="O36" s="640"/>
      <c r="P36" s="641">
        <f>O34+O35</f>
        <v>0</v>
      </c>
      <c r="Q36" s="368"/>
      <c r="R36" s="357"/>
      <c r="S36" s="116"/>
      <c r="T36" s="639" t="s">
        <v>139</v>
      </c>
      <c r="U36" s="640"/>
      <c r="V36" s="641">
        <f>U34+U35</f>
        <v>0</v>
      </c>
      <c r="W36" s="368"/>
      <c r="X36" s="357"/>
      <c r="Y36" s="116"/>
      <c r="Z36" s="639" t="s">
        <v>139</v>
      </c>
      <c r="AA36" s="640"/>
      <c r="AB36" s="641">
        <f>AA34+AA35</f>
        <v>0</v>
      </c>
      <c r="AC36" s="368"/>
      <c r="AD36" s="357"/>
      <c r="AE36" s="116"/>
      <c r="AF36" s="639" t="s">
        <v>139</v>
      </c>
      <c r="AG36" s="640"/>
      <c r="AH36" s="641">
        <f>AG34+AG35</f>
        <v>0</v>
      </c>
      <c r="AI36" s="368"/>
      <c r="AJ36" s="357"/>
      <c r="AK36" s="116"/>
      <c r="AL36" s="639" t="s">
        <v>139</v>
      </c>
      <c r="AM36" s="640"/>
      <c r="AN36" s="641">
        <f>AM34+AM35</f>
        <v>0</v>
      </c>
      <c r="AO36" s="368"/>
      <c r="AP36" s="357"/>
      <c r="AQ36" s="116"/>
      <c r="AR36" s="639" t="s">
        <v>139</v>
      </c>
      <c r="AS36" s="640"/>
      <c r="AT36" s="641">
        <f>AS34+AS35</f>
        <v>0</v>
      </c>
      <c r="AU36" s="368"/>
      <c r="AV36" s="773"/>
    </row>
    <row r="37" spans="2:48" ht="14.1" customHeight="1">
      <c r="B37" s="658"/>
      <c r="C37" s="635"/>
      <c r="D37" s="635"/>
      <c r="E37" s="368"/>
      <c r="F37" s="357"/>
      <c r="G37" s="116"/>
      <c r="H37" s="658"/>
      <c r="I37" s="635"/>
      <c r="J37" s="635"/>
      <c r="K37" s="368"/>
      <c r="L37" s="357"/>
      <c r="M37" s="116"/>
      <c r="N37" s="658"/>
      <c r="O37" s="635"/>
      <c r="P37" s="635"/>
      <c r="Q37" s="368"/>
      <c r="R37" s="357"/>
      <c r="S37" s="116"/>
      <c r="T37" s="658"/>
      <c r="U37" s="635"/>
      <c r="V37" s="635"/>
      <c r="W37" s="368"/>
      <c r="X37" s="357"/>
      <c r="Y37" s="116"/>
      <c r="Z37" s="658"/>
      <c r="AA37" s="635"/>
      <c r="AB37" s="635"/>
      <c r="AC37" s="368"/>
      <c r="AD37" s="357"/>
      <c r="AE37" s="116"/>
      <c r="AF37" s="658"/>
      <c r="AG37" s="635"/>
      <c r="AH37" s="635"/>
      <c r="AI37" s="368"/>
      <c r="AJ37" s="357"/>
      <c r="AK37" s="116"/>
      <c r="AL37" s="658"/>
      <c r="AM37" s="635"/>
      <c r="AN37" s="635"/>
      <c r="AO37" s="368"/>
      <c r="AP37" s="357"/>
      <c r="AQ37" s="116"/>
      <c r="AR37" s="658"/>
      <c r="AS37" s="635"/>
      <c r="AT37" s="635"/>
      <c r="AU37" s="368"/>
      <c r="AV37" s="773"/>
    </row>
    <row r="38" spans="2:48" ht="14.1" customHeight="1">
      <c r="B38" s="659" t="s">
        <v>152</v>
      </c>
      <c r="C38" s="660"/>
      <c r="D38" s="660"/>
      <c r="E38" s="368"/>
      <c r="F38" s="357"/>
      <c r="G38" s="116"/>
      <c r="H38" s="659" t="s">
        <v>152</v>
      </c>
      <c r="I38" s="660"/>
      <c r="J38" s="660"/>
      <c r="K38" s="368"/>
      <c r="L38" s="357"/>
      <c r="M38" s="116"/>
      <c r="N38" s="659" t="s">
        <v>152</v>
      </c>
      <c r="O38" s="660"/>
      <c r="P38" s="660"/>
      <c r="Q38" s="368"/>
      <c r="R38" s="357"/>
      <c r="S38" s="116"/>
      <c r="T38" s="659" t="s">
        <v>152</v>
      </c>
      <c r="U38" s="660"/>
      <c r="V38" s="660"/>
      <c r="W38" s="368"/>
      <c r="X38" s="357"/>
      <c r="Y38" s="116"/>
      <c r="Z38" s="659" t="s">
        <v>152</v>
      </c>
      <c r="AA38" s="660"/>
      <c r="AB38" s="660"/>
      <c r="AC38" s="368"/>
      <c r="AD38" s="357"/>
      <c r="AE38" s="116"/>
      <c r="AF38" s="659" t="s">
        <v>152</v>
      </c>
      <c r="AG38" s="660"/>
      <c r="AH38" s="660"/>
      <c r="AI38" s="368"/>
      <c r="AJ38" s="357"/>
      <c r="AK38" s="116"/>
      <c r="AL38" s="659" t="s">
        <v>152</v>
      </c>
      <c r="AM38" s="660"/>
      <c r="AN38" s="660"/>
      <c r="AO38" s="368"/>
      <c r="AP38" s="357"/>
      <c r="AQ38" s="116"/>
      <c r="AR38" s="659" t="s">
        <v>152</v>
      </c>
      <c r="AS38" s="660"/>
      <c r="AT38" s="660"/>
      <c r="AU38" s="368"/>
      <c r="AV38" s="773"/>
    </row>
    <row r="39" spans="2:48" ht="14.1" customHeight="1">
      <c r="B39" s="661" t="s">
        <v>280</v>
      </c>
      <c r="C39" s="662">
        <f>StartupCash+SUM(CshFlw!C13:E13)</f>
        <v>5000</v>
      </c>
      <c r="D39" s="663"/>
      <c r="E39" s="368"/>
      <c r="F39" s="357"/>
      <c r="G39" s="116"/>
      <c r="H39" s="661" t="s">
        <v>280</v>
      </c>
      <c r="I39" s="662">
        <f>C39+SUM(CshFlw!F13:H13)</f>
        <v>5000</v>
      </c>
      <c r="J39" s="663"/>
      <c r="K39" s="368"/>
      <c r="L39" s="357"/>
      <c r="M39" s="116"/>
      <c r="N39" s="661" t="s">
        <v>280</v>
      </c>
      <c r="O39" s="662">
        <f>I39+SUM(CshFlw!I13:K13)</f>
        <v>5000</v>
      </c>
      <c r="P39" s="663"/>
      <c r="Q39" s="368"/>
      <c r="R39" s="357"/>
      <c r="S39" s="116"/>
      <c r="T39" s="661" t="s">
        <v>280</v>
      </c>
      <c r="U39" s="662">
        <f>O39+SUM(CshFlw!L13:N13)</f>
        <v>5000</v>
      </c>
      <c r="V39" s="663"/>
      <c r="W39" s="368"/>
      <c r="X39" s="357"/>
      <c r="Y39" s="116"/>
      <c r="Z39" s="661" t="s">
        <v>280</v>
      </c>
      <c r="AA39" s="662">
        <f>U39+CshFlw!AC13</f>
        <v>5000</v>
      </c>
      <c r="AB39" s="663"/>
      <c r="AC39" s="368"/>
      <c r="AD39" s="357"/>
      <c r="AE39" s="116"/>
      <c r="AF39" s="661" t="s">
        <v>280</v>
      </c>
      <c r="AG39" s="662">
        <f>AA39+CshFlw!AI13</f>
        <v>5000</v>
      </c>
      <c r="AH39" s="663"/>
      <c r="AI39" s="368"/>
      <c r="AJ39" s="357"/>
      <c r="AK39" s="116"/>
      <c r="AL39" s="661" t="s">
        <v>280</v>
      </c>
      <c r="AM39" s="662">
        <f>AG39+CshFlw!AO13</f>
        <v>5000</v>
      </c>
      <c r="AN39" s="663"/>
      <c r="AO39" s="368"/>
      <c r="AP39" s="357"/>
      <c r="AQ39" s="116"/>
      <c r="AR39" s="661" t="s">
        <v>280</v>
      </c>
      <c r="AS39" s="662">
        <f>AM39+CshFlw!AQ13</f>
        <v>5000</v>
      </c>
      <c r="AT39" s="663"/>
      <c r="AU39" s="368"/>
      <c r="AV39" s="773"/>
    </row>
    <row r="40" spans="2:48" ht="14.1" customHeight="1">
      <c r="B40" s="661" t="s">
        <v>140</v>
      </c>
      <c r="C40" s="662">
        <f>E24-D31-D36-C39</f>
        <v>12.510419560185255</v>
      </c>
      <c r="D40" s="663"/>
      <c r="E40" s="368"/>
      <c r="F40" s="357"/>
      <c r="G40" s="116"/>
      <c r="H40" s="661" t="s">
        <v>140</v>
      </c>
      <c r="I40" s="662">
        <f>K24-J31-J36-I39</f>
        <v>25.052141239883895</v>
      </c>
      <c r="J40" s="663"/>
      <c r="K40" s="368"/>
      <c r="L40" s="357"/>
      <c r="M40" s="116"/>
      <c r="N40" s="661" t="s">
        <v>140</v>
      </c>
      <c r="O40" s="662">
        <f>Q24-P31-P36-O39</f>
        <v>37.625243359627348</v>
      </c>
      <c r="P40" s="663"/>
      <c r="Q40" s="368"/>
      <c r="R40" s="357"/>
      <c r="S40" s="116"/>
      <c r="T40" s="661" t="s">
        <v>140</v>
      </c>
      <c r="U40" s="662">
        <f>W24-V31-V36-U39</f>
        <v>50.2298044359095</v>
      </c>
      <c r="V40" s="663"/>
      <c r="W40" s="368"/>
      <c r="X40" s="357"/>
      <c r="Y40" s="116"/>
      <c r="Z40" s="661" t="s">
        <v>140</v>
      </c>
      <c r="AA40" s="662">
        <f>AC24-AB31-AB36-AA39</f>
        <v>100.96421552255288</v>
      </c>
      <c r="AB40" s="663"/>
      <c r="AC40" s="368"/>
      <c r="AD40" s="357"/>
      <c r="AE40" s="116"/>
      <c r="AF40" s="661" t="s">
        <v>140</v>
      </c>
      <c r="AG40" s="662">
        <f>AI24-AH31-AH36-AG39</f>
        <v>152.16546284538072</v>
      </c>
      <c r="AH40" s="663"/>
      <c r="AI40" s="368"/>
      <c r="AJ40" s="357"/>
      <c r="AK40" s="116"/>
      <c r="AL40" s="661" t="s">
        <v>140</v>
      </c>
      <c r="AM40" s="662">
        <f>AO24-AN31-AN36-AM39</f>
        <v>203.88064589028909</v>
      </c>
      <c r="AN40" s="663"/>
      <c r="AO40" s="368"/>
      <c r="AP40" s="357"/>
      <c r="AQ40" s="116"/>
      <c r="AR40" s="661" t="s">
        <v>140</v>
      </c>
      <c r="AS40" s="662">
        <f>AU24-AT31-AT36-AS39</f>
        <v>255.9194523491924</v>
      </c>
      <c r="AT40" s="663"/>
      <c r="AU40" s="368"/>
      <c r="AV40" s="773"/>
    </row>
    <row r="41" spans="2:48" ht="14.1" customHeight="1">
      <c r="B41" s="664" t="s">
        <v>141</v>
      </c>
      <c r="C41" s="660"/>
      <c r="D41" s="665">
        <f>SUM(C39:C40)</f>
        <v>5012.5104195601853</v>
      </c>
      <c r="E41" s="368"/>
      <c r="F41" s="357"/>
      <c r="G41" s="116"/>
      <c r="H41" s="664" t="s">
        <v>141</v>
      </c>
      <c r="I41" s="660"/>
      <c r="J41" s="665">
        <f>SUM(I39:I40)</f>
        <v>5025.0521412398839</v>
      </c>
      <c r="K41" s="368"/>
      <c r="L41" s="357"/>
      <c r="M41" s="116"/>
      <c r="N41" s="664" t="s">
        <v>141</v>
      </c>
      <c r="O41" s="660"/>
      <c r="P41" s="665">
        <f>SUM(O39:O40)</f>
        <v>5037.6252433596273</v>
      </c>
      <c r="Q41" s="368"/>
      <c r="R41" s="357"/>
      <c r="S41" s="116"/>
      <c r="T41" s="664" t="s">
        <v>141</v>
      </c>
      <c r="U41" s="660"/>
      <c r="V41" s="665">
        <f>SUM(U39:U40)</f>
        <v>5050.2298044359095</v>
      </c>
      <c r="W41" s="368"/>
      <c r="X41" s="357"/>
      <c r="Y41" s="116"/>
      <c r="Z41" s="664" t="s">
        <v>141</v>
      </c>
      <c r="AA41" s="660"/>
      <c r="AB41" s="665">
        <f>SUM(AA39:AA40)</f>
        <v>5100.9642155225529</v>
      </c>
      <c r="AC41" s="368"/>
      <c r="AD41" s="357"/>
      <c r="AE41" s="116"/>
      <c r="AF41" s="664" t="s">
        <v>141</v>
      </c>
      <c r="AG41" s="660"/>
      <c r="AH41" s="665">
        <f>SUM(AG39:AG40)</f>
        <v>5152.1654628453807</v>
      </c>
      <c r="AI41" s="368"/>
      <c r="AJ41" s="357"/>
      <c r="AK41" s="116"/>
      <c r="AL41" s="664" t="s">
        <v>141</v>
      </c>
      <c r="AM41" s="660"/>
      <c r="AN41" s="665">
        <f>SUM(AM39:AM40)</f>
        <v>5203.8806458902891</v>
      </c>
      <c r="AO41" s="368"/>
      <c r="AP41" s="357"/>
      <c r="AQ41" s="116"/>
      <c r="AR41" s="664" t="s">
        <v>141</v>
      </c>
      <c r="AS41" s="660"/>
      <c r="AT41" s="665">
        <f>SUM(AS39:AS40)</f>
        <v>5255.9194523491924</v>
      </c>
      <c r="AU41" s="368"/>
      <c r="AV41" s="773"/>
    </row>
    <row r="42" spans="2:48" ht="14.1" customHeight="1" thickBot="1">
      <c r="B42" s="659" t="s">
        <v>142</v>
      </c>
      <c r="C42" s="660"/>
      <c r="D42" s="660"/>
      <c r="E42" s="648">
        <f>SUM(D41,D36,D31)</f>
        <v>5012.5104195601853</v>
      </c>
      <c r="F42" s="357"/>
      <c r="G42" s="116"/>
      <c r="H42" s="659" t="s">
        <v>142</v>
      </c>
      <c r="I42" s="660"/>
      <c r="J42" s="660"/>
      <c r="K42" s="648">
        <f>SUM(J41,J36,J31)</f>
        <v>5025.0521412398839</v>
      </c>
      <c r="L42" s="357"/>
      <c r="M42" s="116"/>
      <c r="N42" s="659" t="s">
        <v>142</v>
      </c>
      <c r="O42" s="660"/>
      <c r="P42" s="660"/>
      <c r="Q42" s="648">
        <f>SUM(P41,P36,P31)</f>
        <v>5037.6252433596273</v>
      </c>
      <c r="R42" s="357"/>
      <c r="S42" s="116"/>
      <c r="T42" s="659" t="s">
        <v>142</v>
      </c>
      <c r="U42" s="660"/>
      <c r="V42" s="660"/>
      <c r="W42" s="648">
        <f>SUM(V41,V36,V31)</f>
        <v>5050.2298044359095</v>
      </c>
      <c r="X42" s="357"/>
      <c r="Y42" s="116"/>
      <c r="Z42" s="659" t="s">
        <v>142</v>
      </c>
      <c r="AA42" s="660"/>
      <c r="AB42" s="660"/>
      <c r="AC42" s="648">
        <f>SUM(AB41,AB36,AB31)</f>
        <v>5100.9642155225529</v>
      </c>
      <c r="AD42" s="357"/>
      <c r="AE42" s="116"/>
      <c r="AF42" s="659" t="s">
        <v>142</v>
      </c>
      <c r="AG42" s="660"/>
      <c r="AH42" s="660"/>
      <c r="AI42" s="648">
        <f>SUM(AH41,AH36,AH31)</f>
        <v>5152.1654628453807</v>
      </c>
      <c r="AJ42" s="357"/>
      <c r="AK42" s="116"/>
      <c r="AL42" s="659" t="s">
        <v>142</v>
      </c>
      <c r="AM42" s="660"/>
      <c r="AN42" s="660"/>
      <c r="AO42" s="648">
        <f>SUM(AN41,AN36,AN31)</f>
        <v>5203.8806458902891</v>
      </c>
      <c r="AP42" s="357"/>
      <c r="AQ42" s="116"/>
      <c r="AR42" s="659" t="s">
        <v>142</v>
      </c>
      <c r="AS42" s="660"/>
      <c r="AT42" s="660"/>
      <c r="AU42" s="648">
        <f>SUM(AT41,AT36,AT31)</f>
        <v>5255.9194523491924</v>
      </c>
      <c r="AV42" s="773"/>
    </row>
    <row r="43" spans="2:48" ht="15.75" thickTop="1">
      <c r="B43" s="771"/>
      <c r="C43" s="770"/>
      <c r="D43" s="770"/>
      <c r="E43" s="770"/>
      <c r="F43" s="772"/>
      <c r="H43" s="771"/>
      <c r="I43" s="770"/>
      <c r="J43" s="770"/>
      <c r="K43" s="770"/>
      <c r="L43" s="772"/>
      <c r="N43" s="771"/>
      <c r="O43" s="770"/>
      <c r="P43" s="770"/>
      <c r="Q43" s="770"/>
      <c r="R43" s="772"/>
      <c r="T43" s="771"/>
      <c r="U43" s="770"/>
      <c r="V43" s="770"/>
      <c r="W43" s="770"/>
      <c r="X43" s="772"/>
      <c r="Z43" s="771"/>
      <c r="AA43" s="770"/>
      <c r="AB43" s="770"/>
      <c r="AC43" s="770"/>
      <c r="AD43" s="772"/>
      <c r="AF43" s="771"/>
      <c r="AG43" s="770"/>
      <c r="AH43" s="770"/>
      <c r="AI43" s="770"/>
      <c r="AJ43" s="772"/>
      <c r="AL43" s="771"/>
      <c r="AM43" s="770"/>
      <c r="AN43" s="770"/>
      <c r="AO43" s="770"/>
      <c r="AP43" s="772"/>
      <c r="AR43" s="771"/>
      <c r="AS43" s="770"/>
      <c r="AT43" s="770"/>
      <c r="AU43" s="770"/>
      <c r="AV43" s="772"/>
    </row>
  </sheetData>
  <sheetProtection sheet="1" objects="1" scenarios="1"/>
  <mergeCells count="20">
    <mergeCell ref="AR4:AU4"/>
    <mergeCell ref="AR5:AU5"/>
    <mergeCell ref="AF4:AJ4"/>
    <mergeCell ref="AF5:AJ5"/>
    <mergeCell ref="AL4:AP4"/>
    <mergeCell ref="AL5:AP5"/>
    <mergeCell ref="B4:F4"/>
    <mergeCell ref="B5:F5"/>
    <mergeCell ref="B6:F6"/>
    <mergeCell ref="Z4:AD4"/>
    <mergeCell ref="T5:X5"/>
    <mergeCell ref="Z5:AD5"/>
    <mergeCell ref="H4:L4"/>
    <mergeCell ref="H5:L5"/>
    <mergeCell ref="N4:R4"/>
    <mergeCell ref="N5:R5"/>
    <mergeCell ref="H6:L6"/>
    <mergeCell ref="N6:R6"/>
    <mergeCell ref="T6:X6"/>
    <mergeCell ref="T4:X4"/>
  </mergeCells>
  <phoneticPr fontId="3" type="noConversion"/>
  <printOptions horizontalCentered="1"/>
  <pageMargins left="0.75" right="0.75" top="1.25" bottom="1" header="0.5" footer="0.5"/>
  <pageSetup scale="91" orientation="portrait" horizontalDpi="4294967292" verticalDpi="4294967292" r:id="rId1"/>
  <headerFooter alignWithMargins="0">
    <oddHeader>&amp;CBalance Sheet</oddHeader>
    <oddFooter>Page &amp;P of &amp;N</oddFooter>
  </headerFooter>
  <colBreaks count="2" manualBreakCount="2">
    <brk id="7" max="43" man="1"/>
    <brk id="13" max="43" man="1"/>
  </colBreaks>
  <legacyDrawing r:id="rId2"/>
</worksheet>
</file>

<file path=xl/worksheets/sheet18.xml><?xml version="1.0" encoding="utf-8"?>
<worksheet xmlns="http://schemas.openxmlformats.org/spreadsheetml/2006/main" xmlns:r="http://schemas.openxmlformats.org/officeDocument/2006/relationships">
  <sheetPr codeName="Sheet6">
    <pageSetUpPr autoPageBreaks="0"/>
  </sheetPr>
  <dimension ref="A1:C50"/>
  <sheetViews>
    <sheetView showGridLines="0" showOutlineSymbols="0" workbookViewId="0"/>
  </sheetViews>
  <sheetFormatPr defaultRowHeight="12.75"/>
  <cols>
    <col min="1" max="1" width="1.7109375" customWidth="1"/>
    <col min="2" max="2" width="36.140625" customWidth="1"/>
    <col min="3" max="3" width="10.7109375" customWidth="1"/>
  </cols>
  <sheetData>
    <row r="1" spans="1:3" ht="9.75" customHeight="1" thickBot="1">
      <c r="A1" s="4"/>
      <c r="B1" s="4"/>
      <c r="C1" s="4"/>
    </row>
    <row r="2" spans="1:3" ht="24.75" customHeight="1" thickBot="1">
      <c r="A2" s="7"/>
      <c r="B2" s="789" t="s">
        <v>162</v>
      </c>
      <c r="C2" s="805"/>
    </row>
    <row r="3" spans="1:3" ht="13.5" thickBot="1">
      <c r="A3" s="14"/>
      <c r="B3" s="15"/>
      <c r="C3" s="17"/>
    </row>
    <row r="4" spans="1:3" ht="13.5" customHeight="1">
      <c r="A4" s="14"/>
      <c r="B4" s="84"/>
      <c r="C4" s="84"/>
    </row>
    <row r="5" spans="1:3" ht="13.5" customHeight="1">
      <c r="A5" s="20"/>
      <c r="B5" s="86" t="str">
        <f>Ratios!B4</f>
        <v>Year 1  (2008-2009)</v>
      </c>
      <c r="C5" s="25"/>
    </row>
    <row r="6" spans="1:3" ht="13.5" customHeight="1">
      <c r="A6" s="13"/>
      <c r="B6" s="80" t="str">
        <f>SalesProj!E3</f>
        <v>January</v>
      </c>
      <c r="C6" s="246">
        <f>IF(IncSt!C$6&lt;&gt;0,IncSt!C$33/(1-((IncSt!C$10+IncSt!C$7+IncSt!C$8)/IncSt!C$6)),0)</f>
        <v>0</v>
      </c>
    </row>
    <row r="7" spans="1:3" ht="13.5" customHeight="1">
      <c r="A7" s="13"/>
      <c r="B7" s="80" t="str">
        <f>SalesProj!F3</f>
        <v>February</v>
      </c>
      <c r="C7" s="246">
        <f>IF(IncSt!D$6&lt;&gt;0,IncSt!D$33/(1-((IncSt!D$10+IncSt!D$7+IncSt!D$8)/IncSt!D$6)),0)</f>
        <v>0</v>
      </c>
    </row>
    <row r="8" spans="1:3" ht="13.5" customHeight="1">
      <c r="A8" s="13"/>
      <c r="B8" s="34" t="str">
        <f>SalesProj!G3</f>
        <v>March</v>
      </c>
      <c r="C8" s="246">
        <f>IF(IncSt!E$6&lt;&gt;0,IncSt!E$33/(1-((IncSt!E$10+IncSt!E$7+IncSt!E$8)/IncSt!E$6)),0)</f>
        <v>0</v>
      </c>
    </row>
    <row r="9" spans="1:3" ht="13.5" customHeight="1">
      <c r="A9" s="13"/>
      <c r="B9" s="34" t="str">
        <f>SalesProj!H3</f>
        <v>April</v>
      </c>
      <c r="C9" s="246">
        <f>IF(IncSt!F$6&lt;&gt;0,IncSt!F$33/(1-((IncSt!F$10+IncSt!F$7+IncSt!F$8)/IncSt!F$6)),0)</f>
        <v>0</v>
      </c>
    </row>
    <row r="10" spans="1:3" ht="13.5" customHeight="1">
      <c r="A10" s="13"/>
      <c r="B10" s="34" t="str">
        <f>SalesProj!I3</f>
        <v>May</v>
      </c>
      <c r="C10" s="246">
        <f>IF(IncSt!G$6&lt;&gt;0,IncSt!G$33/(1-((IncSt!G$10+IncSt!G$7+IncSt!G$8)/IncSt!G$6)),0)</f>
        <v>0</v>
      </c>
    </row>
    <row r="11" spans="1:3" ht="13.5" customHeight="1">
      <c r="A11" s="13"/>
      <c r="B11" s="80" t="str">
        <f>SalesProj!J3</f>
        <v>June</v>
      </c>
      <c r="C11" s="246">
        <f>IF(IncSt!H$6&lt;&gt;0,IncSt!H$33/(1-((IncSt!H$10+IncSt!H$7+IncSt!H$8)/IncSt!H$6)),0)</f>
        <v>0</v>
      </c>
    </row>
    <row r="12" spans="1:3" ht="13.5" customHeight="1">
      <c r="A12" s="13"/>
      <c r="B12" s="80" t="str">
        <f>SalesProj!K3</f>
        <v>July</v>
      </c>
      <c r="C12" s="246">
        <f>IF(IncSt!I$6&lt;&gt;0,IncSt!I$33/(1-((IncSt!I$10+IncSt!I$7+IncSt!I$8)/IncSt!I$6)),0)</f>
        <v>0</v>
      </c>
    </row>
    <row r="13" spans="1:3" ht="13.5" customHeight="1">
      <c r="A13" s="13"/>
      <c r="B13" s="80" t="str">
        <f>SalesProj!L3</f>
        <v>August</v>
      </c>
      <c r="C13" s="246">
        <f>IF(IncSt!J$6&lt;&gt;0,IncSt!J$33/(1-((IncSt!J$10+IncSt!J$7+IncSt!J$8)/IncSt!J$6)),0)</f>
        <v>0</v>
      </c>
    </row>
    <row r="14" spans="1:3" ht="13.5" customHeight="1">
      <c r="A14" s="13"/>
      <c r="B14" s="34" t="str">
        <f>SalesProj!M3</f>
        <v>September</v>
      </c>
      <c r="C14" s="246">
        <f>IF(IncSt!K$6&lt;&gt;0,IncSt!K$33/(1-((IncSt!K$10+IncSt!K$7+IncSt!K$8)/IncSt!K$6)),0)</f>
        <v>0</v>
      </c>
    </row>
    <row r="15" spans="1:3" ht="13.5" customHeight="1">
      <c r="A15" s="13"/>
      <c r="B15" s="34" t="str">
        <f>SalesProj!N3</f>
        <v>October</v>
      </c>
      <c r="C15" s="246">
        <f>IF(IncSt!L$6&lt;&gt;0,IncSt!L$33/(1-((IncSt!L$10+IncSt!L$7+IncSt!L$8)/IncSt!L$6)),0)</f>
        <v>0</v>
      </c>
    </row>
    <row r="16" spans="1:3" ht="13.5" customHeight="1">
      <c r="A16" s="13"/>
      <c r="B16" s="34" t="str">
        <f>SalesProj!O3</f>
        <v>November</v>
      </c>
      <c r="C16" s="246">
        <f>IF(IncSt!M$6&lt;&gt;0,IncSt!M$33/(1-((IncSt!M$10+IncSt!M$7+IncSt!M$8)/IncSt!M$6)),0)</f>
        <v>0</v>
      </c>
    </row>
    <row r="17" spans="1:3" ht="13.5" customHeight="1">
      <c r="A17" s="13"/>
      <c r="B17" s="80" t="str">
        <f>SalesProj!P3</f>
        <v>December</v>
      </c>
      <c r="C17" s="246">
        <f>IF(IncSt!N$6&lt;&gt;0,IncSt!N$33/(1-((IncSt!N$10+IncSt!N$7+IncSt!N$8)/IncSt!N$6)),0)</f>
        <v>0</v>
      </c>
    </row>
    <row r="18" spans="1:3" ht="13.5" customHeight="1">
      <c r="A18" s="13"/>
      <c r="B18" s="87" t="s">
        <v>177</v>
      </c>
      <c r="C18" s="272">
        <f>AVERAGE(C6:C17)</f>
        <v>0</v>
      </c>
    </row>
    <row r="19" spans="1:3" ht="13.5" customHeight="1">
      <c r="A19" s="13"/>
      <c r="B19" s="85"/>
      <c r="C19" s="273"/>
    </row>
    <row r="20" spans="1:3" ht="13.5" customHeight="1">
      <c r="A20" s="13"/>
      <c r="B20" s="86" t="str">
        <f>Ratios!B10</f>
        <v>Year 2  (2009-2010)</v>
      </c>
      <c r="C20" s="174"/>
    </row>
    <row r="21" spans="1:3">
      <c r="B21" s="80" t="str">
        <f t="shared" ref="B21:B32" si="0">B6</f>
        <v>January</v>
      </c>
      <c r="C21" s="246">
        <f>IF(IncSt!Q$6&lt;&gt;0,IncSt!Q$33/(1-((IncSt!Q$10+IncSt!Q$7+IncSt!Q$8)/IncSt!Q$6)),0)</f>
        <v>0</v>
      </c>
    </row>
    <row r="22" spans="1:3">
      <c r="B22" s="80" t="str">
        <f t="shared" si="0"/>
        <v>February</v>
      </c>
      <c r="C22" s="246">
        <f>IF(IncSt!R$6&lt;&gt;0,IncSt!R$33/(1-((IncSt!R$10+IncSt!R$7+IncSt!R$8)/IncSt!R$6)),0)</f>
        <v>0</v>
      </c>
    </row>
    <row r="23" spans="1:3">
      <c r="B23" s="80" t="str">
        <f t="shared" si="0"/>
        <v>March</v>
      </c>
      <c r="C23" s="246">
        <f>IF(IncSt!S$6&lt;&gt;0,IncSt!S$33/(1-((IncSt!S$10+IncSt!S$7+IncSt!S$8)/IncSt!S$6)),0)</f>
        <v>0</v>
      </c>
    </row>
    <row r="24" spans="1:3">
      <c r="B24" s="80" t="str">
        <f t="shared" si="0"/>
        <v>April</v>
      </c>
      <c r="C24" s="246">
        <f>IF(IncSt!T$6&lt;&gt;0,IncSt!T$33/(1-((IncSt!T$10+IncSt!T$7+IncSt!T$8)/IncSt!T$6)),0)</f>
        <v>0</v>
      </c>
    </row>
    <row r="25" spans="1:3">
      <c r="B25" s="80" t="str">
        <f t="shared" si="0"/>
        <v>May</v>
      </c>
      <c r="C25" s="246">
        <f>IF(IncSt!U$6&lt;&gt;0,IncSt!U$33/(1-((IncSt!U$10+IncSt!U$7+IncSt!U$8)/IncSt!U$6)),0)</f>
        <v>0</v>
      </c>
    </row>
    <row r="26" spans="1:3">
      <c r="B26" s="80" t="str">
        <f t="shared" si="0"/>
        <v>June</v>
      </c>
      <c r="C26" s="246">
        <f>IF(IncSt!V$6&lt;&gt;0,IncSt!V$33/(1-((IncSt!V$10+IncSt!V$7+IncSt!V$8)/IncSt!V$6)),0)</f>
        <v>0</v>
      </c>
    </row>
    <row r="27" spans="1:3">
      <c r="B27" s="80" t="str">
        <f t="shared" si="0"/>
        <v>July</v>
      </c>
      <c r="C27" s="246">
        <f>IF(IncSt!W$6&lt;&gt;0,IncSt!W$33/(1-((IncSt!W$10+IncSt!W$7+IncSt!W$8)/IncSt!W$6)),0)</f>
        <v>0</v>
      </c>
    </row>
    <row r="28" spans="1:3">
      <c r="B28" s="80" t="str">
        <f t="shared" si="0"/>
        <v>August</v>
      </c>
      <c r="C28" s="246">
        <f>IF(IncSt!X$6&lt;&gt;0,IncSt!X$33/(1-((IncSt!X$10+IncSt!X$7+IncSt!X$8)/IncSt!X$6)),0)</f>
        <v>0</v>
      </c>
    </row>
    <row r="29" spans="1:3">
      <c r="B29" s="80" t="str">
        <f t="shared" si="0"/>
        <v>September</v>
      </c>
      <c r="C29" s="246">
        <f>IF(IncSt!Y$6&lt;&gt;0,IncSt!Y$33/(1-((IncSt!Y$10+IncSt!Y$7+IncSt!Y$8)/IncSt!Y$6)),0)</f>
        <v>0</v>
      </c>
    </row>
    <row r="30" spans="1:3">
      <c r="B30" s="80" t="str">
        <f t="shared" si="0"/>
        <v>October</v>
      </c>
      <c r="C30" s="246">
        <f>IF(IncSt!Z$6&lt;&gt;0,IncSt!Z$33/(1-((IncSt!Z$10+IncSt!Z$7+IncSt!Z$8)/IncSt!Z$6)),0)</f>
        <v>0</v>
      </c>
    </row>
    <row r="31" spans="1:3">
      <c r="B31" s="80" t="str">
        <f t="shared" si="0"/>
        <v>November</v>
      </c>
      <c r="C31" s="246">
        <f>IF(IncSt!AA$6&lt;&gt;0,IncSt!AA$33/(1-((IncSt!AA$10+IncSt!AA$7+IncSt!AA$8)/IncSt!AA$6)),0)</f>
        <v>0</v>
      </c>
    </row>
    <row r="32" spans="1:3">
      <c r="B32" s="80" t="str">
        <f t="shared" si="0"/>
        <v>December</v>
      </c>
      <c r="C32" s="246">
        <f>IF(IncSt!AB$6&lt;&gt;0,IncSt!AB$33/(1-((IncSt!AB$10+IncSt!AB$7+IncSt!AB$8)/IncSt!AB$6)),0)</f>
        <v>0</v>
      </c>
    </row>
    <row r="33" spans="1:3" ht="13.5" customHeight="1">
      <c r="A33" s="13"/>
      <c r="B33" s="87" t="s">
        <v>177</v>
      </c>
      <c r="C33" s="272">
        <f>AVERAGE(C21:C32)</f>
        <v>0</v>
      </c>
    </row>
    <row r="34" spans="1:3" ht="13.5" customHeight="1">
      <c r="A34" s="13"/>
      <c r="B34" s="85"/>
      <c r="C34" s="273"/>
    </row>
    <row r="35" spans="1:3" ht="13.5" customHeight="1">
      <c r="A35" s="13"/>
      <c r="B35" s="86" t="str">
        <f>Ratios!B12</f>
        <v>Year 3  (2010-2011)</v>
      </c>
      <c r="C35" s="174"/>
    </row>
    <row r="36" spans="1:3">
      <c r="B36" s="80" t="s">
        <v>50</v>
      </c>
      <c r="C36" s="246">
        <f>IF(IncSt!AE$6&lt;&gt;0,IncSt!AE$33/(1-((IncSt!AE$10+IncSt!AE$7+IncSt!AE$8)/IncSt!AE$6)),0)</f>
        <v>0</v>
      </c>
    </row>
    <row r="37" spans="1:3">
      <c r="B37" s="80" t="s">
        <v>51</v>
      </c>
      <c r="C37" s="246">
        <f>IF(IncSt!AF$6&lt;&gt;0,IncSt!AF$33/(1-((IncSt!AF$10+IncSt!AF$7+IncSt!AF$8)/IncSt!AF$6)),0)</f>
        <v>0</v>
      </c>
    </row>
    <row r="38" spans="1:3">
      <c r="B38" s="34" t="s">
        <v>52</v>
      </c>
      <c r="C38" s="246">
        <f>IF(IncSt!AG$6&lt;&gt;0,IncSt!AG$33/(1-((IncSt!AG$10+IncSt!AG$7+IncSt!AG$8)/IncSt!AG$6)),0)</f>
        <v>0</v>
      </c>
    </row>
    <row r="39" spans="1:3">
      <c r="B39" s="34" t="s">
        <v>53</v>
      </c>
      <c r="C39" s="246">
        <f>IF(IncSt!AH$6&lt;&gt;0,IncSt!AH$33/(1-((IncSt!AH$10+IncSt!AH$7+IncSt!AH$8)/IncSt!AH$6)),0)</f>
        <v>0</v>
      </c>
    </row>
    <row r="40" spans="1:3" ht="13.5" customHeight="1">
      <c r="A40" s="13"/>
      <c r="B40" s="87" t="s">
        <v>178</v>
      </c>
      <c r="C40" s="272">
        <f>AVERAGE(C36:C39)</f>
        <v>0</v>
      </c>
    </row>
    <row r="41" spans="1:3" ht="13.5" customHeight="1">
      <c r="A41" s="13"/>
      <c r="B41" s="85"/>
      <c r="C41" s="273"/>
    </row>
    <row r="42" spans="1:3" ht="13.5" customHeight="1">
      <c r="A42" s="13"/>
      <c r="B42" s="86" t="str">
        <f>Ratios!B14</f>
        <v>Year 4  (2011-2012)</v>
      </c>
      <c r="C42" s="174"/>
    </row>
    <row r="43" spans="1:3" ht="13.5" customHeight="1">
      <c r="A43" s="13"/>
      <c r="B43" s="80" t="s">
        <v>50</v>
      </c>
      <c r="C43" s="246">
        <f>IF(IncSt!AK$6&lt;&gt;0,IncSt!AK$33/(1-((IncSt!AK$10+IncSt!AK$7+IncSt!AK$8)/IncSt!AK$6)),0)</f>
        <v>0</v>
      </c>
    </row>
    <row r="44" spans="1:3" ht="13.5" customHeight="1">
      <c r="A44" s="13"/>
      <c r="B44" s="80" t="s">
        <v>51</v>
      </c>
      <c r="C44" s="246">
        <f>IF(IncSt!AL$6&lt;&gt;0,IncSt!AL$33/(1-((IncSt!AL$10+IncSt!AL$7+IncSt!AL$8)/IncSt!AL$6)),0)</f>
        <v>0</v>
      </c>
    </row>
    <row r="45" spans="1:3" ht="13.5" customHeight="1">
      <c r="A45" s="13"/>
      <c r="B45" s="34" t="s">
        <v>52</v>
      </c>
      <c r="C45" s="246">
        <f>IF(IncSt!AM$6&lt;&gt;0,IncSt!AM$33/(1-((IncSt!AM$10+IncSt!AM$7+IncSt!AM$8)/IncSt!AM$6)),0)</f>
        <v>0</v>
      </c>
    </row>
    <row r="46" spans="1:3" ht="13.5" customHeight="1">
      <c r="A46" s="13"/>
      <c r="B46" s="34" t="s">
        <v>53</v>
      </c>
      <c r="C46" s="246">
        <f>IF(IncSt!AN$6&lt;&gt;0,IncSt!AN$33/(1-((IncSt!AN$10+IncSt!AN$7+IncSt!AN$8)/IncSt!AN$6)),0)</f>
        <v>0</v>
      </c>
    </row>
    <row r="47" spans="1:3">
      <c r="B47" s="87" t="s">
        <v>178</v>
      </c>
      <c r="C47" s="272">
        <f>AVERAGE(C43:C46)</f>
        <v>0</v>
      </c>
    </row>
    <row r="48" spans="1:3" ht="13.5" customHeight="1">
      <c r="A48" s="13"/>
      <c r="B48" s="85"/>
      <c r="C48" s="273"/>
    </row>
    <row r="49" spans="1:3" ht="13.5" customHeight="1">
      <c r="A49" s="13"/>
      <c r="B49" s="86" t="str">
        <f>Ratios!B16</f>
        <v>Year 5  (2012-2013)</v>
      </c>
      <c r="C49" s="174"/>
    </row>
    <row r="50" spans="1:3">
      <c r="B50" s="87" t="s">
        <v>163</v>
      </c>
      <c r="C50" s="272">
        <f>IF(IncSt!AQ$6&lt;&gt;0,IncSt!AQ$33/(1-((IncSt!AQ$10+IncSt!AQ$7+IncSt!AQ$8)/IncSt!AQ$6)),0)</f>
        <v>0</v>
      </c>
    </row>
  </sheetData>
  <sheetProtection sheet="1" objects="1" scenarios="1"/>
  <phoneticPr fontId="3" type="noConversion"/>
  <printOptions horizontalCentered="1"/>
  <pageMargins left="0.5" right="0.5" top="1.25" bottom="0.5" header="0.5" footer="0.5"/>
  <pageSetup scale="80" orientation="portrait" r:id="rId1"/>
  <headerFooter alignWithMargins="0">
    <oddHeader>&amp;CBreak-even Estimates</oddHeader>
    <oddFooter>Page &amp;P of &amp;N</oddFooter>
  </headerFooter>
  <legacyDrawing r:id="rId2"/>
</worksheet>
</file>

<file path=xl/worksheets/sheet19.xml><?xml version="1.0" encoding="utf-8"?>
<worksheet xmlns="http://schemas.openxmlformats.org/spreadsheetml/2006/main" xmlns:r="http://schemas.openxmlformats.org/officeDocument/2006/relationships">
  <sheetPr codeName="Sheet7">
    <pageSetUpPr autoPageBreaks="0"/>
  </sheetPr>
  <dimension ref="A1:J16"/>
  <sheetViews>
    <sheetView showGridLines="0" showOutlineSymbols="0" workbookViewId="0"/>
  </sheetViews>
  <sheetFormatPr defaultRowHeight="12.75"/>
  <cols>
    <col min="1" max="1" width="1.7109375" customWidth="1"/>
    <col min="2" max="2" width="36.140625" customWidth="1"/>
    <col min="3" max="10" width="12.85546875" customWidth="1"/>
  </cols>
  <sheetData>
    <row r="1" spans="1:10" ht="9.75" customHeight="1" thickBot="1">
      <c r="A1" s="4"/>
      <c r="B1" s="4"/>
      <c r="C1" s="4"/>
      <c r="D1" s="4"/>
      <c r="E1" s="4"/>
      <c r="F1" s="4"/>
      <c r="G1" s="4"/>
      <c r="H1" s="4"/>
      <c r="I1" s="4"/>
      <c r="J1" s="4"/>
    </row>
    <row r="2" spans="1:10" ht="24.75" customHeight="1" thickBot="1">
      <c r="A2" s="7"/>
      <c r="B2" s="782" t="s">
        <v>282</v>
      </c>
      <c r="C2" s="787"/>
      <c r="D2" s="787"/>
      <c r="E2" s="787"/>
      <c r="F2" s="787"/>
      <c r="G2" s="787"/>
      <c r="H2" s="787"/>
      <c r="I2" s="787"/>
      <c r="J2" s="788"/>
    </row>
    <row r="3" spans="1:10" ht="13.5" thickBot="1">
      <c r="A3" s="14"/>
      <c r="B3" s="15"/>
      <c r="C3" s="17"/>
      <c r="D3" s="17"/>
      <c r="E3" s="17"/>
      <c r="F3" s="17"/>
      <c r="G3" s="17"/>
      <c r="H3" s="17"/>
      <c r="I3" s="17"/>
      <c r="J3" s="17"/>
    </row>
    <row r="4" spans="1:10" ht="30" customHeight="1">
      <c r="A4" s="20"/>
      <c r="B4" s="827" t="str">
        <f xml:space="preserve"> "Year 1  (" &amp; Config!$B$33 &amp; ")"</f>
        <v>Year 1  (2008-2009)</v>
      </c>
      <c r="C4" s="422" t="s">
        <v>298</v>
      </c>
      <c r="D4" s="421" t="s">
        <v>283</v>
      </c>
      <c r="E4" s="421" t="s">
        <v>281</v>
      </c>
      <c r="F4" s="422" t="s">
        <v>284</v>
      </c>
      <c r="G4" s="422" t="s">
        <v>294</v>
      </c>
      <c r="H4" s="422" t="s">
        <v>297</v>
      </c>
      <c r="I4" s="422" t="s">
        <v>295</v>
      </c>
      <c r="J4" s="422" t="s">
        <v>296</v>
      </c>
    </row>
    <row r="5" spans="1:10" ht="13.5" customHeight="1">
      <c r="A5" s="13"/>
      <c r="B5" s="80" t="s">
        <v>50</v>
      </c>
      <c r="C5" s="423">
        <f>WrkCapQ1</f>
        <v>5012.5104195601853</v>
      </c>
      <c r="D5" s="424" t="str">
        <f>IF(BalSht!$D$31&lt;&gt;0,BalSht!$D$14/BalSht!$D$31,"N.A.")</f>
        <v>N.A.</v>
      </c>
      <c r="E5" s="424" t="str">
        <f>IF(BalSht!$D$31&lt;&gt;0,(BalSht!$D$14-BalSht!C12)/BalSht!$D$31,"N.A.")</f>
        <v>N.A.</v>
      </c>
      <c r="F5" s="424">
        <f>SUM(IncSt!C9:E9)/WrkCapQ1</f>
        <v>0</v>
      </c>
      <c r="G5" s="424">
        <f>(BalSht!D$31+BalSht!D$36)/BalSht!D$41</f>
        <v>0</v>
      </c>
      <c r="H5" s="425">
        <f>SUM(IncSt!C$34:E$34)/BalSht!D$41</f>
        <v>0</v>
      </c>
      <c r="I5" s="425" t="e">
        <f>SUM(IncSt!C$34:E$34)/SUM(IncSt!C$9:E$9)</f>
        <v>#DIV/0!</v>
      </c>
      <c r="J5" s="425">
        <f>SUM(IncSt!C$34:E$34)/BalSht!E$24</f>
        <v>0</v>
      </c>
    </row>
    <row r="6" spans="1:10" ht="13.5" customHeight="1">
      <c r="A6" s="13"/>
      <c r="B6" s="80" t="s">
        <v>51</v>
      </c>
      <c r="C6" s="423">
        <f>WrkCapQ2</f>
        <v>5025.0521412398839</v>
      </c>
      <c r="D6" s="424" t="str">
        <f>IF(BalSht!$J$31&lt;&gt;0,BalSht!$J$14/BalSht!$J$31,"N.A.")</f>
        <v>N.A.</v>
      </c>
      <c r="E6" s="424" t="str">
        <f>IF(BalSht!$J$31&lt;&gt;0,(BalSht!$J$14-BalSht!I12)/BalSht!$J$31,"N.A.")</f>
        <v>N.A.</v>
      </c>
      <c r="F6" s="424">
        <f>SUM(IncSt!F9:H9)/WrkCapQ2</f>
        <v>0</v>
      </c>
      <c r="G6" s="424">
        <f>(BalSht!J$31+BalSht!J$36)/BalSht!J$41</f>
        <v>0</v>
      </c>
      <c r="H6" s="425">
        <f>SUM(IncSt!F$34:H$34)/BalSht!J$41</f>
        <v>0</v>
      </c>
      <c r="I6" s="425" t="e">
        <f>SUM(IncSt!F$34:H$34)/SUM(IncSt!F$9:H$9)</f>
        <v>#DIV/0!</v>
      </c>
      <c r="J6" s="425">
        <f>SUM(IncSt!F$34:H$34)/BalSht!K$24</f>
        <v>0</v>
      </c>
    </row>
    <row r="7" spans="1:10" ht="13.5" customHeight="1">
      <c r="A7" s="13"/>
      <c r="B7" s="34" t="s">
        <v>52</v>
      </c>
      <c r="C7" s="423">
        <f>WrkCapQ3</f>
        <v>5037.6252433596273</v>
      </c>
      <c r="D7" s="424" t="str">
        <f>IF(BalSht!$P$31&lt;&gt;0,BalSht!$P$14/BalSht!$P$31,"N.A.")</f>
        <v>N.A.</v>
      </c>
      <c r="E7" s="424" t="str">
        <f>IF(BalSht!$P$31&lt;&gt;0,(BalSht!$P$14-BalSht!O12)/BalSht!$P$31,"N.A.")</f>
        <v>N.A.</v>
      </c>
      <c r="F7" s="424">
        <f>SUM(IncSt!I9:K9)/WrkCapQ3</f>
        <v>0</v>
      </c>
      <c r="G7" s="424">
        <f>(BalSht!P$31+BalSht!P$36)/BalSht!P$41</f>
        <v>0</v>
      </c>
      <c r="H7" s="425">
        <f>SUM(IncSt!I$34:K$34)/BalSht!P$41</f>
        <v>0</v>
      </c>
      <c r="I7" s="425" t="e">
        <f>SUM(IncSt!I$34:K$34)/SUM(IncSt!I$9:K$9)</f>
        <v>#DIV/0!</v>
      </c>
      <c r="J7" s="425">
        <f>SUM(IncSt!I$34:K$34)/BalSht!Q$24</f>
        <v>0</v>
      </c>
    </row>
    <row r="8" spans="1:10" ht="13.5" customHeight="1">
      <c r="A8" s="13"/>
      <c r="B8" s="34" t="s">
        <v>53</v>
      </c>
      <c r="C8" s="423">
        <f>WrkCapQ4</f>
        <v>5050.2298044359095</v>
      </c>
      <c r="D8" s="424" t="str">
        <f>IF(BalSht!$V$31&lt;&gt;0,BalSht!$V$14/BalSht!$V$31,"N.A.")</f>
        <v>N.A.</v>
      </c>
      <c r="E8" s="424" t="str">
        <f>IF(BalSht!$V$31&lt;&gt;0,(BalSht!$V$14-BalSht!U12)/BalSht!$V$31,"N.A.")</f>
        <v>N.A.</v>
      </c>
      <c r="F8" s="424">
        <f>SUM(IncSt!L9:N9)/WrkCapQ4</f>
        <v>0</v>
      </c>
      <c r="G8" s="424">
        <f>(BalSht!V$31+BalSht!V$36)/BalSht!V$41</f>
        <v>0</v>
      </c>
      <c r="H8" s="425">
        <f>SUM(IncSt!L$34:N$34)/BalSht!V$41</f>
        <v>0</v>
      </c>
      <c r="I8" s="425" t="e">
        <f>SUM(IncSt!L$34:N$34)/SUM(IncSt!L$9:N$9)</f>
        <v>#DIV/0!</v>
      </c>
      <c r="J8" s="425">
        <f>SUM(IncSt!L$34:N$34)/BalSht!W$24</f>
        <v>0</v>
      </c>
    </row>
    <row r="9" spans="1:10" ht="13.5" customHeight="1" thickBot="1">
      <c r="A9" s="13"/>
      <c r="B9" s="420"/>
      <c r="C9" s="426"/>
      <c r="D9" s="427"/>
      <c r="E9" s="427"/>
      <c r="F9" s="427"/>
      <c r="G9" s="427"/>
      <c r="H9" s="428"/>
      <c r="I9" s="428"/>
      <c r="J9" s="428"/>
    </row>
    <row r="10" spans="1:10" ht="13.5" customHeight="1">
      <c r="A10" s="13"/>
      <c r="B10" s="827" t="str">
        <f xml:space="preserve"> "Year 2  (" &amp; Config!$B$34 &amp; ")"</f>
        <v>Year 2  (2009-2010)</v>
      </c>
      <c r="C10" s="429">
        <f>WrkCapY2</f>
        <v>5100.9642155225529</v>
      </c>
      <c r="D10" s="430" t="str">
        <f>IF(BalSht!$AB$31&lt;&gt;0,BalSht!$AB$14/BalSht!$AB$31,"N.A.")</f>
        <v>N.A.</v>
      </c>
      <c r="E10" s="430" t="str">
        <f>IF(BalSht!$AB$31&lt;&gt;0,(BalSht!$AB$14-BalSht!AA12)/BalSht!$AB$31,"N.A.")</f>
        <v>N.A.</v>
      </c>
      <c r="F10" s="424">
        <f>IncSt!AC9/WrkCapY2</f>
        <v>0</v>
      </c>
      <c r="G10" s="424">
        <f>(BalSht!AB$31+BalSht!AB$36)/BalSht!AB$41</f>
        <v>0</v>
      </c>
      <c r="H10" s="425">
        <f>IncSt!AC34/BalSht!AB41</f>
        <v>0</v>
      </c>
      <c r="I10" s="425" t="e">
        <f>IncSt!AC34/IncSt!AC9</f>
        <v>#DIV/0!</v>
      </c>
      <c r="J10" s="425">
        <f>IncSt!AC34/BalSht!AC24</f>
        <v>0</v>
      </c>
    </row>
    <row r="11" spans="1:10" ht="13.5" customHeight="1" thickBot="1">
      <c r="A11" s="13"/>
      <c r="B11" s="420"/>
      <c r="C11" s="426"/>
      <c r="D11" s="427"/>
      <c r="E11" s="427"/>
      <c r="F11" s="427"/>
      <c r="G11" s="427"/>
      <c r="H11" s="428"/>
      <c r="I11" s="428"/>
      <c r="J11" s="428"/>
    </row>
    <row r="12" spans="1:10" ht="13.5" customHeight="1">
      <c r="A12" s="13"/>
      <c r="B12" s="827" t="str">
        <f xml:space="preserve"> "Year 3  (" &amp; Config!$B$35 &amp; ")"</f>
        <v>Year 3  (2010-2011)</v>
      </c>
      <c r="C12" s="429">
        <f>WrkCapY3</f>
        <v>5152.1654628453807</v>
      </c>
      <c r="D12" s="430" t="str">
        <f>IF(BalSht!$AH$31&lt;&gt;0,BalSht!$AH$14/BalSht!$AH$31,"N.A.")</f>
        <v>N.A.</v>
      </c>
      <c r="E12" s="430" t="str">
        <f>IF(BalSht!$AH$31&lt;&gt;0,(BalSht!$AH$14-BalSht!AG12)/BalSht!$AH$31,"N.A.")</f>
        <v>N.A.</v>
      </c>
      <c r="F12" s="424">
        <f>IncSt!AI9/WrkCapY3</f>
        <v>0</v>
      </c>
      <c r="G12" s="424">
        <f>(BalSht!AH$31+BalSht!AH$36)/BalSht!AH$41</f>
        <v>0</v>
      </c>
      <c r="H12" s="425">
        <f>IncSt!AI34/BalSht!AH41</f>
        <v>0</v>
      </c>
      <c r="I12" s="425" t="e">
        <f>IncSt!AI34/IncSt!AI9</f>
        <v>#DIV/0!</v>
      </c>
      <c r="J12" s="425">
        <f>IncSt!AI34/BalSht!AI24</f>
        <v>0</v>
      </c>
    </row>
    <row r="13" spans="1:10" ht="13.5" customHeight="1" thickBot="1">
      <c r="A13" s="13"/>
      <c r="B13" s="420"/>
      <c r="C13" s="426"/>
      <c r="D13" s="427"/>
      <c r="E13" s="427"/>
      <c r="F13" s="427"/>
      <c r="G13" s="427"/>
      <c r="H13" s="428"/>
      <c r="I13" s="428"/>
      <c r="J13" s="428"/>
    </row>
    <row r="14" spans="1:10" ht="13.5" customHeight="1">
      <c r="A14" s="13"/>
      <c r="B14" s="827" t="str">
        <f xml:space="preserve"> "Year 4  (" &amp; Config!$B$36 &amp; ")"</f>
        <v>Year 4  (2011-2012)</v>
      </c>
      <c r="C14" s="429">
        <f>WrkCapY4</f>
        <v>5203.8806458902891</v>
      </c>
      <c r="D14" s="430" t="str">
        <f>IF(BalSht!$AN$31&lt;&gt;0,BalSht!$AN$14/BalSht!$AN$31,"N.A.")</f>
        <v>N.A.</v>
      </c>
      <c r="E14" s="430" t="str">
        <f>IF(BalSht!$AN$31&lt;&gt;0,(BalSht!$AN$14-BalSht!AM12)/BalSht!$AN$31,"N.A.")</f>
        <v>N.A.</v>
      </c>
      <c r="F14" s="424">
        <f>IncSt!AO9/WrkCapY4</f>
        <v>0</v>
      </c>
      <c r="G14" s="424">
        <f>(BalSht!AN$31+BalSht!AN$36)/BalSht!AN$41</f>
        <v>0</v>
      </c>
      <c r="H14" s="425">
        <f>IncSt!AO34/BalSht!AN41</f>
        <v>0</v>
      </c>
      <c r="I14" s="425" t="e">
        <f>IncSt!AO34/IncSt!AO9</f>
        <v>#DIV/0!</v>
      </c>
      <c r="J14" s="425">
        <f>IncSt!AO34/BalSht!AO24</f>
        <v>0</v>
      </c>
    </row>
    <row r="15" spans="1:10" ht="13.5" customHeight="1" thickBot="1">
      <c r="A15" s="13"/>
      <c r="B15" s="420"/>
      <c r="C15" s="426"/>
      <c r="D15" s="427"/>
      <c r="E15" s="427"/>
      <c r="F15" s="427"/>
      <c r="G15" s="427"/>
      <c r="H15" s="428"/>
      <c r="I15" s="428"/>
      <c r="J15" s="428"/>
    </row>
    <row r="16" spans="1:10" ht="13.5" customHeight="1">
      <c r="A16" s="13"/>
      <c r="B16" s="827" t="str">
        <f xml:space="preserve"> "Year 5  (" &amp; Config!$B$37 &amp; ")"</f>
        <v>Year 5  (2012-2013)</v>
      </c>
      <c r="C16" s="429">
        <f>WrkCapY5</f>
        <v>5255.9194523491924</v>
      </c>
      <c r="D16" s="430" t="str">
        <f>IF(BalSht!$AT$31&lt;&gt;0,BalSht!$AT$14/BalSht!$AT$31,"N.A.")</f>
        <v>N.A.</v>
      </c>
      <c r="E16" s="430" t="str">
        <f>IF(BalSht!$AT$31&lt;&gt;0,(BalSht!$AT$14-BalSht!AS12)/BalSht!$AT$31,"N.A.")</f>
        <v>N.A.</v>
      </c>
      <c r="F16" s="424">
        <f>IncSt!AQ9/WrkCapY5</f>
        <v>0</v>
      </c>
      <c r="G16" s="424">
        <f>(BalSht!AT$31+BalSht!AT$36)/BalSht!AT$41</f>
        <v>0</v>
      </c>
      <c r="H16" s="425">
        <f>IncSt!AQ34/BalSht!AT41</f>
        <v>0</v>
      </c>
      <c r="I16" s="425" t="e">
        <f>IncSt!AQ34/IncSt!AQ9</f>
        <v>#DIV/0!</v>
      </c>
      <c r="J16" s="425">
        <f>IncSt!AQ34/BalSht!AU24</f>
        <v>0</v>
      </c>
    </row>
  </sheetData>
  <sheetProtection sheet="1" objects="1" scenarios="1"/>
  <phoneticPr fontId="3" type="noConversion"/>
  <printOptions horizontalCentered="1"/>
  <pageMargins left="0.5" right="0.5" top="1.25" bottom="0.5" header="0.5" footer="0.5"/>
  <pageSetup scale="70" orientation="landscape" r:id="rId1"/>
  <headerFooter alignWithMargins="0">
    <oddHeader>&amp;CKey Ratios</oddHeader>
    <oddFooter>Page &amp;P of &amp;N</oddFooter>
  </headerFooter>
  <legacyDrawing r:id="rId2"/>
</worksheet>
</file>

<file path=xl/worksheets/sheet20.xml><?xml version="1.0" encoding="utf-8"?>
<worksheet xmlns="http://schemas.openxmlformats.org/spreadsheetml/2006/main" xmlns:r="http://schemas.openxmlformats.org/officeDocument/2006/relationships">
  <sheetPr codeName="Config"/>
  <dimension ref="A1:CW190"/>
  <sheetViews>
    <sheetView workbookViewId="0">
      <selection activeCell="AD8" sqref="AD8"/>
    </sheetView>
  </sheetViews>
  <sheetFormatPr defaultRowHeight="12.75"/>
  <cols>
    <col min="1" max="1" width="11.7109375" customWidth="1"/>
    <col min="4" max="4" width="5.140625" customWidth="1"/>
    <col min="5" max="5" width="11.42578125" customWidth="1"/>
    <col min="6" max="6" width="10" customWidth="1"/>
    <col min="9" max="10" width="5.7109375" customWidth="1"/>
    <col min="11" max="11" width="10.85546875" customWidth="1"/>
    <col min="12" max="12" width="4.28515625" customWidth="1"/>
    <col min="14" max="14" width="16.42578125" customWidth="1"/>
    <col min="23" max="23" width="6.5703125" customWidth="1"/>
    <col min="24" max="24" width="11.28515625" customWidth="1"/>
    <col min="27" max="27" width="5.28515625" customWidth="1"/>
    <col min="28" max="28" width="13.140625" customWidth="1"/>
    <col min="29" max="29" width="8.5703125" customWidth="1"/>
    <col min="30" max="101" width="12.140625" customWidth="1"/>
  </cols>
  <sheetData>
    <row r="1" spans="1:101">
      <c r="A1" t="s">
        <v>7</v>
      </c>
      <c r="B1" s="79">
        <v>2008</v>
      </c>
      <c r="F1" s="822" t="s">
        <v>336</v>
      </c>
      <c r="I1" s="288" t="str">
        <f>B70</f>
        <v>Jan</v>
      </c>
      <c r="J1" s="79">
        <v>1</v>
      </c>
      <c r="K1" t="s">
        <v>227</v>
      </c>
      <c r="N1" s="71" t="s">
        <v>310</v>
      </c>
      <c r="Y1" s="71" t="s">
        <v>228</v>
      </c>
      <c r="AA1" s="71"/>
    </row>
    <row r="2" spans="1:101">
      <c r="A2" t="s">
        <v>8</v>
      </c>
      <c r="B2" s="79">
        <v>2009</v>
      </c>
      <c r="F2" s="826">
        <f>setupYearStart</f>
        <v>2008</v>
      </c>
      <c r="I2" t="str">
        <f>C70</f>
        <v>Feb</v>
      </c>
      <c r="J2" s="79">
        <v>2</v>
      </c>
      <c r="K2" s="283">
        <f>cYearStartup</f>
        <v>2008</v>
      </c>
      <c r="L2" s="79">
        <v>0</v>
      </c>
      <c r="N2" s="761">
        <v>2.5</v>
      </c>
      <c r="Y2" t="s">
        <v>249</v>
      </c>
      <c r="AC2" t="s">
        <v>229</v>
      </c>
    </row>
    <row r="3" spans="1:101">
      <c r="A3" t="s">
        <v>9</v>
      </c>
      <c r="B3" s="79">
        <v>2010</v>
      </c>
      <c r="F3" s="822" t="s">
        <v>337</v>
      </c>
      <c r="I3" t="str">
        <f>D70</f>
        <v>Mar</v>
      </c>
      <c r="J3" s="79">
        <v>3</v>
      </c>
      <c r="K3" s="283">
        <f>K2+1</f>
        <v>2009</v>
      </c>
      <c r="L3" s="79">
        <v>12</v>
      </c>
      <c r="N3" s="89">
        <v>38130</v>
      </c>
      <c r="Y3" t="s">
        <v>250</v>
      </c>
      <c r="AC3" t="s">
        <v>230</v>
      </c>
      <c r="AD3" s="298">
        <v>1</v>
      </c>
      <c r="AE3" s="298">
        <v>2</v>
      </c>
      <c r="AF3" s="298">
        <v>3</v>
      </c>
      <c r="AG3" s="298">
        <v>4</v>
      </c>
      <c r="AH3" s="298">
        <v>5</v>
      </c>
      <c r="AI3" s="298">
        <v>6</v>
      </c>
      <c r="AJ3" s="298">
        <v>7</v>
      </c>
      <c r="AK3" s="298">
        <v>8</v>
      </c>
      <c r="AL3" s="298">
        <v>9</v>
      </c>
      <c r="AM3" s="298">
        <v>10</v>
      </c>
      <c r="AN3" s="298">
        <v>11</v>
      </c>
      <c r="AO3" s="298">
        <v>12</v>
      </c>
      <c r="AP3" s="298">
        <v>13</v>
      </c>
      <c r="AQ3" s="298">
        <v>14</v>
      </c>
      <c r="AR3" s="298">
        <v>15</v>
      </c>
      <c r="AS3" s="298">
        <v>16</v>
      </c>
      <c r="AT3" s="298">
        <v>17</v>
      </c>
      <c r="AU3" s="298">
        <v>18</v>
      </c>
      <c r="AV3" s="298">
        <v>19</v>
      </c>
      <c r="AW3" s="298">
        <v>20</v>
      </c>
      <c r="AX3" s="298">
        <v>21</v>
      </c>
      <c r="AY3" s="298">
        <v>22</v>
      </c>
      <c r="AZ3" s="298">
        <v>23</v>
      </c>
      <c r="BA3" s="298">
        <v>24</v>
      </c>
      <c r="BB3" s="298">
        <v>25</v>
      </c>
      <c r="BC3" s="298">
        <v>26</v>
      </c>
      <c r="BD3" s="298">
        <v>27</v>
      </c>
      <c r="BE3" s="298">
        <v>28</v>
      </c>
      <c r="BF3" s="298">
        <v>29</v>
      </c>
      <c r="BG3" s="298">
        <v>30</v>
      </c>
      <c r="BH3" s="298">
        <v>31</v>
      </c>
      <c r="BI3" s="298">
        <v>32</v>
      </c>
      <c r="BJ3" s="298">
        <v>33</v>
      </c>
      <c r="BK3" s="298">
        <v>34</v>
      </c>
      <c r="BL3" s="298">
        <v>35</v>
      </c>
      <c r="BM3" s="298">
        <v>36</v>
      </c>
      <c r="BN3" s="298">
        <v>37</v>
      </c>
      <c r="BO3" s="298">
        <v>38</v>
      </c>
      <c r="BP3" s="298">
        <v>39</v>
      </c>
      <c r="BQ3" s="298">
        <v>40</v>
      </c>
      <c r="BR3" s="298">
        <v>41</v>
      </c>
      <c r="BS3" s="298">
        <v>42</v>
      </c>
      <c r="BT3" s="298">
        <v>43</v>
      </c>
      <c r="BU3" s="298">
        <v>44</v>
      </c>
      <c r="BV3" s="298">
        <v>45</v>
      </c>
      <c r="BW3" s="298">
        <v>46</v>
      </c>
      <c r="BX3" s="298">
        <v>47</v>
      </c>
      <c r="BY3" s="298">
        <v>48</v>
      </c>
      <c r="BZ3" s="298">
        <v>49</v>
      </c>
      <c r="CA3" s="298">
        <v>50</v>
      </c>
      <c r="CB3" s="298">
        <v>51</v>
      </c>
      <c r="CC3" s="298">
        <v>52</v>
      </c>
      <c r="CD3" s="298">
        <v>53</v>
      </c>
      <c r="CE3" s="298">
        <v>54</v>
      </c>
      <c r="CF3" s="298">
        <v>55</v>
      </c>
      <c r="CG3" s="298">
        <v>56</v>
      </c>
      <c r="CH3" s="298">
        <v>57</v>
      </c>
      <c r="CI3" s="298">
        <v>58</v>
      </c>
      <c r="CJ3" s="298">
        <v>59</v>
      </c>
      <c r="CK3" s="298">
        <v>60</v>
      </c>
      <c r="CL3" s="298">
        <v>61</v>
      </c>
      <c r="CM3" s="298">
        <v>62</v>
      </c>
      <c r="CN3" s="298">
        <v>63</v>
      </c>
      <c r="CO3" s="298">
        <v>64</v>
      </c>
      <c r="CP3" s="298">
        <v>65</v>
      </c>
      <c r="CQ3" s="298">
        <v>66</v>
      </c>
      <c r="CR3" s="298">
        <v>67</v>
      </c>
      <c r="CS3" s="298">
        <v>68</v>
      </c>
      <c r="CT3" s="298">
        <v>69</v>
      </c>
      <c r="CU3" s="298">
        <v>70</v>
      </c>
      <c r="CV3" s="298">
        <v>71</v>
      </c>
      <c r="CW3" s="298">
        <v>72</v>
      </c>
    </row>
    <row r="4" spans="1:101">
      <c r="A4" t="s">
        <v>10</v>
      </c>
      <c r="B4" s="79">
        <v>2011</v>
      </c>
      <c r="F4" s="823" t="str">
        <f>setupMonthStart</f>
        <v>January</v>
      </c>
      <c r="I4" t="str">
        <f>E70</f>
        <v>Apr</v>
      </c>
      <c r="J4" s="79">
        <v>4</v>
      </c>
      <c r="K4" s="283">
        <f>K3+1</f>
        <v>2010</v>
      </c>
      <c r="L4" s="79">
        <v>24</v>
      </c>
      <c r="V4" s="145"/>
      <c r="X4" s="669"/>
      <c r="Y4" s="79">
        <f>CapEx!F6</f>
        <v>1</v>
      </c>
      <c r="Z4" s="145" t="s">
        <v>213</v>
      </c>
      <c r="AA4" s="297">
        <v>1</v>
      </c>
      <c r="AB4">
        <f>CapEx!C6</f>
        <v>0</v>
      </c>
      <c r="AC4" s="79">
        <f>IF(AB4=0,1,DATEDIF($K$12,DATEVALUE("01-"&amp;CapEx!$D6&amp;"-"&amp;CapEx!$E6),"m")+1)</f>
        <v>1</v>
      </c>
      <c r="AD4" s="295">
        <f>IF(AND(AD3&gt;=$AC$4,AD3&lt;(CapEx!$F$6*12)+$AC$4,CapEx!$F$6&gt;1),SLN(CapEx!$C$6,CapEx!$G$6,CapEx!$F$6)/12,0)</f>
        <v>0</v>
      </c>
      <c r="AE4" s="295">
        <f>IF(AND(AE3&gt;=$AC$4,AE3&lt;(CapEx!$F$6*12)+$AC$4,CapEx!$F$6&gt;1),SLN(CapEx!$C$6,CapEx!$G$6,CapEx!$F$6)/12,0)</f>
        <v>0</v>
      </c>
      <c r="AF4" s="295">
        <f>IF(AND(AF3&gt;=$AC$4,AF3&lt;(CapEx!$F$6*12)+$AC$4,CapEx!$F$6&gt;1),SLN(CapEx!$C$6,CapEx!$G$6,CapEx!$F$6)/12,0)</f>
        <v>0</v>
      </c>
      <c r="AG4" s="295">
        <f>IF(AND(AG3&gt;=$AC$4,AG3&lt;(CapEx!$F$6*12)+$AC$4,CapEx!$F$6&gt;1),SLN(CapEx!$C$6,CapEx!$G$6,CapEx!$F$6)/12,0)</f>
        <v>0</v>
      </c>
      <c r="AH4" s="295">
        <f>IF(AND(AH3&gt;=$AC$4,AH3&lt;(CapEx!$F$6*12)+$AC$4,CapEx!$F$6&gt;1),SLN(CapEx!$C$6,CapEx!$G$6,CapEx!$F$6)/12,0)</f>
        <v>0</v>
      </c>
      <c r="AI4" s="295">
        <f>IF(AND(AI3&gt;=$AC$4,AI3&lt;(CapEx!$F$6*12)+$AC$4,CapEx!$F$6&gt;1),SLN(CapEx!$C$6,CapEx!$G$6,CapEx!$F$6)/12,0)</f>
        <v>0</v>
      </c>
      <c r="AJ4" s="295">
        <f>IF(AND(AJ3&gt;=$AC$4,AJ3&lt;(CapEx!$F$6*12)+$AC$4,CapEx!$F$6&gt;1),SLN(CapEx!$C$6,CapEx!$G$6,CapEx!$F$6)/12,0)</f>
        <v>0</v>
      </c>
      <c r="AK4" s="295">
        <f>IF(AND(AK3&gt;=$AC$4,AK3&lt;(CapEx!$F$6*12)+$AC$4,CapEx!$F$6&gt;1),SLN(CapEx!$C$6,CapEx!$G$6,CapEx!$F$6)/12,0)</f>
        <v>0</v>
      </c>
      <c r="AL4" s="295">
        <f>IF(AND(AL3&gt;=$AC$4,AL3&lt;(CapEx!$F$6*12)+$AC$4,CapEx!$F$6&gt;1),SLN(CapEx!$C$6,CapEx!$G$6,CapEx!$F$6)/12,0)</f>
        <v>0</v>
      </c>
      <c r="AM4" s="295">
        <f>IF(AND(AM3&gt;=$AC$4,AM3&lt;(CapEx!$F$6*12)+$AC$4,CapEx!$F$6&gt;1),SLN(CapEx!$C$6,CapEx!$G$6,CapEx!$F$6)/12,0)</f>
        <v>0</v>
      </c>
      <c r="AN4" s="295">
        <f>IF(AND(AN3&gt;=$AC$4,AN3&lt;(CapEx!$F$6*12)+$AC$4,CapEx!$F$6&gt;1),SLN(CapEx!$C$6,CapEx!$G$6,CapEx!$F$6)/12,0)</f>
        <v>0</v>
      </c>
      <c r="AO4" s="295">
        <f>IF(AND(AO3&gt;=$AC$4,AO3&lt;(CapEx!$F$6*12)+$AC$4,CapEx!$F$6&gt;1),SLN(CapEx!$C$6,CapEx!$G$6,CapEx!$F$6)/12,0)</f>
        <v>0</v>
      </c>
      <c r="AP4" s="295">
        <f>IF(AND(AP3&gt;=$AC$4,AP3&lt;(CapEx!$F$6*12)+$AC$4,CapEx!$F$6&gt;1),SLN(CapEx!$C$6,CapEx!$G$6,CapEx!$F$6)/12,0)</f>
        <v>0</v>
      </c>
      <c r="AQ4" s="295">
        <f>IF(AND(AQ3&gt;=$AC$4,AQ3&lt;(CapEx!$F$6*12)+$AC$4,CapEx!$F$6&gt;1),SLN(CapEx!$C$6,CapEx!$G$6,CapEx!$F$6)/12,0)</f>
        <v>0</v>
      </c>
      <c r="AR4" s="295">
        <f>IF(AND(AR3&gt;=$AC$4,AR3&lt;(CapEx!$F$6*12)+$AC$4,CapEx!$F$6&gt;1),SLN(CapEx!$C$6,CapEx!$G$6,CapEx!$F$6)/12,0)</f>
        <v>0</v>
      </c>
      <c r="AS4" s="295">
        <f>IF(AND(AS3&gt;=$AC$4,AS3&lt;(CapEx!$F$6*12)+$AC$4,CapEx!$F$6&gt;1),SLN(CapEx!$C$6,CapEx!$G$6,CapEx!$F$6)/12,0)</f>
        <v>0</v>
      </c>
      <c r="AT4" s="295">
        <f>IF(AND(AT3&gt;=$AC$4,AT3&lt;(CapEx!$F$6*12)+$AC$4,CapEx!$F$6&gt;1),SLN(CapEx!$C$6,CapEx!$G$6,CapEx!$F$6)/12,0)</f>
        <v>0</v>
      </c>
      <c r="AU4" s="295">
        <f>IF(AND(AU3&gt;=$AC$4,AU3&lt;(CapEx!$F$6*12)+$AC$4,CapEx!$F$6&gt;1),SLN(CapEx!$C$6,CapEx!$G$6,CapEx!$F$6)/12,0)</f>
        <v>0</v>
      </c>
      <c r="AV4" s="295">
        <f>IF(AND(AV3&gt;=$AC$4,AV3&lt;(CapEx!$F$6*12)+$AC$4,CapEx!$F$6&gt;1),SLN(CapEx!$C$6,CapEx!$G$6,CapEx!$F$6)/12,0)</f>
        <v>0</v>
      </c>
      <c r="AW4" s="295">
        <f>IF(AND(AW3&gt;=$AC$4,AW3&lt;(CapEx!$F$6*12)+$AC$4,CapEx!$F$6&gt;1),SLN(CapEx!$C$6,CapEx!$G$6,CapEx!$F$6)/12,0)</f>
        <v>0</v>
      </c>
      <c r="AX4" s="295">
        <f>IF(AND(AX3&gt;=$AC$4,AX3&lt;(CapEx!$F$6*12)+$AC$4,CapEx!$F$6&gt;1),SLN(CapEx!$C$6,CapEx!$G$6,CapEx!$F$6)/12,0)</f>
        <v>0</v>
      </c>
      <c r="AY4" s="295">
        <f>IF(AND(AY3&gt;=$AC$4,AY3&lt;(CapEx!$F$6*12)+$AC$4,CapEx!$F$6&gt;1),SLN(CapEx!$C$6,CapEx!$G$6,CapEx!$F$6)/12,0)</f>
        <v>0</v>
      </c>
      <c r="AZ4" s="295">
        <f>IF(AND(AZ3&gt;=$AC$4,AZ3&lt;(CapEx!$F$6*12)+$AC$4,CapEx!$F$6&gt;1),SLN(CapEx!$C$6,CapEx!$G$6,CapEx!$F$6)/12,0)</f>
        <v>0</v>
      </c>
      <c r="BA4" s="295">
        <f>IF(AND(BA3&gt;=$AC$4,BA3&lt;(CapEx!$F$6*12)+$AC$4,CapEx!$F$6&gt;1),SLN(CapEx!$C$6,CapEx!$G$6,CapEx!$F$6)/12,0)</f>
        <v>0</v>
      </c>
      <c r="BB4" s="295">
        <f>IF(AND(BB3&gt;=$AC$4,BB3&lt;(CapEx!$F$6*12)+$AC$4,CapEx!$F$6&gt;1),SLN(CapEx!$C$6,CapEx!$G$6,CapEx!$F$6)/12,0)</f>
        <v>0</v>
      </c>
      <c r="BC4" s="295">
        <f>IF(AND(BC3&gt;=$AC$4,BC3&lt;(CapEx!$F$6*12)+$AC$4,CapEx!$F$6&gt;1),SLN(CapEx!$C$6,CapEx!$G$6,CapEx!$F$6)/12,0)</f>
        <v>0</v>
      </c>
      <c r="BD4" s="295">
        <f>IF(AND(BD3&gt;=$AC$4,BD3&lt;(CapEx!$F$6*12)+$AC$4,CapEx!$F$6&gt;1),SLN(CapEx!$C$6,CapEx!$G$6,CapEx!$F$6)/12,0)</f>
        <v>0</v>
      </c>
      <c r="BE4" s="295">
        <f>IF(AND(BE3&gt;=$AC$4,BE3&lt;(CapEx!$F$6*12)+$AC$4,CapEx!$F$6&gt;1),SLN(CapEx!$C$6,CapEx!$G$6,CapEx!$F$6)/12,0)</f>
        <v>0</v>
      </c>
      <c r="BF4" s="295">
        <f>IF(AND(BF3&gt;=$AC$4,BF3&lt;(CapEx!$F$6*12)+$AC$4,CapEx!$F$6&gt;1),SLN(CapEx!$C$6,CapEx!$G$6,CapEx!$F$6)/12,0)</f>
        <v>0</v>
      </c>
      <c r="BG4" s="295">
        <f>IF(AND(BG3&gt;=$AC$4,BG3&lt;(CapEx!$F$6*12)+$AC$4,CapEx!$F$6&gt;1),SLN(CapEx!$C$6,CapEx!$G$6,CapEx!$F$6)/12,0)</f>
        <v>0</v>
      </c>
      <c r="BH4" s="295">
        <f>IF(AND(BH3&gt;=$AC$4,BH3&lt;(CapEx!$F$6*12)+$AC$4,CapEx!$F$6&gt;1),SLN(CapEx!$C$6,CapEx!$G$6,CapEx!$F$6)/12,0)</f>
        <v>0</v>
      </c>
      <c r="BI4" s="295">
        <f>IF(AND(BI3&gt;=$AC$4,BI3&lt;(CapEx!$F$6*12)+$AC$4,CapEx!$F$6&gt;1),SLN(CapEx!$C$6,CapEx!$G$6,CapEx!$F$6)/12,0)</f>
        <v>0</v>
      </c>
      <c r="BJ4" s="295">
        <f>IF(AND(BJ3&gt;=$AC$4,BJ3&lt;(CapEx!$F$6*12)+$AC$4,CapEx!$F$6&gt;1),SLN(CapEx!$C$6,CapEx!$G$6,CapEx!$F$6)/12,0)</f>
        <v>0</v>
      </c>
      <c r="BK4" s="295">
        <f>IF(AND(BK3&gt;=$AC$4,BK3&lt;(CapEx!$F$6*12)+$AC$4,CapEx!$F$6&gt;1),SLN(CapEx!$C$6,CapEx!$G$6,CapEx!$F$6)/12,0)</f>
        <v>0</v>
      </c>
      <c r="BL4" s="295">
        <f>IF(AND(BL3&gt;=$AC$4,BL3&lt;(CapEx!$F$6*12)+$AC$4,CapEx!$F$6&gt;1),SLN(CapEx!$C$6,CapEx!$G$6,CapEx!$F$6)/12,0)</f>
        <v>0</v>
      </c>
      <c r="BM4" s="295">
        <f>IF(AND(BM3&gt;=$AC$4,BM3&lt;(CapEx!$F$6*12)+$AC$4,CapEx!$F$6&gt;1),SLN(CapEx!$C$6,CapEx!$G$6,CapEx!$F$6)/12,0)</f>
        <v>0</v>
      </c>
      <c r="BN4" s="295">
        <f>IF(AND(BN3&gt;=$AC$4,BN3&lt;(CapEx!$F$6*12)+$AC$4,CapEx!$F$6&gt;1),SLN(CapEx!$C$6,CapEx!$G$6,CapEx!$F$6)/12,0)</f>
        <v>0</v>
      </c>
      <c r="BO4" s="295">
        <f>IF(AND(BO3&gt;=$AC$4,BO3&lt;(CapEx!$F$6*12)+$AC$4,CapEx!$F$6&gt;1),SLN(CapEx!$C$6,CapEx!$G$6,CapEx!$F$6)/12,0)</f>
        <v>0</v>
      </c>
      <c r="BP4" s="295">
        <f>IF(AND(BP3&gt;=$AC$4,BP3&lt;(CapEx!$F$6*12)+$AC$4,CapEx!$F$6&gt;1),SLN(CapEx!$C$6,CapEx!$G$6,CapEx!$F$6)/12,0)</f>
        <v>0</v>
      </c>
      <c r="BQ4" s="295">
        <f>IF(AND(BQ3&gt;=$AC$4,BQ3&lt;(CapEx!$F$6*12)+$AC$4,CapEx!$F$6&gt;1),SLN(CapEx!$C$6,CapEx!$G$6,CapEx!$F$6)/12,0)</f>
        <v>0</v>
      </c>
      <c r="BR4" s="295">
        <f>IF(AND(BR3&gt;=$AC$4,BR3&lt;(CapEx!$F$6*12)+$AC$4,CapEx!$F$6&gt;1),SLN(CapEx!$C$6,CapEx!$G$6,CapEx!$F$6)/12,0)</f>
        <v>0</v>
      </c>
      <c r="BS4" s="295">
        <f>IF(AND(BS3&gt;=$AC$4,BS3&lt;(CapEx!$F$6*12)+$AC$4,CapEx!$F$6&gt;1),SLN(CapEx!$C$6,CapEx!$G$6,CapEx!$F$6)/12,0)</f>
        <v>0</v>
      </c>
      <c r="BT4" s="295">
        <f>IF(AND(BT3&gt;=$AC$4,BT3&lt;(CapEx!$F$6*12)+$AC$4,CapEx!$F$6&gt;1),SLN(CapEx!$C$6,CapEx!$G$6,CapEx!$F$6)/12,0)</f>
        <v>0</v>
      </c>
      <c r="BU4" s="295">
        <f>IF(AND(BU3&gt;=$AC$4,BU3&lt;(CapEx!$F$6*12)+$AC$4,CapEx!$F$6&gt;1),SLN(CapEx!$C$6,CapEx!$G$6,CapEx!$F$6)/12,0)</f>
        <v>0</v>
      </c>
      <c r="BV4" s="295">
        <f>IF(AND(BV3&gt;=$AC$4,BV3&lt;(CapEx!$F$6*12)+$AC$4,CapEx!$F$6&gt;1),SLN(CapEx!$C$6,CapEx!$G$6,CapEx!$F$6)/12,0)</f>
        <v>0</v>
      </c>
      <c r="BW4" s="295">
        <f>IF(AND(BW3&gt;=$AC$4,BW3&lt;(CapEx!$F$6*12)+$AC$4,CapEx!$F$6&gt;1),SLN(CapEx!$C$6,CapEx!$G$6,CapEx!$F$6)/12,0)</f>
        <v>0</v>
      </c>
      <c r="BX4" s="295">
        <f>IF(AND(BX3&gt;=$AC$4,BX3&lt;(CapEx!$F$6*12)+$AC$4,CapEx!$F$6&gt;1),SLN(CapEx!$C$6,CapEx!$G$6,CapEx!$F$6)/12,0)</f>
        <v>0</v>
      </c>
      <c r="BY4" s="295">
        <f>IF(AND(BY3&gt;=$AC$4,BY3&lt;(CapEx!$F$6*12)+$AC$4,CapEx!$F$6&gt;1),SLN(CapEx!$C$6,CapEx!$G$6,CapEx!$F$6)/12,0)</f>
        <v>0</v>
      </c>
      <c r="BZ4" s="295">
        <f>IF(AND(BZ3&gt;=$AC$4,BZ3&lt;(CapEx!$F$6*12)+$AC$4,CapEx!$F$6&gt;1),SLN(CapEx!$C$6,CapEx!$G$6,CapEx!$F$6)/12,0)</f>
        <v>0</v>
      </c>
      <c r="CA4" s="295">
        <f>IF(AND(CA3&gt;=$AC$4,CA3&lt;(CapEx!$F$6*12)+$AC$4,CapEx!$F$6&gt;1),SLN(CapEx!$C$6,CapEx!$G$6,CapEx!$F$6)/12,0)</f>
        <v>0</v>
      </c>
      <c r="CB4" s="295">
        <f>IF(AND(CB3&gt;=$AC$4,CB3&lt;(CapEx!$F$6*12)+$AC$4,CapEx!$F$6&gt;1),SLN(CapEx!$C$6,CapEx!$G$6,CapEx!$F$6)/12,0)</f>
        <v>0</v>
      </c>
      <c r="CC4" s="295">
        <f>IF(AND(CC3&gt;=$AC$4,CC3&lt;(CapEx!$F$6*12)+$AC$4,CapEx!$F$6&gt;1),SLN(CapEx!$C$6,CapEx!$G$6,CapEx!$F$6)/12,0)</f>
        <v>0</v>
      </c>
      <c r="CD4" s="295">
        <f>IF(AND(CD3&gt;=$AC$4,CD3&lt;(CapEx!$F$6*12)+$AC$4,CapEx!$F$6&gt;1),SLN(CapEx!$C$6,CapEx!$G$6,CapEx!$F$6)/12,0)</f>
        <v>0</v>
      </c>
      <c r="CE4" s="295">
        <f>IF(AND(CE3&gt;=$AC$4,CE3&lt;(CapEx!$F$6*12)+$AC$4,CapEx!$F$6&gt;1),SLN(CapEx!$C$6,CapEx!$G$6,CapEx!$F$6)/12,0)</f>
        <v>0</v>
      </c>
      <c r="CF4" s="295">
        <f>IF(AND(CF3&gt;=$AC$4,CF3&lt;(CapEx!$F$6*12)+$AC$4,CapEx!$F$6&gt;1),SLN(CapEx!$C$6,CapEx!$G$6,CapEx!$F$6)/12,0)</f>
        <v>0</v>
      </c>
      <c r="CG4" s="295">
        <f>IF(AND(CG3&gt;=$AC$4,CG3&lt;(CapEx!$F$6*12)+$AC$4,CapEx!$F$6&gt;1),SLN(CapEx!$C$6,CapEx!$G$6,CapEx!$F$6)/12,0)</f>
        <v>0</v>
      </c>
      <c r="CH4" s="295">
        <f>IF(AND(CH3&gt;=$AC$4,CH3&lt;(CapEx!$F$6*12)+$AC$4,CapEx!$F$6&gt;1),SLN(CapEx!$C$6,CapEx!$G$6,CapEx!$F$6)/12,0)</f>
        <v>0</v>
      </c>
      <c r="CI4" s="295">
        <f>IF(AND(CI3&gt;=$AC$4,CI3&lt;(CapEx!$F$6*12)+$AC$4,CapEx!$F$6&gt;1),SLN(CapEx!$C$6,CapEx!$G$6,CapEx!$F$6)/12,0)</f>
        <v>0</v>
      </c>
      <c r="CJ4" s="295">
        <f>IF(AND(CJ3&gt;=$AC$4,CJ3&lt;(CapEx!$F$6*12)+$AC$4,CapEx!$F$6&gt;1),SLN(CapEx!$C$6,CapEx!$G$6,CapEx!$F$6)/12,0)</f>
        <v>0</v>
      </c>
      <c r="CK4" s="295">
        <f>IF(AND(CK3&gt;=$AC$4,CK3&lt;(CapEx!$F$6*12)+$AC$4,CapEx!$F$6&gt;1),SLN(CapEx!$C$6,CapEx!$G$6,CapEx!$F$6)/12,0)</f>
        <v>0</v>
      </c>
      <c r="CN4" s="298"/>
    </row>
    <row r="5" spans="1:101">
      <c r="A5" t="s">
        <v>150</v>
      </c>
      <c r="B5" s="79">
        <v>2012</v>
      </c>
      <c r="F5" s="822" t="s">
        <v>342</v>
      </c>
      <c r="I5" t="str">
        <f>F70</f>
        <v>May</v>
      </c>
      <c r="J5" s="79">
        <v>5</v>
      </c>
      <c r="K5" s="283">
        <f>K4+1</f>
        <v>2011</v>
      </c>
      <c r="L5" s="79">
        <v>36</v>
      </c>
      <c r="V5" s="79"/>
      <c r="Y5" s="79">
        <f>CapEx!F7</f>
        <v>1</v>
      </c>
      <c r="Z5" s="145" t="s">
        <v>213</v>
      </c>
      <c r="AA5" s="297">
        <v>2</v>
      </c>
      <c r="AB5">
        <f>CapEx!C7</f>
        <v>0</v>
      </c>
      <c r="AC5" s="79">
        <f>IF(AB5=0,1,DATEDIF($K$12,DATEVALUE("01-"&amp;CapEx!$D7&amp;"-"&amp;CapEx!$E7),"m")+1)</f>
        <v>1</v>
      </c>
      <c r="AD5" s="295">
        <f>IF(AND(AD$3&gt;=$AC$5,AD$3&lt;(CapEx!$F7*12)+$AC$5,CapEx!$F7&gt;1),SLN(CapEx!$C$7,CapEx!$G$7,CapEx!$F$7)/12,0)</f>
        <v>0</v>
      </c>
      <c r="AE5" s="295">
        <f>IF(AND(AE$3&gt;=$AC$5,AE$3&lt;(CapEx!$F7*12)+$AC$5,CapEx!$F7&gt;1),SLN(CapEx!$C$7,CapEx!$G$7,CapEx!$F$7)/12,0)</f>
        <v>0</v>
      </c>
      <c r="AF5" s="295">
        <f>IF(AND(AF$3&gt;=$AC$5,AF$3&lt;(CapEx!$F7*12)+$AC$5,CapEx!$F7&gt;1),SLN(CapEx!$C$7,CapEx!$G$7,CapEx!$F$7)/12,0)</f>
        <v>0</v>
      </c>
      <c r="AG5" s="295">
        <f>IF(AND(AG$3&gt;=$AC$5,AG$3&lt;(CapEx!$F7*12)+$AC$5,CapEx!$F7&gt;1),SLN(CapEx!$C$7,CapEx!$G$7,CapEx!$F$7)/12,0)</f>
        <v>0</v>
      </c>
      <c r="AH5" s="295">
        <f>IF(AND(AH$3&gt;=$AC$5,AH$3&lt;(CapEx!$F7*12)+$AC$5,CapEx!$F7&gt;1),SLN(CapEx!$C$7,CapEx!$G$7,CapEx!$F$7)/12,0)</f>
        <v>0</v>
      </c>
      <c r="AI5" s="295">
        <f>IF(AND(AI$3&gt;=$AC$5,AI$3&lt;(CapEx!$F7*12)+$AC$5,CapEx!$F7&gt;1),SLN(CapEx!$C$7,CapEx!$G$7,CapEx!$F$7)/12,0)</f>
        <v>0</v>
      </c>
      <c r="AJ5" s="295">
        <f>IF(AND(AJ$3&gt;=$AC$5,AJ$3&lt;(CapEx!$F7*12)+$AC$5,CapEx!$F7&gt;1),SLN(CapEx!$C$7,CapEx!$G$7,CapEx!$F$7)/12,0)</f>
        <v>0</v>
      </c>
      <c r="AK5" s="295">
        <f>IF(AND(AK$3&gt;=$AC$5,AK$3&lt;(CapEx!$F7*12)+$AC$5,CapEx!$F7&gt;1),SLN(CapEx!$C$7,CapEx!$G$7,CapEx!$F$7)/12,0)</f>
        <v>0</v>
      </c>
      <c r="AL5" s="295">
        <f>IF(AND(AL$3&gt;=$AC$5,AL$3&lt;(CapEx!$F7*12)+$AC$5,CapEx!$F7&gt;1),SLN(CapEx!$C$7,CapEx!$G$7,CapEx!$F$7)/12,0)</f>
        <v>0</v>
      </c>
      <c r="AM5" s="295">
        <f>IF(AND(AM$3&gt;=$AC$5,AM$3&lt;(CapEx!$F7*12)+$AC$5,CapEx!$F7&gt;1),SLN(CapEx!$C$7,CapEx!$G$7,CapEx!$F$7)/12,0)</f>
        <v>0</v>
      </c>
      <c r="AN5" s="295">
        <f>IF(AND(AN$3&gt;=$AC$5,AN$3&lt;(CapEx!$F7*12)+$AC$5,CapEx!$F7&gt;1),SLN(CapEx!$C$7,CapEx!$G$7,CapEx!$F$7)/12,0)</f>
        <v>0</v>
      </c>
      <c r="AO5" s="295">
        <f>IF(AND(AO$3&gt;=$AC$5,AO$3&lt;(CapEx!$F7*12)+$AC$5,CapEx!$F7&gt;1),SLN(CapEx!$C$7,CapEx!$G$7,CapEx!$F$7)/12,0)</f>
        <v>0</v>
      </c>
      <c r="AP5" s="295">
        <f>IF(AND(AP$3&gt;=$AC$5,AP$3&lt;(CapEx!$F7*12)+$AC$5,CapEx!$F7&gt;1),SLN(CapEx!$C$7,CapEx!$G$7,CapEx!$F$7)/12,0)</f>
        <v>0</v>
      </c>
      <c r="AQ5" s="295">
        <f>IF(AND(AQ$3&gt;=$AC$5,AQ$3&lt;(CapEx!$F7*12)+$AC$5,CapEx!$F7&gt;1),SLN(CapEx!$C$7,CapEx!$G$7,CapEx!$F$7)/12,0)</f>
        <v>0</v>
      </c>
      <c r="AR5" s="295">
        <f>IF(AND(AR$3&gt;=$AC$5,AR$3&lt;(CapEx!$F7*12)+$AC$5,CapEx!$F7&gt;1),SLN(CapEx!$C$7,CapEx!$G$7,CapEx!$F$7)/12,0)</f>
        <v>0</v>
      </c>
      <c r="AS5" s="295">
        <f>IF(AND(AS$3&gt;=$AC$5,AS$3&lt;(CapEx!$F7*12)+$AC$5,CapEx!$F7&gt;1),SLN(CapEx!$C$7,CapEx!$G$7,CapEx!$F$7)/12,0)</f>
        <v>0</v>
      </c>
      <c r="AT5" s="295">
        <f>IF(AND(AT$3&gt;=$AC$5,AT$3&lt;(CapEx!$F7*12)+$AC$5,CapEx!$F7&gt;1),SLN(CapEx!$C$7,CapEx!$G$7,CapEx!$F$7)/12,0)</f>
        <v>0</v>
      </c>
      <c r="AU5" s="295">
        <f>IF(AND(AU$3&gt;=$AC$5,AU$3&lt;(CapEx!$F7*12)+$AC$5,CapEx!$F7&gt;1),SLN(CapEx!$C$7,CapEx!$G$7,CapEx!$F$7)/12,0)</f>
        <v>0</v>
      </c>
      <c r="AV5" s="295">
        <f>IF(AND(AV$3&gt;=$AC$5,AV$3&lt;(CapEx!$F7*12)+$AC$5,CapEx!$F7&gt;1),SLN(CapEx!$C$7,CapEx!$G$7,CapEx!$F$7)/12,0)</f>
        <v>0</v>
      </c>
      <c r="AW5" s="295">
        <f>IF(AND(AW$3&gt;=$AC$5,AW$3&lt;(CapEx!$F7*12)+$AC$5,CapEx!$F7&gt;1),SLN(CapEx!$C$7,CapEx!$G$7,CapEx!$F$7)/12,0)</f>
        <v>0</v>
      </c>
      <c r="AX5" s="295">
        <f>IF(AND(AX$3&gt;=$AC$5,AX$3&lt;(CapEx!$F7*12)+$AC$5,CapEx!$F7&gt;1),SLN(CapEx!$C$7,CapEx!$G$7,CapEx!$F$7)/12,0)</f>
        <v>0</v>
      </c>
      <c r="AY5" s="295">
        <f>IF(AND(AY$3&gt;=$AC$5,AY$3&lt;(CapEx!$F7*12)+$AC$5,CapEx!$F7&gt;1),SLN(CapEx!$C$7,CapEx!$G$7,CapEx!$F$7)/12,0)</f>
        <v>0</v>
      </c>
      <c r="AZ5" s="295">
        <f>IF(AND(AZ$3&gt;=$AC$5,AZ$3&lt;(CapEx!$F7*12)+$AC$5,CapEx!$F7&gt;1),SLN(CapEx!$C$7,CapEx!$G$7,CapEx!$F$7)/12,0)</f>
        <v>0</v>
      </c>
      <c r="BA5" s="295">
        <f>IF(AND(BA$3&gt;=$AC$5,BA$3&lt;(CapEx!$F7*12)+$AC$5,CapEx!$F7&gt;1),SLN(CapEx!$C$7,CapEx!$G$7,CapEx!$F$7)/12,0)</f>
        <v>0</v>
      </c>
      <c r="BB5" s="295">
        <f>IF(AND(BB$3&gt;=$AC$5,BB$3&lt;(CapEx!$F7*12)+$AC$5,CapEx!$F7&gt;1),SLN(CapEx!$C$7,CapEx!$G$7,CapEx!$F$7)/12,0)</f>
        <v>0</v>
      </c>
      <c r="BC5" s="295">
        <f>IF(AND(BC$3&gt;=$AC$5,BC$3&lt;(CapEx!$F7*12)+$AC$5,CapEx!$F7&gt;1),SLN(CapEx!$C$7,CapEx!$G$7,CapEx!$F$7)/12,0)</f>
        <v>0</v>
      </c>
      <c r="BD5" s="295">
        <f>IF(AND(BD$3&gt;=$AC$5,BD$3&lt;(CapEx!$F7*12)+$AC$5,CapEx!$F7&gt;1),SLN(CapEx!$C$7,CapEx!$G$7,CapEx!$F$7)/12,0)</f>
        <v>0</v>
      </c>
      <c r="BE5" s="295">
        <f>IF(AND(BE$3&gt;=$AC$5,BE$3&lt;(CapEx!$F7*12)+$AC$5,CapEx!$F7&gt;1),SLN(CapEx!$C$7,CapEx!$G$7,CapEx!$F$7)/12,0)</f>
        <v>0</v>
      </c>
      <c r="BF5" s="295">
        <f>IF(AND(BF$3&gt;=$AC$5,BF$3&lt;(CapEx!$F7*12)+$AC$5,CapEx!$F7&gt;1),SLN(CapEx!$C$7,CapEx!$G$7,CapEx!$F$7)/12,0)</f>
        <v>0</v>
      </c>
      <c r="BG5" s="295">
        <f>IF(AND(BG$3&gt;=$AC$5,BG$3&lt;(CapEx!$F7*12)+$AC$5,CapEx!$F7&gt;1),SLN(CapEx!$C$7,CapEx!$G$7,CapEx!$F$7)/12,0)</f>
        <v>0</v>
      </c>
      <c r="BH5" s="295">
        <f>IF(AND(BH$3&gt;=$AC$5,BH$3&lt;(CapEx!$F7*12)+$AC$5,CapEx!$F7&gt;1),SLN(CapEx!$C$7,CapEx!$G$7,CapEx!$F$7)/12,0)</f>
        <v>0</v>
      </c>
      <c r="BI5" s="295">
        <f>IF(AND(BI$3&gt;=$AC$5,BI$3&lt;(CapEx!$F7*12)+$AC$5,CapEx!$F7&gt;1),SLN(CapEx!$C$7,CapEx!$G$7,CapEx!$F$7)/12,0)</f>
        <v>0</v>
      </c>
      <c r="BJ5" s="295">
        <f>IF(AND(BJ$3&gt;=$AC$5,BJ$3&lt;(CapEx!$F7*12)+$AC$5,CapEx!$F7&gt;1),SLN(CapEx!$C$7,CapEx!$G$7,CapEx!$F$7)/12,0)</f>
        <v>0</v>
      </c>
      <c r="BK5" s="295">
        <f>IF(AND(BK$3&gt;=$AC$5,BK$3&lt;(CapEx!$F7*12)+$AC$5,CapEx!$F7&gt;1),SLN(CapEx!$C$7,CapEx!$G$7,CapEx!$F$7)/12,0)</f>
        <v>0</v>
      </c>
      <c r="BL5" s="295">
        <f>IF(AND(BL$3&gt;=$AC$5,BL$3&lt;(CapEx!$F7*12)+$AC$5,CapEx!$F7&gt;1),SLN(CapEx!$C$7,CapEx!$G$7,CapEx!$F$7)/12,0)</f>
        <v>0</v>
      </c>
      <c r="BM5" s="295">
        <f>IF(AND(BM$3&gt;=$AC$5,BM$3&lt;(CapEx!$F7*12)+$AC$5,CapEx!$F7&gt;1),SLN(CapEx!$C$7,CapEx!$G$7,CapEx!$F$7)/12,0)</f>
        <v>0</v>
      </c>
      <c r="BN5" s="295">
        <f>IF(AND(BN$3&gt;=$AC$5,BN$3&lt;(CapEx!$F7*12)+$AC$5,CapEx!$F7&gt;1),SLN(CapEx!$C$7,CapEx!$G$7,CapEx!$F$7)/12,0)</f>
        <v>0</v>
      </c>
      <c r="BO5" s="295">
        <f>IF(AND(BO$3&gt;=$AC$5,BO$3&lt;(CapEx!$F7*12)+$AC$5,CapEx!$F7&gt;1),SLN(CapEx!$C$7,CapEx!$G$7,CapEx!$F$7)/12,0)</f>
        <v>0</v>
      </c>
      <c r="BP5" s="295">
        <f>IF(AND(BP$3&gt;=$AC$5,BP$3&lt;(CapEx!$F7*12)+$AC$5,CapEx!$F7&gt;1),SLN(CapEx!$C$7,CapEx!$G$7,CapEx!$F$7)/12,0)</f>
        <v>0</v>
      </c>
      <c r="BQ5" s="295">
        <f>IF(AND(BQ$3&gt;=$AC$5,BQ$3&lt;(CapEx!$F7*12)+$AC$5,CapEx!$F7&gt;1),SLN(CapEx!$C$7,CapEx!$G$7,CapEx!$F$7)/12,0)</f>
        <v>0</v>
      </c>
      <c r="BR5" s="295">
        <f>IF(AND(BR$3&gt;=$AC$5,BR$3&lt;(CapEx!$F7*12)+$AC$5,CapEx!$F7&gt;1),SLN(CapEx!$C$7,CapEx!$G$7,CapEx!$F$7)/12,0)</f>
        <v>0</v>
      </c>
      <c r="BS5" s="295">
        <f>IF(AND(BS$3&gt;=$AC$5,BS$3&lt;(CapEx!$F7*12)+$AC$5,CapEx!$F7&gt;1),SLN(CapEx!$C$7,CapEx!$G$7,CapEx!$F$7)/12,0)</f>
        <v>0</v>
      </c>
      <c r="BT5" s="295">
        <f>IF(AND(BT$3&gt;=$AC$5,BT$3&lt;(CapEx!$F7*12)+$AC$5,CapEx!$F7&gt;1),SLN(CapEx!$C$7,CapEx!$G$7,CapEx!$F$7)/12,0)</f>
        <v>0</v>
      </c>
      <c r="BU5" s="295">
        <f>IF(AND(BU$3&gt;=$AC$5,BU$3&lt;(CapEx!$F7*12)+$AC$5,CapEx!$F7&gt;1),SLN(CapEx!$C$7,CapEx!$G$7,CapEx!$F$7)/12,0)</f>
        <v>0</v>
      </c>
      <c r="BV5" s="295">
        <f>IF(AND(BV$3&gt;=$AC$5,BV$3&lt;(CapEx!$F7*12)+$AC$5,CapEx!$F7&gt;1),SLN(CapEx!$C$7,CapEx!$G$7,CapEx!$F$7)/12,0)</f>
        <v>0</v>
      </c>
      <c r="BW5" s="295">
        <f>IF(AND(BW$3&gt;=$AC$5,BW$3&lt;(CapEx!$F7*12)+$AC$5,CapEx!$F7&gt;1),SLN(CapEx!$C$7,CapEx!$G$7,CapEx!$F$7)/12,0)</f>
        <v>0</v>
      </c>
      <c r="BX5" s="295">
        <f>IF(AND(BX$3&gt;=$AC$5,BX$3&lt;(CapEx!$F7*12)+$AC$5,CapEx!$F7&gt;1),SLN(CapEx!$C$7,CapEx!$G$7,CapEx!$F$7)/12,0)</f>
        <v>0</v>
      </c>
      <c r="BY5" s="295">
        <f>IF(AND(BY$3&gt;=$AC$5,BY$3&lt;(CapEx!$F7*12)+$AC$5,CapEx!$F7&gt;1),SLN(CapEx!$C$7,CapEx!$G$7,CapEx!$F$7)/12,0)</f>
        <v>0</v>
      </c>
      <c r="BZ5" s="295">
        <f>IF(AND(BZ$3&gt;=$AC$5,BZ$3&lt;(CapEx!$F7*12)+$AC$5,CapEx!$F7&gt;1),SLN(CapEx!$C$7,CapEx!$G$7,CapEx!$F$7)/12,0)</f>
        <v>0</v>
      </c>
      <c r="CA5" s="295">
        <f>IF(AND(CA$3&gt;=$AC$5,CA$3&lt;(CapEx!$F7*12)+$AC$5,CapEx!$F7&gt;1),SLN(CapEx!$C$7,CapEx!$G$7,CapEx!$F$7)/12,0)</f>
        <v>0</v>
      </c>
      <c r="CB5" s="295">
        <f>IF(AND(CB$3&gt;=$AC$5,CB$3&lt;(CapEx!$F7*12)+$AC$5,CapEx!$F7&gt;1),SLN(CapEx!$C$7,CapEx!$G$7,CapEx!$F$7)/12,0)</f>
        <v>0</v>
      </c>
      <c r="CC5" s="295">
        <f>IF(AND(CC$3&gt;=$AC$5,CC$3&lt;(CapEx!$F7*12)+$AC$5,CapEx!$F7&gt;1),SLN(CapEx!$C$7,CapEx!$G$7,CapEx!$F$7)/12,0)</f>
        <v>0</v>
      </c>
      <c r="CD5" s="295">
        <f>IF(AND(CD$3&gt;=$AC$5,CD$3&lt;(CapEx!$F7*12)+$AC$5,CapEx!$F7&gt;1),SLN(CapEx!$C$7,CapEx!$G$7,CapEx!$F$7)/12,0)</f>
        <v>0</v>
      </c>
      <c r="CE5" s="295">
        <f>IF(AND(CE$3&gt;=$AC$5,CE$3&lt;(CapEx!$F7*12)+$AC$5,CapEx!$F7&gt;1),SLN(CapEx!$C$7,CapEx!$G$7,CapEx!$F$7)/12,0)</f>
        <v>0</v>
      </c>
      <c r="CF5" s="295">
        <f>IF(AND(CF$3&gt;=$AC$5,CF$3&lt;(CapEx!$F7*12)+$AC$5,CapEx!$F7&gt;1),SLN(CapEx!$C$7,CapEx!$G$7,CapEx!$F$7)/12,0)</f>
        <v>0</v>
      </c>
      <c r="CG5" s="295">
        <f>IF(AND(CG$3&gt;=$AC$5,CG$3&lt;(CapEx!$F7*12)+$AC$5,CapEx!$F7&gt;1),SLN(CapEx!$C$7,CapEx!$G$7,CapEx!$F$7)/12,0)</f>
        <v>0</v>
      </c>
      <c r="CH5" s="295">
        <f>IF(AND(CH$3&gt;=$AC$5,CH$3&lt;(CapEx!$F7*12)+$AC$5,CapEx!$F7&gt;1),SLN(CapEx!$C$7,CapEx!$G$7,CapEx!$F$7)/12,0)</f>
        <v>0</v>
      </c>
      <c r="CI5" s="295">
        <f>IF(AND(CI$3&gt;=$AC$5,CI$3&lt;(CapEx!$F7*12)+$AC$5,CapEx!$F7&gt;1),SLN(CapEx!$C$7,CapEx!$G$7,CapEx!$F$7)/12,0)</f>
        <v>0</v>
      </c>
      <c r="CJ5" s="295">
        <f>IF(AND(CJ$3&gt;=$AC$5,CJ$3&lt;(CapEx!$F7*12)+$AC$5,CapEx!$F7&gt;1),SLN(CapEx!$C$7,CapEx!$G$7,CapEx!$F$7)/12,0)</f>
        <v>0</v>
      </c>
      <c r="CK5" s="295">
        <f>IF(AND(CK$3&gt;=$AC$5,CK$3&lt;(CapEx!$F7*12)+$AC$5,CapEx!$F7&gt;1),SLN(CapEx!$C$7,CapEx!$G$7,CapEx!$F$7)/12,0)</f>
        <v>0</v>
      </c>
      <c r="CN5" s="298"/>
    </row>
    <row r="6" spans="1:101">
      <c r="A6" t="s">
        <v>11</v>
      </c>
      <c r="F6" t="str">
        <f>LEFT(cMonthStartup,3)</f>
        <v>Jan</v>
      </c>
      <c r="I6" t="str">
        <f>G70</f>
        <v>Jun</v>
      </c>
      <c r="J6" s="79">
        <v>6</v>
      </c>
      <c r="K6" s="283">
        <f>K5+1</f>
        <v>2012</v>
      </c>
      <c r="L6" s="79">
        <v>48</v>
      </c>
      <c r="Y6" s="79">
        <f>CapEx!F8</f>
        <v>1</v>
      </c>
      <c r="Z6" s="145" t="s">
        <v>213</v>
      </c>
      <c r="AA6" s="297">
        <v>3</v>
      </c>
      <c r="AB6">
        <f>CapEx!C8</f>
        <v>0</v>
      </c>
      <c r="AC6" s="79">
        <f>IF(AB6=0,1,DATEDIF($K$12,DATEVALUE("01-"&amp;CapEx!$D8&amp;"-"&amp;CapEx!$E8),"m")+1)</f>
        <v>1</v>
      </c>
      <c r="AD6" s="295">
        <f>IF(AND(AD$3&gt;=$AC6,AD$3&lt;(CapEx!$F$8*12)+$AC$6,CapEx!$F8&gt;1),SLN(CapEx!$C$8,CapEx!$G$8,CapEx!$F$8)/12,0)</f>
        <v>0</v>
      </c>
      <c r="AE6" s="295">
        <f>IF(AND(AE$3&gt;=$AC6,AE$3&lt;(CapEx!$F$8*12)+$AC$6,CapEx!$F8&gt;1),SLN(CapEx!$C$8,CapEx!$G$8,CapEx!$F$8)/12,0)</f>
        <v>0</v>
      </c>
      <c r="AF6" s="295">
        <f>IF(AND(AF$3&gt;=$AC6,AF$3&lt;(CapEx!$F$8*12)+$AC$6,CapEx!$F8&gt;1),SLN(CapEx!$C$8,CapEx!$G$8,CapEx!$F$8)/12,0)</f>
        <v>0</v>
      </c>
      <c r="AG6" s="295">
        <f>IF(AND(AG$3&gt;=$AC6,AG$3&lt;(CapEx!$F$8*12)+$AC$6,CapEx!$F8&gt;1),SLN(CapEx!$C$8,CapEx!$G$8,CapEx!$F$8)/12,0)</f>
        <v>0</v>
      </c>
      <c r="AH6" s="295">
        <f>IF(AND(AH$3&gt;=$AC6,AH$3&lt;(CapEx!$F$8*12)+$AC$6,CapEx!$F8&gt;1),SLN(CapEx!$C$8,CapEx!$G$8,CapEx!$F$8)/12,0)</f>
        <v>0</v>
      </c>
      <c r="AI6" s="295">
        <f>IF(AND(AI$3&gt;=$AC6,AI$3&lt;(CapEx!$F$8*12)+$AC$6,CapEx!$F8&gt;1),SLN(CapEx!$C$8,CapEx!$G$8,CapEx!$F$8)/12,0)</f>
        <v>0</v>
      </c>
      <c r="AJ6" s="295">
        <f>IF(AND(AJ$3&gt;=$AC6,AJ$3&lt;(CapEx!$F$8*12)+$AC$6,CapEx!$F8&gt;1),SLN(CapEx!$C$8,CapEx!$G$8,CapEx!$F$8)/12,0)</f>
        <v>0</v>
      </c>
      <c r="AK6" s="295">
        <f>IF(AND(AK$3&gt;=$AC6,AK$3&lt;(CapEx!$F$8*12)+$AC$6,CapEx!$F8&gt;1),SLN(CapEx!$C$8,CapEx!$G$8,CapEx!$F$8)/12,0)</f>
        <v>0</v>
      </c>
      <c r="AL6" s="295">
        <f>IF(AND(AL$3&gt;=$AC6,AL$3&lt;(CapEx!$F$8*12)+$AC$6,CapEx!$F8&gt;1),SLN(CapEx!$C$8,CapEx!$G$8,CapEx!$F$8)/12,0)</f>
        <v>0</v>
      </c>
      <c r="AM6" s="295">
        <f>IF(AND(AM$3&gt;=$AC6,AM$3&lt;(CapEx!$F$8*12)+$AC$6,CapEx!$F8&gt;1),SLN(CapEx!$C$8,CapEx!$G$8,CapEx!$F$8)/12,0)</f>
        <v>0</v>
      </c>
      <c r="AN6" s="295">
        <f>IF(AND(AN$3&gt;=$AC6,AN$3&lt;(CapEx!$F$8*12)+$AC$6,CapEx!$F8&gt;1),SLN(CapEx!$C$8,CapEx!$G$8,CapEx!$F$8)/12,0)</f>
        <v>0</v>
      </c>
      <c r="AO6" s="295">
        <f>IF(AND(AO$3&gt;=$AC6,AO$3&lt;(CapEx!$F$8*12)+$AC$6,CapEx!$F8&gt;1),SLN(CapEx!$C$8,CapEx!$G$8,CapEx!$F$8)/12,0)</f>
        <v>0</v>
      </c>
      <c r="AP6" s="295">
        <f>IF(AND(AP$3&gt;=$AC6,AP$3&lt;(CapEx!$F$8*12)+$AC$6,CapEx!$F8&gt;1),SLN(CapEx!$C$8,CapEx!$G$8,CapEx!$F$8)/12,0)</f>
        <v>0</v>
      </c>
      <c r="AQ6" s="295">
        <f>IF(AND(AQ$3&gt;=$AC6,AQ$3&lt;(CapEx!$F$8*12)+$AC$6,CapEx!$F8&gt;1),SLN(CapEx!$C$8,CapEx!$G$8,CapEx!$F$8)/12,0)</f>
        <v>0</v>
      </c>
      <c r="AR6" s="295">
        <f>IF(AND(AR$3&gt;=$AC6,AR$3&lt;(CapEx!$F$8*12)+$AC$6,CapEx!$F8&gt;1),SLN(CapEx!$C$8,CapEx!$G$8,CapEx!$F$8)/12,0)</f>
        <v>0</v>
      </c>
      <c r="AS6" s="295">
        <f>IF(AND(AS$3&gt;=$AC6,AS$3&lt;(CapEx!$F$8*12)+$AC$6,CapEx!$F8&gt;1),SLN(CapEx!$C$8,CapEx!$G$8,CapEx!$F$8)/12,0)</f>
        <v>0</v>
      </c>
      <c r="AT6" s="295">
        <f>IF(AND(AT$3&gt;=$AC6,AT$3&lt;(CapEx!$F$8*12)+$AC$6,CapEx!$F8&gt;1),SLN(CapEx!$C$8,CapEx!$G$8,CapEx!$F$8)/12,0)</f>
        <v>0</v>
      </c>
      <c r="AU6" s="295">
        <f>IF(AND(AU$3&gt;=$AC6,AU$3&lt;(CapEx!$F$8*12)+$AC$6,CapEx!$F8&gt;1),SLN(CapEx!$C$8,CapEx!$G$8,CapEx!$F$8)/12,0)</f>
        <v>0</v>
      </c>
      <c r="AV6" s="295">
        <f>IF(AND(AV$3&gt;=$AC6,AV$3&lt;(CapEx!$F$8*12)+$AC$6,CapEx!$F8&gt;1),SLN(CapEx!$C$8,CapEx!$G$8,CapEx!$F$8)/12,0)</f>
        <v>0</v>
      </c>
      <c r="AW6" s="295">
        <f>IF(AND(AW$3&gt;=$AC6,AW$3&lt;(CapEx!$F$8*12)+$AC$6,CapEx!$F8&gt;1),SLN(CapEx!$C$8,CapEx!$G$8,CapEx!$F$8)/12,0)</f>
        <v>0</v>
      </c>
      <c r="AX6" s="295">
        <f>IF(AND(AX$3&gt;=$AC6,AX$3&lt;(CapEx!$F$8*12)+$AC$6,CapEx!$F8&gt;1),SLN(CapEx!$C$8,CapEx!$G$8,CapEx!$F$8)/12,0)</f>
        <v>0</v>
      </c>
      <c r="AY6" s="295">
        <f>IF(AND(AY$3&gt;=$AC6,AY$3&lt;(CapEx!$F$8*12)+$AC$6,CapEx!$F8&gt;1),SLN(CapEx!$C$8,CapEx!$G$8,CapEx!$F$8)/12,0)</f>
        <v>0</v>
      </c>
      <c r="AZ6" s="295">
        <f>IF(AND(AZ$3&gt;=$AC6,AZ$3&lt;(CapEx!$F$8*12)+$AC$6,CapEx!$F8&gt;1),SLN(CapEx!$C$8,CapEx!$G$8,CapEx!$F$8)/12,0)</f>
        <v>0</v>
      </c>
      <c r="BA6" s="295">
        <f>IF(AND(BA$3&gt;=$AC6,BA$3&lt;(CapEx!$F$8*12)+$AC$6,CapEx!$F8&gt;1),SLN(CapEx!$C$8,CapEx!$G$8,CapEx!$F$8)/12,0)</f>
        <v>0</v>
      </c>
      <c r="BB6" s="295">
        <f>IF(AND(BB$3&gt;=$AC6,BB$3&lt;(CapEx!$F$8*12)+$AC$6,CapEx!$F8&gt;1),SLN(CapEx!$C$8,CapEx!$G$8,CapEx!$F$8)/12,0)</f>
        <v>0</v>
      </c>
      <c r="BC6" s="295">
        <f>IF(AND(BC$3&gt;=$AC6,BC$3&lt;(CapEx!$F$8*12)+$AC$6,CapEx!$F8&gt;1),SLN(CapEx!$C$8,CapEx!$G$8,CapEx!$F$8)/12,0)</f>
        <v>0</v>
      </c>
      <c r="BD6" s="295">
        <f>IF(AND(BD$3&gt;=$AC6,BD$3&lt;(CapEx!$F$8*12)+$AC$6,CapEx!$F8&gt;1),SLN(CapEx!$C$8,CapEx!$G$8,CapEx!$F$8)/12,0)</f>
        <v>0</v>
      </c>
      <c r="BE6" s="295">
        <f>IF(AND(BE$3&gt;=$AC6,BE$3&lt;(CapEx!$F$8*12)+$AC$6,CapEx!$F8&gt;1),SLN(CapEx!$C$8,CapEx!$G$8,CapEx!$F$8)/12,0)</f>
        <v>0</v>
      </c>
      <c r="BF6" s="295">
        <f>IF(AND(BF$3&gt;=$AC6,BF$3&lt;(CapEx!$F$8*12)+$AC$6,CapEx!$F8&gt;1),SLN(CapEx!$C$8,CapEx!$G$8,CapEx!$F$8)/12,0)</f>
        <v>0</v>
      </c>
      <c r="BG6" s="295">
        <f>IF(AND(BG$3&gt;=$AC6,BG$3&lt;(CapEx!$F$8*12)+$AC$6,CapEx!$F8&gt;1),SLN(CapEx!$C$8,CapEx!$G$8,CapEx!$F$8)/12,0)</f>
        <v>0</v>
      </c>
      <c r="BH6" s="295">
        <f>IF(AND(BH$3&gt;=$AC6,BH$3&lt;(CapEx!$F$8*12)+$AC$6,CapEx!$F8&gt;1),SLN(CapEx!$C$8,CapEx!$G$8,CapEx!$F$8)/12,0)</f>
        <v>0</v>
      </c>
      <c r="BI6" s="295">
        <f>IF(AND(BI$3&gt;=$AC6,BI$3&lt;(CapEx!$F$8*12)+$AC$6,CapEx!$F8&gt;1),SLN(CapEx!$C$8,CapEx!$G$8,CapEx!$F$8)/12,0)</f>
        <v>0</v>
      </c>
      <c r="BJ6" s="295">
        <f>IF(AND(BJ$3&gt;=$AC6,BJ$3&lt;(CapEx!$F$8*12)+$AC$6,CapEx!$F8&gt;1),SLN(CapEx!$C$8,CapEx!$G$8,CapEx!$F$8)/12,0)</f>
        <v>0</v>
      </c>
      <c r="BK6" s="295">
        <f>IF(AND(BK$3&gt;=$AC6,BK$3&lt;(CapEx!$F$8*12)+$AC$6,CapEx!$F8&gt;1),SLN(CapEx!$C$8,CapEx!$G$8,CapEx!$F$8)/12,0)</f>
        <v>0</v>
      </c>
      <c r="BL6" s="295">
        <f>IF(AND(BL$3&gt;=$AC6,BL$3&lt;(CapEx!$F$8*12)+$AC$6,CapEx!$F8&gt;1),SLN(CapEx!$C$8,CapEx!$G$8,CapEx!$F$8)/12,0)</f>
        <v>0</v>
      </c>
      <c r="BM6" s="295">
        <f>IF(AND(BM$3&gt;=$AC6,BM$3&lt;(CapEx!$F$8*12)+$AC$6,CapEx!$F8&gt;1),SLN(CapEx!$C$8,CapEx!$G$8,CapEx!$F$8)/12,0)</f>
        <v>0</v>
      </c>
      <c r="BN6" s="295">
        <f>IF(AND(BN$3&gt;=$AC6,BN$3&lt;(CapEx!$F$8*12)+$AC$6,CapEx!$F8&gt;1),SLN(CapEx!$C$8,CapEx!$G$8,CapEx!$F$8)/12,0)</f>
        <v>0</v>
      </c>
      <c r="BO6" s="295">
        <f>IF(AND(BO$3&gt;=$AC6,BO$3&lt;(CapEx!$F$8*12)+$AC$6,CapEx!$F8&gt;1),SLN(CapEx!$C$8,CapEx!$G$8,CapEx!$F$8)/12,0)</f>
        <v>0</v>
      </c>
      <c r="BP6" s="295">
        <f>IF(AND(BP$3&gt;=$AC6,BP$3&lt;(CapEx!$F$8*12)+$AC$6,CapEx!$F8&gt;1),SLN(CapEx!$C$8,CapEx!$G$8,CapEx!$F$8)/12,0)</f>
        <v>0</v>
      </c>
      <c r="BQ6" s="295">
        <f>IF(AND(BQ$3&gt;=$AC6,BQ$3&lt;(CapEx!$F$8*12)+$AC$6,CapEx!$F8&gt;1),SLN(CapEx!$C$8,CapEx!$G$8,CapEx!$F$8)/12,0)</f>
        <v>0</v>
      </c>
      <c r="BR6" s="295">
        <f>IF(AND(BR$3&gt;=$AC6,BR$3&lt;(CapEx!$F$8*12)+$AC$6,CapEx!$F8&gt;1),SLN(CapEx!$C$8,CapEx!$G$8,CapEx!$F$8)/12,0)</f>
        <v>0</v>
      </c>
      <c r="BS6" s="295">
        <f>IF(AND(BS$3&gt;=$AC6,BS$3&lt;(CapEx!$F$8*12)+$AC$6,CapEx!$F8&gt;1),SLN(CapEx!$C$8,CapEx!$G$8,CapEx!$F$8)/12,0)</f>
        <v>0</v>
      </c>
      <c r="BT6" s="295">
        <f>IF(AND(BT$3&gt;=$AC6,BT$3&lt;(CapEx!$F$8*12)+$AC$6,CapEx!$F8&gt;1),SLN(CapEx!$C$8,CapEx!$G$8,CapEx!$F$8)/12,0)</f>
        <v>0</v>
      </c>
      <c r="BU6" s="295">
        <f>IF(AND(BU$3&gt;=$AC6,BU$3&lt;(CapEx!$F$8*12)+$AC$6,CapEx!$F8&gt;1),SLN(CapEx!$C$8,CapEx!$G$8,CapEx!$F$8)/12,0)</f>
        <v>0</v>
      </c>
      <c r="BV6" s="295">
        <f>IF(AND(BV$3&gt;=$AC6,BV$3&lt;(CapEx!$F$8*12)+$AC$6,CapEx!$F8&gt;1),SLN(CapEx!$C$8,CapEx!$G$8,CapEx!$F$8)/12,0)</f>
        <v>0</v>
      </c>
      <c r="BW6" s="295">
        <f>IF(AND(BW$3&gt;=$AC6,BW$3&lt;(CapEx!$F$8*12)+$AC$6,CapEx!$F8&gt;1),SLN(CapEx!$C$8,CapEx!$G$8,CapEx!$F$8)/12,0)</f>
        <v>0</v>
      </c>
      <c r="BX6" s="295">
        <f>IF(AND(BX$3&gt;=$AC6,BX$3&lt;(CapEx!$F$8*12)+$AC$6,CapEx!$F8&gt;1),SLN(CapEx!$C$8,CapEx!$G$8,CapEx!$F$8)/12,0)</f>
        <v>0</v>
      </c>
      <c r="BY6" s="295">
        <f>IF(AND(BY$3&gt;=$AC6,BY$3&lt;(CapEx!$F$8*12)+$AC$6,CapEx!$F8&gt;1),SLN(CapEx!$C$8,CapEx!$G$8,CapEx!$F$8)/12,0)</f>
        <v>0</v>
      </c>
      <c r="BZ6" s="295">
        <f>IF(AND(BZ$3&gt;=$AC6,BZ$3&lt;(CapEx!$F$8*12)+$AC$6,CapEx!$F8&gt;1),SLN(CapEx!$C$8,CapEx!$G$8,CapEx!$F$8)/12,0)</f>
        <v>0</v>
      </c>
      <c r="CA6" s="295">
        <f>IF(AND(CA$3&gt;=$AC6,CA$3&lt;(CapEx!$F$8*12)+$AC$6,CapEx!$F8&gt;1),SLN(CapEx!$C$8,CapEx!$G$8,CapEx!$F$8)/12,0)</f>
        <v>0</v>
      </c>
      <c r="CB6" s="295">
        <f>IF(AND(CB$3&gt;=$AC6,CB$3&lt;(CapEx!$F$8*12)+$AC$6,CapEx!$F8&gt;1),SLN(CapEx!$C$8,CapEx!$G$8,CapEx!$F$8)/12,0)</f>
        <v>0</v>
      </c>
      <c r="CC6" s="295">
        <f>IF(AND(CC$3&gt;=$AC6,CC$3&lt;(CapEx!$F$8*12)+$AC$6,CapEx!$F8&gt;1),SLN(CapEx!$C$8,CapEx!$G$8,CapEx!$F$8)/12,0)</f>
        <v>0</v>
      </c>
      <c r="CD6" s="295">
        <f>IF(AND(CD$3&gt;=$AC6,CD$3&lt;(CapEx!$F$8*12)+$AC$6,CapEx!$F8&gt;1),SLN(CapEx!$C$8,CapEx!$G$8,CapEx!$F$8)/12,0)</f>
        <v>0</v>
      </c>
      <c r="CE6" s="295">
        <f>IF(AND(CE$3&gt;=$AC6,CE$3&lt;(CapEx!$F$8*12)+$AC$6,CapEx!$F8&gt;1),SLN(CapEx!$C$8,CapEx!$G$8,CapEx!$F$8)/12,0)</f>
        <v>0</v>
      </c>
      <c r="CF6" s="295">
        <f>IF(AND(CF$3&gt;=$AC6,CF$3&lt;(CapEx!$F$8*12)+$AC$6,CapEx!$F8&gt;1),SLN(CapEx!$C$8,CapEx!$G$8,CapEx!$F$8)/12,0)</f>
        <v>0</v>
      </c>
      <c r="CG6" s="295">
        <f>IF(AND(CG$3&gt;=$AC6,CG$3&lt;(CapEx!$F$8*12)+$AC$6,CapEx!$F8&gt;1),SLN(CapEx!$C$8,CapEx!$G$8,CapEx!$F$8)/12,0)</f>
        <v>0</v>
      </c>
      <c r="CH6" s="295">
        <f>IF(AND(CH$3&gt;=$AC6,CH$3&lt;(CapEx!$F$8*12)+$AC$6,CapEx!$F8&gt;1),SLN(CapEx!$C$8,CapEx!$G$8,CapEx!$F$8)/12,0)</f>
        <v>0</v>
      </c>
      <c r="CI6" s="295">
        <f>IF(AND(CI$3&gt;=$AC6,CI$3&lt;(CapEx!$F$8*12)+$AC$6,CapEx!$F8&gt;1),SLN(CapEx!$C$8,CapEx!$G$8,CapEx!$F$8)/12,0)</f>
        <v>0</v>
      </c>
      <c r="CJ6" s="295">
        <f>IF(AND(CJ$3&gt;=$AC6,CJ$3&lt;(CapEx!$F$8*12)+$AC$6,CapEx!$F8&gt;1),SLN(CapEx!$C$8,CapEx!$G$8,CapEx!$F$8)/12,0)</f>
        <v>0</v>
      </c>
      <c r="CK6" s="295">
        <f>IF(AND(CK$3&gt;=$AC6,CK$3&lt;(CapEx!$F$8*12)+$AC$6,CapEx!$F8&gt;1),SLN(CapEx!$C$8,CapEx!$G$8,CapEx!$F$8)/12,0)</f>
        <v>0</v>
      </c>
      <c r="CN6" s="298"/>
    </row>
    <row r="7" spans="1:101">
      <c r="A7" t="s">
        <v>12</v>
      </c>
      <c r="I7" t="str">
        <f>H70</f>
        <v>Jul</v>
      </c>
      <c r="J7" s="79">
        <v>7</v>
      </c>
      <c r="K7" s="823" t="s">
        <v>325</v>
      </c>
      <c r="Y7" s="79">
        <f>CapEx!F9</f>
        <v>1</v>
      </c>
      <c r="Z7" s="145" t="s">
        <v>213</v>
      </c>
      <c r="AA7" s="297">
        <v>4</v>
      </c>
      <c r="AB7">
        <f>CapEx!C9</f>
        <v>0</v>
      </c>
      <c r="AC7" s="79">
        <f>IF(AB7=0,1,DATEDIF($K$12,DATEVALUE("01-"&amp;CapEx!$D9&amp;"-"&amp;CapEx!$E9),"m")+1)</f>
        <v>1</v>
      </c>
      <c r="AD7" s="295">
        <f>IF(AND(AD$3&gt;=$AC$7,AD$3&lt;(CapEx!$F$9*12)+$AC$7,CapEx!$F$9&gt;1),SLN(CapEx!$C$9,CapEx!$G$9,CapEx!$F$9)/12,0)</f>
        <v>0</v>
      </c>
      <c r="AE7" s="295">
        <f>IF(AND(AE$3&gt;=$AC$7,AE$3&lt;(CapEx!$F$9*12)+$AC$7,CapEx!$F$9&gt;1),SLN(CapEx!$C$9,CapEx!$G$9,CapEx!$F$9)/12,0)</f>
        <v>0</v>
      </c>
      <c r="AF7" s="295">
        <f>IF(AND(AF$3&gt;=$AC$7,AF$3&lt;(CapEx!$F$9*12)+$AC$7,CapEx!$F$9&gt;1),SLN(CapEx!$C$9,CapEx!$G$9,CapEx!$F$9)/12,0)</f>
        <v>0</v>
      </c>
      <c r="AG7" s="295">
        <f>IF(AND(AG$3&gt;=$AC$7,AG$3&lt;(CapEx!$F$9*12)+$AC$7,CapEx!$F$9&gt;1),SLN(CapEx!$C$9,CapEx!$G$9,CapEx!$F$9)/12,0)</f>
        <v>0</v>
      </c>
      <c r="AH7" s="295">
        <f>IF(AND(AH$3&gt;=$AC$7,AH$3&lt;(CapEx!$F$9*12)+$AC$7,CapEx!$F$9&gt;1),SLN(CapEx!$C$9,CapEx!$G$9,CapEx!$F$9)/12,0)</f>
        <v>0</v>
      </c>
      <c r="AI7" s="295">
        <f>IF(AND(AI$3&gt;=$AC$7,AI$3&lt;(CapEx!$F$9*12)+$AC$7,CapEx!$F$9&gt;1),SLN(CapEx!$C$9,CapEx!$G$9,CapEx!$F$9)/12,0)</f>
        <v>0</v>
      </c>
      <c r="AJ7" s="295">
        <f>IF(AND(AJ$3&gt;=$AC$7,AJ$3&lt;(CapEx!$F$9*12)+$AC$7,CapEx!$F$9&gt;1),SLN(CapEx!$C$9,CapEx!$G$9,CapEx!$F$9)/12,0)</f>
        <v>0</v>
      </c>
      <c r="AK7" s="295">
        <f>IF(AND(AK$3&gt;=$AC$7,AK$3&lt;(CapEx!$F$9*12)+$AC$7,CapEx!$F$9&gt;1),SLN(CapEx!$C$9,CapEx!$G$9,CapEx!$F$9)/12,0)</f>
        <v>0</v>
      </c>
      <c r="AL7" s="295">
        <f>IF(AND(AL$3&gt;=$AC$7,AL$3&lt;(CapEx!$F$9*12)+$AC$7,CapEx!$F$9&gt;1),SLN(CapEx!$C$9,CapEx!$G$9,CapEx!$F$9)/12,0)</f>
        <v>0</v>
      </c>
      <c r="AM7" s="295">
        <f>IF(AND(AM$3&gt;=$AC$7,AM$3&lt;(CapEx!$F$9*12)+$AC$7,CapEx!$F$9&gt;1),SLN(CapEx!$C$9,CapEx!$G$9,CapEx!$F$9)/12,0)</f>
        <v>0</v>
      </c>
      <c r="AN7" s="295">
        <f>IF(AND(AN$3&gt;=$AC$7,AN$3&lt;(CapEx!$F$9*12)+$AC$7,CapEx!$F$9&gt;1),SLN(CapEx!$C$9,CapEx!$G$9,CapEx!$F$9)/12,0)</f>
        <v>0</v>
      </c>
      <c r="AO7" s="295">
        <f>IF(AND(AO$3&gt;=$AC$7,AO$3&lt;(CapEx!$F$9*12)+$AC$7,CapEx!$F$9&gt;1),SLN(CapEx!$C$9,CapEx!$G$9,CapEx!$F$9)/12,0)</f>
        <v>0</v>
      </c>
      <c r="AP7" s="295">
        <f>IF(AND(AP$3&gt;=$AC$7,AP$3&lt;(CapEx!$F$9*12)+$AC$7,CapEx!$F$9&gt;1),SLN(CapEx!$C$9,CapEx!$G$9,CapEx!$F$9)/12,0)</f>
        <v>0</v>
      </c>
      <c r="AQ7" s="295">
        <f>IF(AND(AQ$3&gt;=$AC$7,AQ$3&lt;(CapEx!$F$9*12)+$AC$7,CapEx!$F$9&gt;1),SLN(CapEx!$C$9,CapEx!$G$9,CapEx!$F$9)/12,0)</f>
        <v>0</v>
      </c>
      <c r="AR7" s="295">
        <f>IF(AND(AR$3&gt;=$AC$7,AR$3&lt;(CapEx!$F$9*12)+$AC$7,CapEx!$F$9&gt;1),SLN(CapEx!$C$9,CapEx!$G$9,CapEx!$F$9)/12,0)</f>
        <v>0</v>
      </c>
      <c r="AS7" s="295">
        <f>IF(AND(AS$3&gt;=$AC$7,AS$3&lt;(CapEx!$F$9*12)+$AC$7,CapEx!$F$9&gt;1),SLN(CapEx!$C$9,CapEx!$G$9,CapEx!$F$9)/12,0)</f>
        <v>0</v>
      </c>
      <c r="AT7" s="295">
        <f>IF(AND(AT$3&gt;=$AC$7,AT$3&lt;(CapEx!$F$9*12)+$AC$7,CapEx!$F$9&gt;1),SLN(CapEx!$C$9,CapEx!$G$9,CapEx!$F$9)/12,0)</f>
        <v>0</v>
      </c>
      <c r="AU7" s="295">
        <f>IF(AND(AU$3&gt;=$AC$7,AU$3&lt;(CapEx!$F$9*12)+$AC$7,CapEx!$F$9&gt;1),SLN(CapEx!$C$9,CapEx!$G$9,CapEx!$F$9)/12,0)</f>
        <v>0</v>
      </c>
      <c r="AV7" s="295">
        <f>IF(AND(AV$3&gt;=$AC$7,AV$3&lt;(CapEx!$F$9*12)+$AC$7,CapEx!$F$9&gt;1),SLN(CapEx!$C$9,CapEx!$G$9,CapEx!$F$9)/12,0)</f>
        <v>0</v>
      </c>
      <c r="AW7" s="295">
        <f>IF(AND(AW$3&gt;=$AC$7,AW$3&lt;(CapEx!$F$9*12)+$AC$7,CapEx!$F$9&gt;1),SLN(CapEx!$C$9,CapEx!$G$9,CapEx!$F$9)/12,0)</f>
        <v>0</v>
      </c>
      <c r="AX7" s="295">
        <f>IF(AND(AX$3&gt;=$AC$7,AX$3&lt;(CapEx!$F$9*12)+$AC$7,CapEx!$F$9&gt;1),SLN(CapEx!$C$9,CapEx!$G$9,CapEx!$F$9)/12,0)</f>
        <v>0</v>
      </c>
      <c r="AY7" s="295">
        <f>IF(AND(AY$3&gt;=$AC$7,AY$3&lt;(CapEx!$F$9*12)+$AC$7,CapEx!$F$9&gt;1),SLN(CapEx!$C$9,CapEx!$G$9,CapEx!$F$9)/12,0)</f>
        <v>0</v>
      </c>
      <c r="AZ7" s="295">
        <f>IF(AND(AZ$3&gt;=$AC$7,AZ$3&lt;(CapEx!$F$9*12)+$AC$7,CapEx!$F$9&gt;1),SLN(CapEx!$C$9,CapEx!$G$9,CapEx!$F$9)/12,0)</f>
        <v>0</v>
      </c>
      <c r="BA7" s="295">
        <f>IF(AND(BA$3&gt;=$AC$7,BA$3&lt;(CapEx!$F$9*12)+$AC$7,CapEx!$F$9&gt;1),SLN(CapEx!$C$9,CapEx!$G$9,CapEx!$F$9)/12,0)</f>
        <v>0</v>
      </c>
      <c r="BB7" s="295">
        <f>IF(AND(BB$3&gt;=$AC$7,BB$3&lt;(CapEx!$F$9*12)+$AC$7,CapEx!$F$9&gt;1),SLN(CapEx!$C$9,CapEx!$G$9,CapEx!$F$9)/12,0)</f>
        <v>0</v>
      </c>
      <c r="BC7" s="295">
        <f>IF(AND(BC$3&gt;=$AC$7,BC$3&lt;(CapEx!$F$9*12)+$AC$7,CapEx!$F$9&gt;1),SLN(CapEx!$C$9,CapEx!$G$9,CapEx!$F$9)/12,0)</f>
        <v>0</v>
      </c>
      <c r="BD7" s="295">
        <f>IF(AND(BD$3&gt;=$AC$7,BD$3&lt;(CapEx!$F$9*12)+$AC$7,CapEx!$F$9&gt;1),SLN(CapEx!$C$9,CapEx!$G$9,CapEx!$F$9)/12,0)</f>
        <v>0</v>
      </c>
      <c r="BE7" s="295">
        <f>IF(AND(BE$3&gt;=$AC$7,BE$3&lt;(CapEx!$F$9*12)+$AC$7,CapEx!$F$9&gt;1),SLN(CapEx!$C$9,CapEx!$G$9,CapEx!$F$9)/12,0)</f>
        <v>0</v>
      </c>
      <c r="BF7" s="295">
        <f>IF(AND(BF$3&gt;=$AC$7,BF$3&lt;(CapEx!$F$9*12)+$AC$7,CapEx!$F$9&gt;1),SLN(CapEx!$C$9,CapEx!$G$9,CapEx!$F$9)/12,0)</f>
        <v>0</v>
      </c>
      <c r="BG7" s="295">
        <f>IF(AND(BG$3&gt;=$AC$7,BG$3&lt;(CapEx!$F$9*12)+$AC$7,CapEx!$F$9&gt;1),SLN(CapEx!$C$9,CapEx!$G$9,CapEx!$F$9)/12,0)</f>
        <v>0</v>
      </c>
      <c r="BH7" s="295">
        <f>IF(AND(BH$3&gt;=$AC$7,BH$3&lt;(CapEx!$F$9*12)+$AC$7,CapEx!$F$9&gt;1),SLN(CapEx!$C$9,CapEx!$G$9,CapEx!$F$9)/12,0)</f>
        <v>0</v>
      </c>
      <c r="BI7" s="295">
        <f>IF(AND(BI$3&gt;=$AC$7,BI$3&lt;(CapEx!$F$9*12)+$AC$7,CapEx!$F$9&gt;1),SLN(CapEx!$C$9,CapEx!$G$9,CapEx!$F$9)/12,0)</f>
        <v>0</v>
      </c>
      <c r="BJ7" s="295">
        <f>IF(AND(BJ$3&gt;=$AC$7,BJ$3&lt;(CapEx!$F$9*12)+$AC$7,CapEx!$F$9&gt;1),SLN(CapEx!$C$9,CapEx!$G$9,CapEx!$F$9)/12,0)</f>
        <v>0</v>
      </c>
      <c r="BK7" s="295">
        <f>IF(AND(BK$3&gt;=$AC$7,BK$3&lt;(CapEx!$F$9*12)+$AC$7,CapEx!$F$9&gt;1),SLN(CapEx!$C$9,CapEx!$G$9,CapEx!$F$9)/12,0)</f>
        <v>0</v>
      </c>
      <c r="BL7" s="295">
        <f>IF(AND(BL$3&gt;=$AC$7,BL$3&lt;(CapEx!$F$9*12)+$AC$7,CapEx!$F$9&gt;1),SLN(CapEx!$C$9,CapEx!$G$9,CapEx!$F$9)/12,0)</f>
        <v>0</v>
      </c>
      <c r="BM7" s="295">
        <f>IF(AND(BM$3&gt;=$AC$7,BM$3&lt;(CapEx!$F$9*12)+$AC$7,CapEx!$F$9&gt;1),SLN(CapEx!$C$9,CapEx!$G$9,CapEx!$F$9)/12,0)</f>
        <v>0</v>
      </c>
      <c r="BN7" s="295">
        <f>IF(AND(BN$3&gt;=$AC$7,BN$3&lt;(CapEx!$F$9*12)+$AC$7,CapEx!$F$9&gt;1),SLN(CapEx!$C$9,CapEx!$G$9,CapEx!$F$9)/12,0)</f>
        <v>0</v>
      </c>
      <c r="BO7" s="295">
        <f>IF(AND(BO$3&gt;=$AC$7,BO$3&lt;(CapEx!$F$9*12)+$AC$7,CapEx!$F$9&gt;1),SLN(CapEx!$C$9,CapEx!$G$9,CapEx!$F$9)/12,0)</f>
        <v>0</v>
      </c>
      <c r="BP7" s="295">
        <f>IF(AND(BP$3&gt;=$AC$7,BP$3&lt;(CapEx!$F$9*12)+$AC$7,CapEx!$F$9&gt;1),SLN(CapEx!$C$9,CapEx!$G$9,CapEx!$F$9)/12,0)</f>
        <v>0</v>
      </c>
      <c r="BQ7" s="295">
        <f>IF(AND(BQ$3&gt;=$AC$7,BQ$3&lt;(CapEx!$F$9*12)+$AC$7,CapEx!$F$9&gt;1),SLN(CapEx!$C$9,CapEx!$G$9,CapEx!$F$9)/12,0)</f>
        <v>0</v>
      </c>
      <c r="BR7" s="295">
        <f>IF(AND(BR$3&gt;=$AC$7,BR$3&lt;(CapEx!$F$9*12)+$AC$7,CapEx!$F$9&gt;1),SLN(CapEx!$C$9,CapEx!$G$9,CapEx!$F$9)/12,0)</f>
        <v>0</v>
      </c>
      <c r="BS7" s="295">
        <f>IF(AND(BS$3&gt;=$AC$7,BS$3&lt;(CapEx!$F$9*12)+$AC$7,CapEx!$F$9&gt;1),SLN(CapEx!$C$9,CapEx!$G$9,CapEx!$F$9)/12,0)</f>
        <v>0</v>
      </c>
      <c r="BT7" s="295">
        <f>IF(AND(BT$3&gt;=$AC$7,BT$3&lt;(CapEx!$F$9*12)+$AC$7,CapEx!$F$9&gt;1),SLN(CapEx!$C$9,CapEx!$G$9,CapEx!$F$9)/12,0)</f>
        <v>0</v>
      </c>
      <c r="BU7" s="295">
        <f>IF(AND(BU$3&gt;=$AC$7,BU$3&lt;(CapEx!$F$9*12)+$AC$7,CapEx!$F$9&gt;1),SLN(CapEx!$C$9,CapEx!$G$9,CapEx!$F$9)/12,0)</f>
        <v>0</v>
      </c>
      <c r="BV7" s="295">
        <f>IF(AND(BV$3&gt;=$AC$7,BV$3&lt;(CapEx!$F$9*12)+$AC$7,CapEx!$F$9&gt;1),SLN(CapEx!$C$9,CapEx!$G$9,CapEx!$F$9)/12,0)</f>
        <v>0</v>
      </c>
      <c r="BW7" s="295">
        <f>IF(AND(BW$3&gt;=$AC$7,BW$3&lt;(CapEx!$F$9*12)+$AC$7,CapEx!$F$9&gt;1),SLN(CapEx!$C$9,CapEx!$G$9,CapEx!$F$9)/12,0)</f>
        <v>0</v>
      </c>
      <c r="BX7" s="295">
        <f>IF(AND(BX$3&gt;=$AC$7,BX$3&lt;(CapEx!$F$9*12)+$AC$7,CapEx!$F$9&gt;1),SLN(CapEx!$C$9,CapEx!$G$9,CapEx!$F$9)/12,0)</f>
        <v>0</v>
      </c>
      <c r="BY7" s="295">
        <f>IF(AND(BY$3&gt;=$AC$7,BY$3&lt;(CapEx!$F$9*12)+$AC$7,CapEx!$F$9&gt;1),SLN(CapEx!$C$9,CapEx!$G$9,CapEx!$F$9)/12,0)</f>
        <v>0</v>
      </c>
      <c r="BZ7" s="295">
        <f>IF(AND(BZ$3&gt;=$AC$7,BZ$3&lt;(CapEx!$F$9*12)+$AC$7,CapEx!$F$9&gt;1),SLN(CapEx!$C$9,CapEx!$G$9,CapEx!$F$9)/12,0)</f>
        <v>0</v>
      </c>
      <c r="CA7" s="295">
        <f>IF(AND(CA$3&gt;=$AC$7,CA$3&lt;(CapEx!$F$9*12)+$AC$7,CapEx!$F$9&gt;1),SLN(CapEx!$C$9,CapEx!$G$9,CapEx!$F$9)/12,0)</f>
        <v>0</v>
      </c>
      <c r="CB7" s="295">
        <f>IF(AND(CB$3&gt;=$AC$7,CB$3&lt;(CapEx!$F$9*12)+$AC$7,CapEx!$F$9&gt;1),SLN(CapEx!$C$9,CapEx!$G$9,CapEx!$F$9)/12,0)</f>
        <v>0</v>
      </c>
      <c r="CC7" s="295">
        <f>IF(AND(CC$3&gt;=$AC$7,CC$3&lt;(CapEx!$F$9*12)+$AC$7,CapEx!$F$9&gt;1),SLN(CapEx!$C$9,CapEx!$G$9,CapEx!$F$9)/12,0)</f>
        <v>0</v>
      </c>
      <c r="CD7" s="295">
        <f>IF(AND(CD$3&gt;=$AC$7,CD$3&lt;(CapEx!$F$9*12)+$AC$7,CapEx!$F$9&gt;1),SLN(CapEx!$C$9,CapEx!$G$9,CapEx!$F$9)/12,0)</f>
        <v>0</v>
      </c>
      <c r="CE7" s="295">
        <f>IF(AND(CE$3&gt;=$AC$7,CE$3&lt;(CapEx!$F$9*12)+$AC$7,CapEx!$F$9&gt;1),SLN(CapEx!$C$9,CapEx!$G$9,CapEx!$F$9)/12,0)</f>
        <v>0</v>
      </c>
      <c r="CF7" s="295">
        <f>IF(AND(CF$3&gt;=$AC$7,CF$3&lt;(CapEx!$F$9*12)+$AC$7,CapEx!$F$9&gt;1),SLN(CapEx!$C$9,CapEx!$G$9,CapEx!$F$9)/12,0)</f>
        <v>0</v>
      </c>
      <c r="CG7" s="295">
        <f>IF(AND(CG$3&gt;=$AC$7,CG$3&lt;(CapEx!$F$9*12)+$AC$7,CapEx!$F$9&gt;1),SLN(CapEx!$C$9,CapEx!$G$9,CapEx!$F$9)/12,0)</f>
        <v>0</v>
      </c>
      <c r="CH7" s="295">
        <f>IF(AND(CH$3&gt;=$AC$7,CH$3&lt;(CapEx!$F$9*12)+$AC$7,CapEx!$F$9&gt;1),SLN(CapEx!$C$9,CapEx!$G$9,CapEx!$F$9)/12,0)</f>
        <v>0</v>
      </c>
      <c r="CI7" s="295">
        <f>IF(AND(CI$3&gt;=$AC$7,CI$3&lt;(CapEx!$F$9*12)+$AC$7,CapEx!$F$9&gt;1),SLN(CapEx!$C$9,CapEx!$G$9,CapEx!$F$9)/12,0)</f>
        <v>0</v>
      </c>
      <c r="CJ7" s="295">
        <f>IF(AND(CJ$3&gt;=$AC$7,CJ$3&lt;(CapEx!$F$9*12)+$AC$7,CapEx!$F$9&gt;1),SLN(CapEx!$C$9,CapEx!$G$9,CapEx!$F$9)/12,0)</f>
        <v>0</v>
      </c>
      <c r="CK7" s="295">
        <f>IF(AND(CK$3&gt;=$AC$7,CK$3&lt;(CapEx!$F$9*12)+$AC$7,CapEx!$F$9&gt;1),SLN(CapEx!$C$9,CapEx!$G$9,CapEx!$F$9)/12,0)</f>
        <v>0</v>
      </c>
      <c r="CN7" s="298"/>
    </row>
    <row r="8" spans="1:101">
      <c r="A8" t="s">
        <v>13</v>
      </c>
      <c r="I8" t="str">
        <f>I70</f>
        <v>Aug</v>
      </c>
      <c r="J8" s="79">
        <v>8</v>
      </c>
      <c r="Y8" s="79">
        <f>CapEx!F10</f>
        <v>1</v>
      </c>
      <c r="Z8" s="145" t="s">
        <v>213</v>
      </c>
      <c r="AA8" s="297">
        <v>5</v>
      </c>
      <c r="AB8">
        <f>CapEx!C10</f>
        <v>0</v>
      </c>
      <c r="AC8" s="79">
        <f>IF(AB8=0,1,DATEDIF($K$12,DATEVALUE("01-"&amp;CapEx!$D10&amp;"-"&amp;CapEx!$E10),"m")+1)</f>
        <v>1</v>
      </c>
      <c r="AD8" s="295">
        <f>IF(AND(AD$3&gt;=$AC$8,AD3&lt;(CapEx!$F$10*12)+$AC$8,CapEx!$F$10&gt;1),SLN(CapEx!$C$10,CapEx!$G$10,CapEx!$F$10)/12,0)</f>
        <v>0</v>
      </c>
      <c r="AE8" s="295">
        <f>IF(AND(AE$3&gt;=$AC$8,AE3&lt;(CapEx!$F$10*12)+$AC$8,CapEx!$F$10&gt;1),SLN(CapEx!$C$10,CapEx!$G$10,CapEx!$F$10)/12,0)</f>
        <v>0</v>
      </c>
      <c r="AF8" s="295">
        <f>IF(AND(AF$3&gt;=$AC$8,AF3&lt;(CapEx!$F$10*12)+$AC$8,CapEx!$F$10&gt;1),SLN(CapEx!$C$10,CapEx!$G$10,CapEx!$F$10)/12,0)</f>
        <v>0</v>
      </c>
      <c r="AG8" s="295">
        <f>IF(AND(AG$3&gt;=$AC$8,AG3&lt;(CapEx!$F$10*12)+$AC$8,CapEx!$F$10&gt;1),SLN(CapEx!$C$10,CapEx!$G$10,CapEx!$F$10)/12,0)</f>
        <v>0</v>
      </c>
      <c r="AH8" s="295">
        <f>IF(AND(AH$3&gt;=$AC$8,AH3&lt;(CapEx!$F$10*12)+$AC$8,CapEx!$F$10&gt;1),SLN(CapEx!$C$10,CapEx!$G$10,CapEx!$F$10)/12,0)</f>
        <v>0</v>
      </c>
      <c r="AI8" s="295">
        <f>IF(AND(AI$3&gt;=$AC$8,AI3&lt;(CapEx!$F$10*12)+$AC$8,CapEx!$F$10&gt;1),SLN(CapEx!$C$10,CapEx!$G$10,CapEx!$F$10)/12,0)</f>
        <v>0</v>
      </c>
      <c r="AJ8" s="295">
        <f>IF(AND(AJ$3&gt;=$AC$8,AJ3&lt;(CapEx!$F$10*12)+$AC$8,CapEx!$F$10&gt;1),SLN(CapEx!$C$10,CapEx!$G$10,CapEx!$F$10)/12,0)</f>
        <v>0</v>
      </c>
      <c r="AK8" s="295">
        <f>IF(AND(AK$3&gt;=$AC$8,AK3&lt;(CapEx!$F$10*12)+$AC$8,CapEx!$F$10&gt;1),SLN(CapEx!$C$10,CapEx!$G$10,CapEx!$F$10)/12,0)</f>
        <v>0</v>
      </c>
      <c r="AL8" s="295">
        <f>IF(AND(AL$3&gt;=$AC$8,AL3&lt;(CapEx!$F$10*12)+$AC$8,CapEx!$F$10&gt;1),SLN(CapEx!$C$10,CapEx!$G$10,CapEx!$F$10)/12,0)</f>
        <v>0</v>
      </c>
      <c r="AM8" s="295">
        <f>IF(AND(AM$3&gt;=$AC$8,AM3&lt;(CapEx!$F$10*12)+$AC$8,CapEx!$F$10&gt;1),SLN(CapEx!$C$10,CapEx!$G$10,CapEx!$F$10)/12,0)</f>
        <v>0</v>
      </c>
      <c r="AN8" s="295">
        <f>IF(AND(AN$3&gt;=$AC$8,AN3&lt;(CapEx!$F$10*12)+$AC$8,CapEx!$F$10&gt;1),SLN(CapEx!$C$10,CapEx!$G$10,CapEx!$F$10)/12,0)</f>
        <v>0</v>
      </c>
      <c r="AO8" s="295">
        <f>IF(AND(AO$3&gt;=$AC$8,AO3&lt;(CapEx!$F$10*12)+$AC$8,CapEx!$F$10&gt;1),SLN(CapEx!$C$10,CapEx!$G$10,CapEx!$F$10)/12,0)</f>
        <v>0</v>
      </c>
      <c r="AP8" s="295">
        <f>IF(AND(AP$3&gt;=$AC$8,AP3&lt;(CapEx!$F$10*12)+$AC$8,CapEx!$F$10&gt;1),SLN(CapEx!$C$10,CapEx!$G$10,CapEx!$F$10)/12,0)</f>
        <v>0</v>
      </c>
      <c r="AQ8" s="295">
        <f>IF(AND(AQ$3&gt;=$AC$8,AQ3&lt;(CapEx!$F$10*12)+$AC$8,CapEx!$F$10&gt;1),SLN(CapEx!$C$10,CapEx!$G$10,CapEx!$F$10)/12,0)</f>
        <v>0</v>
      </c>
      <c r="AR8" s="295">
        <f>IF(AND(AR$3&gt;=$AC$8,AR3&lt;(CapEx!$F$10*12)+$AC$8,CapEx!$F$10&gt;1),SLN(CapEx!$C$10,CapEx!$G$10,CapEx!$F$10)/12,0)</f>
        <v>0</v>
      </c>
      <c r="AS8" s="295">
        <f>IF(AND(AS$3&gt;=$AC$8,AS3&lt;(CapEx!$F$10*12)+$AC$8,CapEx!$F$10&gt;1),SLN(CapEx!$C$10,CapEx!$G$10,CapEx!$F$10)/12,0)</f>
        <v>0</v>
      </c>
      <c r="AT8" s="295">
        <f>IF(AND(AT$3&gt;=$AC$8,AT3&lt;(CapEx!$F$10*12)+$AC$8,CapEx!$F$10&gt;1),SLN(CapEx!$C$10,CapEx!$G$10,CapEx!$F$10)/12,0)</f>
        <v>0</v>
      </c>
      <c r="AU8" s="295">
        <f>IF(AND(AU$3&gt;=$AC$8,AU3&lt;(CapEx!$F$10*12)+$AC$8,CapEx!$F$10&gt;1),SLN(CapEx!$C$10,CapEx!$G$10,CapEx!$F$10)/12,0)</f>
        <v>0</v>
      </c>
      <c r="AV8" s="295">
        <f>IF(AND(AV$3&gt;=$AC$8,AV3&lt;(CapEx!$F$10*12)+$AC$8,CapEx!$F$10&gt;1),SLN(CapEx!$C$10,CapEx!$G$10,CapEx!$F$10)/12,0)</f>
        <v>0</v>
      </c>
      <c r="AW8" s="295">
        <f>IF(AND(AW$3&gt;=$AC$8,AW3&lt;(CapEx!$F$10*12)+$AC$8,CapEx!$F$10&gt;1),SLN(CapEx!$C$10,CapEx!$G$10,CapEx!$F$10)/12,0)</f>
        <v>0</v>
      </c>
      <c r="AX8" s="295">
        <f>IF(AND(AX$3&gt;=$AC$8,AX3&lt;(CapEx!$F$10*12)+$AC$8,CapEx!$F$10&gt;1),SLN(CapEx!$C$10,CapEx!$G$10,CapEx!$F$10)/12,0)</f>
        <v>0</v>
      </c>
      <c r="AY8" s="295">
        <f>IF(AND(AY$3&gt;=$AC$8,AY3&lt;(CapEx!$F$10*12)+$AC$8,CapEx!$F$10&gt;1),SLN(CapEx!$C$10,CapEx!$G$10,CapEx!$F$10)/12,0)</f>
        <v>0</v>
      </c>
      <c r="AZ8" s="295">
        <f>IF(AND(AZ$3&gt;=$AC$8,AZ3&lt;(CapEx!$F$10*12)+$AC$8,CapEx!$F$10&gt;1),SLN(CapEx!$C$10,CapEx!$G$10,CapEx!$F$10)/12,0)</f>
        <v>0</v>
      </c>
      <c r="BA8" s="295">
        <f>IF(AND(BA$3&gt;=$AC$8,BA3&lt;(CapEx!$F$10*12)+$AC$8,CapEx!$F$10&gt;1),SLN(CapEx!$C$10,CapEx!$G$10,CapEx!$F$10)/12,0)</f>
        <v>0</v>
      </c>
      <c r="BB8" s="295">
        <f>IF(AND(BB$3&gt;=$AC$8,BB3&lt;(CapEx!$F$10*12)+$AC$8,CapEx!$F$10&gt;1),SLN(CapEx!$C$10,CapEx!$G$10,CapEx!$F$10)/12,0)</f>
        <v>0</v>
      </c>
      <c r="BC8" s="295">
        <f>IF(AND(BC$3&gt;=$AC$8,BC3&lt;(CapEx!$F$10*12)+$AC$8,CapEx!$F$10&gt;1),SLN(CapEx!$C$10,CapEx!$G$10,CapEx!$F$10)/12,0)</f>
        <v>0</v>
      </c>
      <c r="BD8" s="295">
        <f>IF(AND(BD$3&gt;=$AC$8,BD3&lt;(CapEx!$F$10*12)+$AC$8,CapEx!$F$10&gt;1),SLN(CapEx!$C$10,CapEx!$G$10,CapEx!$F$10)/12,0)</f>
        <v>0</v>
      </c>
      <c r="BE8" s="295">
        <f>IF(AND(BE$3&gt;=$AC$8,BE3&lt;(CapEx!$F$10*12)+$AC$8,CapEx!$F$10&gt;1),SLN(CapEx!$C$10,CapEx!$G$10,CapEx!$F$10)/12,0)</f>
        <v>0</v>
      </c>
      <c r="BF8" s="295">
        <f>IF(AND(BF$3&gt;=$AC$8,BF3&lt;(CapEx!$F$10*12)+$AC$8,CapEx!$F$10&gt;1),SLN(CapEx!$C$10,CapEx!$G$10,CapEx!$F$10)/12,0)</f>
        <v>0</v>
      </c>
      <c r="BG8" s="295">
        <f>IF(AND(BG$3&gt;=$AC$8,BG3&lt;(CapEx!$F$10*12)+$AC$8,CapEx!$F$10&gt;1),SLN(CapEx!$C$10,CapEx!$G$10,CapEx!$F$10)/12,0)</f>
        <v>0</v>
      </c>
      <c r="BH8" s="295">
        <f>IF(AND(BH$3&gt;=$AC$8,BH3&lt;(CapEx!$F$10*12)+$AC$8,CapEx!$F$10&gt;1),SLN(CapEx!$C$10,CapEx!$G$10,CapEx!$F$10)/12,0)</f>
        <v>0</v>
      </c>
      <c r="BI8" s="295">
        <f>IF(AND(BI$3&gt;=$AC$8,BI3&lt;(CapEx!$F$10*12)+$AC$8,CapEx!$F$10&gt;1),SLN(CapEx!$C$10,CapEx!$G$10,CapEx!$F$10)/12,0)</f>
        <v>0</v>
      </c>
      <c r="BJ8" s="295">
        <f>IF(AND(BJ$3&gt;=$AC$8,BJ3&lt;(CapEx!$F$10*12)+$AC$8,CapEx!$F$10&gt;1),SLN(CapEx!$C$10,CapEx!$G$10,CapEx!$F$10)/12,0)</f>
        <v>0</v>
      </c>
      <c r="BK8" s="295">
        <f>IF(AND(BK$3&gt;=$AC$8,BK3&lt;(CapEx!$F$10*12)+$AC$8,CapEx!$F$10&gt;1),SLN(CapEx!$C$10,CapEx!$G$10,CapEx!$F$10)/12,0)</f>
        <v>0</v>
      </c>
      <c r="BL8" s="295">
        <f>IF(AND(BL$3&gt;=$AC$8,BL3&lt;(CapEx!$F$10*12)+$AC$8,CapEx!$F$10&gt;1),SLN(CapEx!$C$10,CapEx!$G$10,CapEx!$F$10)/12,0)</f>
        <v>0</v>
      </c>
      <c r="BM8" s="295">
        <f>IF(AND(BM$3&gt;=$AC$8,BM3&lt;(CapEx!$F$10*12)+$AC$8,CapEx!$F$10&gt;1),SLN(CapEx!$C$10,CapEx!$G$10,CapEx!$F$10)/12,0)</f>
        <v>0</v>
      </c>
      <c r="BN8" s="295">
        <f>IF(AND(BN$3&gt;=$AC$8,BN3&lt;(CapEx!$F$10*12)+$AC$8,CapEx!$F$10&gt;1),SLN(CapEx!$C$10,CapEx!$G$10,CapEx!$F$10)/12,0)</f>
        <v>0</v>
      </c>
      <c r="BO8" s="295">
        <f>IF(AND(BO$3&gt;=$AC$8,BO3&lt;(CapEx!$F$10*12)+$AC$8,CapEx!$F$10&gt;1),SLN(CapEx!$C$10,CapEx!$G$10,CapEx!$F$10)/12,0)</f>
        <v>0</v>
      </c>
      <c r="BP8" s="295">
        <f>IF(AND(BP$3&gt;=$AC$8,BP3&lt;(CapEx!$F$10*12)+$AC$8,CapEx!$F$10&gt;1),SLN(CapEx!$C$10,CapEx!$G$10,CapEx!$F$10)/12,0)</f>
        <v>0</v>
      </c>
      <c r="BQ8" s="295">
        <f>IF(AND(BQ$3&gt;=$AC$8,BQ3&lt;(CapEx!$F$10*12)+$AC$8,CapEx!$F$10&gt;1),SLN(CapEx!$C$10,CapEx!$G$10,CapEx!$F$10)/12,0)</f>
        <v>0</v>
      </c>
      <c r="BR8" s="295">
        <f>IF(AND(BR$3&gt;=$AC$8,BR3&lt;(CapEx!$F$10*12)+$AC$8,CapEx!$F$10&gt;1),SLN(CapEx!$C$10,CapEx!$G$10,CapEx!$F$10)/12,0)</f>
        <v>0</v>
      </c>
      <c r="BS8" s="295">
        <f>IF(AND(BS$3&gt;=$AC$8,BS3&lt;(CapEx!$F$10*12)+$AC$8,CapEx!$F$10&gt;1),SLN(CapEx!$C$10,CapEx!$G$10,CapEx!$F$10)/12,0)</f>
        <v>0</v>
      </c>
      <c r="BT8" s="295">
        <f>IF(AND(BT$3&gt;=$AC$8,BT3&lt;(CapEx!$F$10*12)+$AC$8,CapEx!$F$10&gt;1),SLN(CapEx!$C$10,CapEx!$G$10,CapEx!$F$10)/12,0)</f>
        <v>0</v>
      </c>
      <c r="BU8" s="295">
        <f>IF(AND(BU$3&gt;=$AC$8,BU3&lt;(CapEx!$F$10*12)+$AC$8,CapEx!$F$10&gt;1),SLN(CapEx!$C$10,CapEx!$G$10,CapEx!$F$10)/12,0)</f>
        <v>0</v>
      </c>
      <c r="BV8" s="295">
        <f>IF(AND(BV$3&gt;=$AC$8,BV3&lt;(CapEx!$F$10*12)+$AC$8,CapEx!$F$10&gt;1),SLN(CapEx!$C$10,CapEx!$G$10,CapEx!$F$10)/12,0)</f>
        <v>0</v>
      </c>
      <c r="BW8" s="295">
        <f>IF(AND(BW$3&gt;=$AC$8,BW3&lt;(CapEx!$F$10*12)+$AC$8,CapEx!$F$10&gt;1),SLN(CapEx!$C$10,CapEx!$G$10,CapEx!$F$10)/12,0)</f>
        <v>0</v>
      </c>
      <c r="BX8" s="295">
        <f>IF(AND(BX$3&gt;=$AC$8,BX3&lt;(CapEx!$F$10*12)+$AC$8,CapEx!$F$10&gt;1),SLN(CapEx!$C$10,CapEx!$G$10,CapEx!$F$10)/12,0)</f>
        <v>0</v>
      </c>
      <c r="BY8" s="295">
        <f>IF(AND(BY$3&gt;=$AC$8,BY3&lt;(CapEx!$F$10*12)+$AC$8,CapEx!$F$10&gt;1),SLN(CapEx!$C$10,CapEx!$G$10,CapEx!$F$10)/12,0)</f>
        <v>0</v>
      </c>
      <c r="BZ8" s="295">
        <f>IF(AND(BZ$3&gt;=$AC$8,BZ3&lt;(CapEx!$F$10*12)+$AC$8,CapEx!$F$10&gt;1),SLN(CapEx!$C$10,CapEx!$G$10,CapEx!$F$10)/12,0)</f>
        <v>0</v>
      </c>
      <c r="CA8" s="295">
        <f>IF(AND(CA$3&gt;=$AC$8,CA3&lt;(CapEx!$F$10*12)+$AC$8,CapEx!$F$10&gt;1),SLN(CapEx!$C$10,CapEx!$G$10,CapEx!$F$10)/12,0)</f>
        <v>0</v>
      </c>
      <c r="CB8" s="295">
        <f>IF(AND(CB$3&gt;=$AC$8,CB3&lt;(CapEx!$F$10*12)+$AC$8,CapEx!$F$10&gt;1),SLN(CapEx!$C$10,CapEx!$G$10,CapEx!$F$10)/12,0)</f>
        <v>0</v>
      </c>
      <c r="CC8" s="295">
        <f>IF(AND(CC$3&gt;=$AC$8,CC3&lt;(CapEx!$F$10*12)+$AC$8,CapEx!$F$10&gt;1),SLN(CapEx!$C$10,CapEx!$G$10,CapEx!$F$10)/12,0)</f>
        <v>0</v>
      </c>
      <c r="CD8" s="295">
        <f>IF(AND(CD$3&gt;=$AC$8,CD3&lt;(CapEx!$F$10*12)+$AC$8,CapEx!$F$10&gt;1),SLN(CapEx!$C$10,CapEx!$G$10,CapEx!$F$10)/12,0)</f>
        <v>0</v>
      </c>
      <c r="CE8" s="295">
        <f>IF(AND(CE$3&gt;=$AC$8,CE3&lt;(CapEx!$F$10*12)+$AC$8,CapEx!$F$10&gt;1),SLN(CapEx!$C$10,CapEx!$G$10,CapEx!$F$10)/12,0)</f>
        <v>0</v>
      </c>
      <c r="CF8" s="295">
        <f>IF(AND(CF$3&gt;=$AC$8,CF3&lt;(CapEx!$F$10*12)+$AC$8,CapEx!$F$10&gt;1),SLN(CapEx!$C$10,CapEx!$G$10,CapEx!$F$10)/12,0)</f>
        <v>0</v>
      </c>
      <c r="CG8" s="295">
        <f>IF(AND(CG$3&gt;=$AC$8,CG3&lt;(CapEx!$F$10*12)+$AC$8,CapEx!$F$10&gt;1),SLN(CapEx!$C$10,CapEx!$G$10,CapEx!$F$10)/12,0)</f>
        <v>0</v>
      </c>
      <c r="CH8" s="295">
        <f>IF(AND(CH$3&gt;=$AC$8,CH3&lt;(CapEx!$F$10*12)+$AC$8,CapEx!$F$10&gt;1),SLN(CapEx!$C$10,CapEx!$G$10,CapEx!$F$10)/12,0)</f>
        <v>0</v>
      </c>
      <c r="CI8" s="295">
        <f>IF(AND(CI$3&gt;=$AC$8,CI3&lt;(CapEx!$F$10*12)+$AC$8,CapEx!$F$10&gt;1),SLN(CapEx!$C$10,CapEx!$G$10,CapEx!$F$10)/12,0)</f>
        <v>0</v>
      </c>
      <c r="CJ8" s="295">
        <f>IF(AND(CJ$3&gt;=$AC$8,CJ3&lt;(CapEx!$F$10*12)+$AC$8,CapEx!$F$10&gt;1),SLN(CapEx!$C$10,CapEx!$G$10,CapEx!$F$10)/12,0)</f>
        <v>0</v>
      </c>
      <c r="CK8" s="295">
        <f>IF(AND(CK$3&gt;=$AC$8,CK3&lt;(CapEx!$F$10*12)+$AC$8,CapEx!$F$10&gt;1),SLN(CapEx!$C$10,CapEx!$G$10,CapEx!$F$10)/12,0)</f>
        <v>0</v>
      </c>
      <c r="CN8" s="298"/>
    </row>
    <row r="9" spans="1:101">
      <c r="A9" t="s">
        <v>14</v>
      </c>
      <c r="I9" t="str">
        <f>J70</f>
        <v>Sep</v>
      </c>
      <c r="J9" s="79">
        <v>9</v>
      </c>
      <c r="K9" s="822"/>
      <c r="Y9" s="79">
        <f>CapEx!F11</f>
        <v>1</v>
      </c>
      <c r="Z9" s="145" t="s">
        <v>213</v>
      </c>
      <c r="AA9" s="297">
        <v>6</v>
      </c>
      <c r="AB9">
        <f>CapEx!C11</f>
        <v>0</v>
      </c>
      <c r="AC9" s="79">
        <f>IF(AB9=0,1,DATEDIF($K$12,DATEVALUE("01-"&amp;CapEx!$D11&amp;"-"&amp;CapEx!$E11),"m")+1)</f>
        <v>1</v>
      </c>
      <c r="AD9" s="295">
        <f>IF(AND(AD$3&gt;=$AC$9,AD$3&lt;(CapEx!$F$11*12)+$AC$9,CapEx!$F$11&gt;1),SLN(CapEx!$C$11,CapEx!$G$11,CapEx!$F$11)/12,0)</f>
        <v>0</v>
      </c>
      <c r="AE9" s="295">
        <f>IF(AND(AE$3&gt;=$AC$9,AE$3&lt;(CapEx!$F$11*12)+$AC$9,CapEx!$F$11&gt;1),SLN(CapEx!$C$11,CapEx!$G$11,CapEx!$F$11)/12,0)</f>
        <v>0</v>
      </c>
      <c r="AF9" s="295">
        <f>IF(AND(AF$3&gt;=$AC$9,AF$3&lt;(CapEx!$F$11*12)+$AC$9,CapEx!$F$11&gt;1),SLN(CapEx!$C$11,CapEx!$G$11,CapEx!$F$11)/12,0)</f>
        <v>0</v>
      </c>
      <c r="AG9" s="295">
        <f>IF(AND(AG$3&gt;=$AC$9,AG$3&lt;(CapEx!$F$11*12)+$AC$9,CapEx!$F$11&gt;1),SLN(CapEx!$C$11,CapEx!$G$11,CapEx!$F$11)/12,0)</f>
        <v>0</v>
      </c>
      <c r="AH9" s="295">
        <f>IF(AND(AH$3&gt;=$AC$9,AH$3&lt;(CapEx!$F$11*12)+$AC$9,CapEx!$F$11&gt;1),SLN(CapEx!$C$11,CapEx!$G$11,CapEx!$F$11)/12,0)</f>
        <v>0</v>
      </c>
      <c r="AI9" s="295">
        <f>IF(AND(AI$3&gt;=$AC$9,AI$3&lt;(CapEx!$F$11*12)+$AC$9,CapEx!$F$11&gt;1),SLN(CapEx!$C$11,CapEx!$G$11,CapEx!$F$11)/12,0)</f>
        <v>0</v>
      </c>
      <c r="AJ9" s="295">
        <f>IF(AND(AJ$3&gt;=$AC$9,AJ$3&lt;(CapEx!$F$11*12)+$AC$9,CapEx!$F$11&gt;1),SLN(CapEx!$C$11,CapEx!$G$11,CapEx!$F$11)/12,0)</f>
        <v>0</v>
      </c>
      <c r="AK9" s="295">
        <f>IF(AND(AK$3&gt;=$AC$9,AK$3&lt;(CapEx!$F$11*12)+$AC$9,CapEx!$F$11&gt;1),SLN(CapEx!$C$11,CapEx!$G$11,CapEx!$F$11)/12,0)</f>
        <v>0</v>
      </c>
      <c r="AL9" s="295">
        <f>IF(AND(AL$3&gt;=$AC$9,AL$3&lt;(CapEx!$F$11*12)+$AC$9,CapEx!$F$11&gt;1),SLN(CapEx!$C$11,CapEx!$G$11,CapEx!$F$11)/12,0)</f>
        <v>0</v>
      </c>
      <c r="AM9" s="295">
        <f>IF(AND(AM$3&gt;=$AC$9,AM$3&lt;(CapEx!$F$11*12)+$AC$9,CapEx!$F$11&gt;1),SLN(CapEx!$C$11,CapEx!$G$11,CapEx!$F$11)/12,0)</f>
        <v>0</v>
      </c>
      <c r="AN9" s="295">
        <f>IF(AND(AN$3&gt;=$AC$9,AN$3&lt;(CapEx!$F$11*12)+$AC$9,CapEx!$F$11&gt;1),SLN(CapEx!$C$11,CapEx!$G$11,CapEx!$F$11)/12,0)</f>
        <v>0</v>
      </c>
      <c r="AO9" s="295">
        <f>IF(AND(AO$3&gt;=$AC$9,AO$3&lt;(CapEx!$F$11*12)+$AC$9,CapEx!$F$11&gt;1),SLN(CapEx!$C$11,CapEx!$G$11,CapEx!$F$11)/12,0)</f>
        <v>0</v>
      </c>
      <c r="AP9" s="295">
        <f>IF(AND(AP$3&gt;=$AC$9,AP$3&lt;(CapEx!$F$11*12)+$AC$9,CapEx!$F$11&gt;1),SLN(CapEx!$C$11,CapEx!$G$11,CapEx!$F$11)/12,0)</f>
        <v>0</v>
      </c>
      <c r="AQ9" s="295">
        <f>IF(AND(AQ$3&gt;=$AC$9,AQ$3&lt;(CapEx!$F$11*12)+$AC$9,CapEx!$F$11&gt;1),SLN(CapEx!$C$11,CapEx!$G$11,CapEx!$F$11)/12,0)</f>
        <v>0</v>
      </c>
      <c r="AR9" s="295">
        <f>IF(AND(AR$3&gt;=$AC$9,AR$3&lt;(CapEx!$F$11*12)+$AC$9,CapEx!$F$11&gt;1),SLN(CapEx!$C$11,CapEx!$G$11,CapEx!$F$11)/12,0)</f>
        <v>0</v>
      </c>
      <c r="AS9" s="295">
        <f>IF(AND(AS$3&gt;=$AC$9,AS$3&lt;(CapEx!$F$11*12)+$AC$9,CapEx!$F$11&gt;1),SLN(CapEx!$C$11,CapEx!$G$11,CapEx!$F$11)/12,0)</f>
        <v>0</v>
      </c>
      <c r="AT9" s="295">
        <f>IF(AND(AT$3&gt;=$AC$9,AT$3&lt;(CapEx!$F$11*12)+$AC$9,CapEx!$F$11&gt;1),SLN(CapEx!$C$11,CapEx!$G$11,CapEx!$F$11)/12,0)</f>
        <v>0</v>
      </c>
      <c r="AU9" s="295">
        <f>IF(AND(AU$3&gt;=$AC$9,AU$3&lt;(CapEx!$F$11*12)+$AC$9,CapEx!$F$11&gt;1),SLN(CapEx!$C$11,CapEx!$G$11,CapEx!$F$11)/12,0)</f>
        <v>0</v>
      </c>
      <c r="AV9" s="295">
        <f>IF(AND(AV$3&gt;=$AC$9,AV$3&lt;(CapEx!$F$11*12)+$AC$9,CapEx!$F$11&gt;1),SLN(CapEx!$C$11,CapEx!$G$11,CapEx!$F$11)/12,0)</f>
        <v>0</v>
      </c>
      <c r="AW9" s="295">
        <f>IF(AND(AW$3&gt;=$AC$9,AW$3&lt;(CapEx!$F$11*12)+$AC$9,CapEx!$F$11&gt;1),SLN(CapEx!$C$11,CapEx!$G$11,CapEx!$F$11)/12,0)</f>
        <v>0</v>
      </c>
      <c r="AX9" s="295">
        <f>IF(AND(AX$3&gt;=$AC$9,AX$3&lt;(CapEx!$F$11*12)+$AC$9,CapEx!$F$11&gt;1),SLN(CapEx!$C$11,CapEx!$G$11,CapEx!$F$11)/12,0)</f>
        <v>0</v>
      </c>
      <c r="AY9" s="295">
        <f>IF(AND(AY$3&gt;=$AC$9,AY$3&lt;(CapEx!$F$11*12)+$AC$9,CapEx!$F$11&gt;1),SLN(CapEx!$C$11,CapEx!$G$11,CapEx!$F$11)/12,0)</f>
        <v>0</v>
      </c>
      <c r="AZ9" s="295">
        <f>IF(AND(AZ$3&gt;=$AC$9,AZ$3&lt;(CapEx!$F$11*12)+$AC$9,CapEx!$F$11&gt;1),SLN(CapEx!$C$11,CapEx!$G$11,CapEx!$F$11)/12,0)</f>
        <v>0</v>
      </c>
      <c r="BA9" s="295">
        <f>IF(AND(BA$3&gt;=$AC$9,BA$3&lt;(CapEx!$F$11*12)+$AC$9,CapEx!$F$11&gt;1),SLN(CapEx!$C$11,CapEx!$G$11,CapEx!$F$11)/12,0)</f>
        <v>0</v>
      </c>
      <c r="BB9" s="295">
        <f>IF(AND(BB$3&gt;=$AC$9,BB$3&lt;(CapEx!$F$11*12)+$AC$9,CapEx!$F$11&gt;1),SLN(CapEx!$C$11,CapEx!$G$11,CapEx!$F$11)/12,0)</f>
        <v>0</v>
      </c>
      <c r="BC9" s="295">
        <f>IF(AND(BC$3&gt;=$AC$9,BC$3&lt;(CapEx!$F$11*12)+$AC$9,CapEx!$F$11&gt;1),SLN(CapEx!$C$11,CapEx!$G$11,CapEx!$F$11)/12,0)</f>
        <v>0</v>
      </c>
      <c r="BD9" s="295">
        <f>IF(AND(BD$3&gt;=$AC$9,BD$3&lt;(CapEx!$F$11*12)+$AC$9,CapEx!$F$11&gt;1),SLN(CapEx!$C$11,CapEx!$G$11,CapEx!$F$11)/12,0)</f>
        <v>0</v>
      </c>
      <c r="BE9" s="295">
        <f>IF(AND(BE$3&gt;=$AC$9,BE$3&lt;(CapEx!$F$11*12)+$AC$9,CapEx!$F$11&gt;1),SLN(CapEx!$C$11,CapEx!$G$11,CapEx!$F$11)/12,0)</f>
        <v>0</v>
      </c>
      <c r="BF9" s="295">
        <f>IF(AND(BF$3&gt;=$AC$9,BF$3&lt;(CapEx!$F$11*12)+$AC$9,CapEx!$F$11&gt;1),SLN(CapEx!$C$11,CapEx!$G$11,CapEx!$F$11)/12,0)</f>
        <v>0</v>
      </c>
      <c r="BG9" s="295">
        <f>IF(AND(BG$3&gt;=$AC$9,BG$3&lt;(CapEx!$F$11*12)+$AC$9,CapEx!$F$11&gt;1),SLN(CapEx!$C$11,CapEx!$G$11,CapEx!$F$11)/12,0)</f>
        <v>0</v>
      </c>
      <c r="BH9" s="295">
        <f>IF(AND(BH$3&gt;=$AC$9,BH$3&lt;(CapEx!$F$11*12)+$AC$9,CapEx!$F$11&gt;1),SLN(CapEx!$C$11,CapEx!$G$11,CapEx!$F$11)/12,0)</f>
        <v>0</v>
      </c>
      <c r="BI9" s="295">
        <f>IF(AND(BI$3&gt;=$AC$9,BI$3&lt;(CapEx!$F$11*12)+$AC$9,CapEx!$F$11&gt;1),SLN(CapEx!$C$11,CapEx!$G$11,CapEx!$F$11)/12,0)</f>
        <v>0</v>
      </c>
      <c r="BJ9" s="295">
        <f>IF(AND(BJ$3&gt;=$AC$9,BJ$3&lt;(CapEx!$F$11*12)+$AC$9,CapEx!$F$11&gt;1),SLN(CapEx!$C$11,CapEx!$G$11,CapEx!$F$11)/12,0)</f>
        <v>0</v>
      </c>
      <c r="BK9" s="295">
        <f>IF(AND(BK$3&gt;=$AC$9,BK$3&lt;(CapEx!$F$11*12)+$AC$9,CapEx!$F$11&gt;1),SLN(CapEx!$C$11,CapEx!$G$11,CapEx!$F$11)/12,0)</f>
        <v>0</v>
      </c>
      <c r="BL9" s="295">
        <f>IF(AND(BL$3&gt;=$AC$9,BL$3&lt;(CapEx!$F$11*12)+$AC$9,CapEx!$F$11&gt;1),SLN(CapEx!$C$11,CapEx!$G$11,CapEx!$F$11)/12,0)</f>
        <v>0</v>
      </c>
      <c r="BM9" s="295">
        <f>IF(AND(BM$3&gt;=$AC$9,BM$3&lt;(CapEx!$F$11*12)+$AC$9,CapEx!$F$11&gt;1),SLN(CapEx!$C$11,CapEx!$G$11,CapEx!$F$11)/12,0)</f>
        <v>0</v>
      </c>
      <c r="BN9" s="295">
        <f>IF(AND(BN$3&gt;=$AC$9,BN$3&lt;(CapEx!$F$11*12)+$AC$9,CapEx!$F$11&gt;1),SLN(CapEx!$C$11,CapEx!$G$11,CapEx!$F$11)/12,0)</f>
        <v>0</v>
      </c>
      <c r="BO9" s="295">
        <f>IF(AND(BO$3&gt;=$AC$9,BO$3&lt;(CapEx!$F$11*12)+$AC$9,CapEx!$F$11&gt;1),SLN(CapEx!$C$11,CapEx!$G$11,CapEx!$F$11)/12,0)</f>
        <v>0</v>
      </c>
      <c r="BP9" s="295">
        <f>IF(AND(BP$3&gt;=$AC$9,BP$3&lt;(CapEx!$F$11*12)+$AC$9,CapEx!$F$11&gt;1),SLN(CapEx!$C$11,CapEx!$G$11,CapEx!$F$11)/12,0)</f>
        <v>0</v>
      </c>
      <c r="BQ9" s="295">
        <f>IF(AND(BQ$3&gt;=$AC$9,BQ$3&lt;(CapEx!$F$11*12)+$AC$9,CapEx!$F$11&gt;1),SLN(CapEx!$C$11,CapEx!$G$11,CapEx!$F$11)/12,0)</f>
        <v>0</v>
      </c>
      <c r="BR9" s="295">
        <f>IF(AND(BR$3&gt;=$AC$9,BR$3&lt;(CapEx!$F$11*12)+$AC$9,CapEx!$F$11&gt;1),SLN(CapEx!$C$11,CapEx!$G$11,CapEx!$F$11)/12,0)</f>
        <v>0</v>
      </c>
      <c r="BS9" s="295">
        <f>IF(AND(BS$3&gt;=$AC$9,BS$3&lt;(CapEx!$F$11*12)+$AC$9,CapEx!$F$11&gt;1),SLN(CapEx!$C$11,CapEx!$G$11,CapEx!$F$11)/12,0)</f>
        <v>0</v>
      </c>
      <c r="BT9" s="295">
        <f>IF(AND(BT$3&gt;=$AC$9,BT$3&lt;(CapEx!$F$11*12)+$AC$9,CapEx!$F$11&gt;1),SLN(CapEx!$C$11,CapEx!$G$11,CapEx!$F$11)/12,0)</f>
        <v>0</v>
      </c>
      <c r="BU9" s="295">
        <f>IF(AND(BU$3&gt;=$AC$9,BU$3&lt;(CapEx!$F$11*12)+$AC$9,CapEx!$F$11&gt;1),SLN(CapEx!$C$11,CapEx!$G$11,CapEx!$F$11)/12,0)</f>
        <v>0</v>
      </c>
      <c r="BV9" s="295">
        <f>IF(AND(BV$3&gt;=$AC$9,BV$3&lt;(CapEx!$F$11*12)+$AC$9,CapEx!$F$11&gt;1),SLN(CapEx!$C$11,CapEx!$G$11,CapEx!$F$11)/12,0)</f>
        <v>0</v>
      </c>
      <c r="BW9" s="295">
        <f>IF(AND(BW$3&gt;=$AC$9,BW$3&lt;(CapEx!$F$11*12)+$AC$9,CapEx!$F$11&gt;1),SLN(CapEx!$C$11,CapEx!$G$11,CapEx!$F$11)/12,0)</f>
        <v>0</v>
      </c>
      <c r="BX9" s="295">
        <f>IF(AND(BX$3&gt;=$AC$9,BX$3&lt;(CapEx!$F$11*12)+$AC$9,CapEx!$F$11&gt;1),SLN(CapEx!$C$11,CapEx!$G$11,CapEx!$F$11)/12,0)</f>
        <v>0</v>
      </c>
      <c r="BY9" s="295">
        <f>IF(AND(BY$3&gt;=$AC$9,BY$3&lt;(CapEx!$F$11*12)+$AC$9,CapEx!$F$11&gt;1),SLN(CapEx!$C$11,CapEx!$G$11,CapEx!$F$11)/12,0)</f>
        <v>0</v>
      </c>
      <c r="BZ9" s="295">
        <f>IF(AND(BZ$3&gt;=$AC$9,BZ$3&lt;(CapEx!$F$11*12)+$AC$9,CapEx!$F$11&gt;1),SLN(CapEx!$C$11,CapEx!$G$11,CapEx!$F$11)/12,0)</f>
        <v>0</v>
      </c>
      <c r="CA9" s="295">
        <f>IF(AND(CA$3&gt;=$AC$9,CA$3&lt;(CapEx!$F$11*12)+$AC$9,CapEx!$F$11&gt;1),SLN(CapEx!$C$11,CapEx!$G$11,CapEx!$F$11)/12,0)</f>
        <v>0</v>
      </c>
      <c r="CB9" s="295">
        <f>IF(AND(CB$3&gt;=$AC$9,CB$3&lt;(CapEx!$F$11*12)+$AC$9,CapEx!$F$11&gt;1),SLN(CapEx!$C$11,CapEx!$G$11,CapEx!$F$11)/12,0)</f>
        <v>0</v>
      </c>
      <c r="CC9" s="295">
        <f>IF(AND(CC$3&gt;=$AC$9,CC$3&lt;(CapEx!$F$11*12)+$AC$9,CapEx!$F$11&gt;1),SLN(CapEx!$C$11,CapEx!$G$11,CapEx!$F$11)/12,0)</f>
        <v>0</v>
      </c>
      <c r="CD9" s="295">
        <f>IF(AND(CD$3&gt;=$AC$9,CD$3&lt;(CapEx!$F$11*12)+$AC$9,CapEx!$F$11&gt;1),SLN(CapEx!$C$11,CapEx!$G$11,CapEx!$F$11)/12,0)</f>
        <v>0</v>
      </c>
      <c r="CE9" s="295">
        <f>IF(AND(CE$3&gt;=$AC$9,CE$3&lt;(CapEx!$F$11*12)+$AC$9,CapEx!$F$11&gt;1),SLN(CapEx!$C$11,CapEx!$G$11,CapEx!$F$11)/12,0)</f>
        <v>0</v>
      </c>
      <c r="CF9" s="295">
        <f>IF(AND(CF$3&gt;=$AC$9,CF$3&lt;(CapEx!$F$11*12)+$AC$9,CapEx!$F$11&gt;1),SLN(CapEx!$C$11,CapEx!$G$11,CapEx!$F$11)/12,0)</f>
        <v>0</v>
      </c>
      <c r="CG9" s="295">
        <f>IF(AND(CG$3&gt;=$AC$9,CG$3&lt;(CapEx!$F$11*12)+$AC$9,CapEx!$F$11&gt;1),SLN(CapEx!$C$11,CapEx!$G$11,CapEx!$F$11)/12,0)</f>
        <v>0</v>
      </c>
      <c r="CH9" s="295">
        <f>IF(AND(CH$3&gt;=$AC$9,CH$3&lt;(CapEx!$F$11*12)+$AC$9,CapEx!$F$11&gt;1),SLN(CapEx!$C$11,CapEx!$G$11,CapEx!$F$11)/12,0)</f>
        <v>0</v>
      </c>
      <c r="CI9" s="295">
        <f>IF(AND(CI$3&gt;=$AC$9,CI$3&lt;(CapEx!$F$11*12)+$AC$9,CapEx!$F$11&gt;1),SLN(CapEx!$C$11,CapEx!$G$11,CapEx!$F$11)/12,0)</f>
        <v>0</v>
      </c>
      <c r="CJ9" s="295">
        <f>IF(AND(CJ$3&gt;=$AC$9,CJ$3&lt;(CapEx!$F$11*12)+$AC$9,CapEx!$F$11&gt;1),SLN(CapEx!$C$11,CapEx!$G$11,CapEx!$F$11)/12,0)</f>
        <v>0</v>
      </c>
      <c r="CK9" s="295">
        <f>IF(AND(CK$3&gt;=$AC$9,CK$3&lt;(CapEx!$F$11*12)+$AC$9,CapEx!$F$11&gt;1),SLN(CapEx!$C$11,CapEx!$G$11,CapEx!$F$11)/12,0)</f>
        <v>0</v>
      </c>
    </row>
    <row r="10" spans="1:101">
      <c r="A10" t="s">
        <v>15</v>
      </c>
      <c r="I10" t="str">
        <f>K70</f>
        <v>Oct</v>
      </c>
      <c r="J10" s="79">
        <v>10</v>
      </c>
      <c r="K10" s="668"/>
      <c r="Y10" s="79">
        <f>CapEx!F12</f>
        <v>1</v>
      </c>
      <c r="Z10" s="145" t="s">
        <v>213</v>
      </c>
      <c r="AA10" s="297">
        <v>7</v>
      </c>
      <c r="AB10">
        <f>CapEx!C12</f>
        <v>0</v>
      </c>
      <c r="AC10" s="79">
        <f>IF(AB10=0,1,DATEDIF($K$12,DATEVALUE("01-"&amp;CapEx!$D12&amp;"-"&amp;CapEx!$E12),"m")+1)</f>
        <v>1</v>
      </c>
      <c r="AD10" s="295">
        <f>IF(AND(AD$3&gt;=$AC$10,AD$3&lt;(CapEx!$F$12*12)+$AC$10,CapEx!$F$12&gt;1),SLN(CapEx!$C$12,CapEx!$G$12,CapEx!$F$12)/12,0)</f>
        <v>0</v>
      </c>
      <c r="AE10" s="295">
        <f>IF(AND(AE$3&gt;=$AC$10,AE$3&lt;(CapEx!$F$12*12)+$AC$10,CapEx!$F$12&gt;1),SLN(CapEx!$C$12,CapEx!$G$12,CapEx!$F$12)/12,0)</f>
        <v>0</v>
      </c>
      <c r="AF10" s="295">
        <f>IF(AND(AF$3&gt;=$AC$10,AF$3&lt;(CapEx!$F$12*12)+$AC$10,CapEx!$F$12&gt;1),SLN(CapEx!$C$12,CapEx!$G$12,CapEx!$F$12)/12,0)</f>
        <v>0</v>
      </c>
      <c r="AG10" s="295">
        <f>IF(AND(AG$3&gt;=$AC$10,AG$3&lt;(CapEx!$F$12*12)+$AC$10,CapEx!$F$12&gt;1),SLN(CapEx!$C$12,CapEx!$G$12,CapEx!$F$12)/12,0)</f>
        <v>0</v>
      </c>
      <c r="AH10" s="295">
        <f>IF(AND(AH$3&gt;=$AC$10,AH$3&lt;(CapEx!$F$12*12)+$AC$10,CapEx!$F$12&gt;1),SLN(CapEx!$C$12,CapEx!$G$12,CapEx!$F$12)/12,0)</f>
        <v>0</v>
      </c>
      <c r="AI10" s="295">
        <f>IF(AND(AI$3&gt;=$AC$10,AI$3&lt;(CapEx!$F$12*12)+$AC$10,CapEx!$F$12&gt;1),SLN(CapEx!$C$12,CapEx!$G$12,CapEx!$F$12)/12,0)</f>
        <v>0</v>
      </c>
      <c r="AJ10" s="295">
        <f>IF(AND(AJ$3&gt;=$AC$10,AJ$3&lt;(CapEx!$F$12*12)+$AC$10,CapEx!$F$12&gt;1),SLN(CapEx!$C$12,CapEx!$G$12,CapEx!$F$12)/12,0)</f>
        <v>0</v>
      </c>
      <c r="AK10" s="295">
        <f>IF(AND(AK$3&gt;=$AC$10,AK$3&lt;(CapEx!$F$12*12)+$AC$10,CapEx!$F$12&gt;1),SLN(CapEx!$C$12,CapEx!$G$12,CapEx!$F$12)/12,0)</f>
        <v>0</v>
      </c>
      <c r="AL10" s="295">
        <f>IF(AND(AL$3&gt;=$AC$10,AL$3&lt;(CapEx!$F$12*12)+$AC$10,CapEx!$F$12&gt;1),SLN(CapEx!$C$12,CapEx!$G$12,CapEx!$F$12)/12,0)</f>
        <v>0</v>
      </c>
      <c r="AM10" s="295">
        <f>IF(AND(AM$3&gt;=$AC$10,AM$3&lt;(CapEx!$F$12*12)+$AC$10,CapEx!$F$12&gt;1),SLN(CapEx!$C$12,CapEx!$G$12,CapEx!$F$12)/12,0)</f>
        <v>0</v>
      </c>
      <c r="AN10" s="295">
        <f>IF(AND(AN$3&gt;=$AC$10,AN$3&lt;(CapEx!$F$12*12)+$AC$10,CapEx!$F$12&gt;1),SLN(CapEx!$C$12,CapEx!$G$12,CapEx!$F$12)/12,0)</f>
        <v>0</v>
      </c>
      <c r="AO10" s="295">
        <f>IF(AND(AO$3&gt;=$AC$10,AO$3&lt;(CapEx!$F$12*12)+$AC$10,CapEx!$F$12&gt;1),SLN(CapEx!$C$12,CapEx!$G$12,CapEx!$F$12)/12,0)</f>
        <v>0</v>
      </c>
      <c r="AP10" s="295">
        <f>IF(AND(AP$3&gt;=$AC$10,AP$3&lt;(CapEx!$F$12*12)+$AC$10,CapEx!$F$12&gt;1),SLN(CapEx!$C$12,CapEx!$G$12,CapEx!$F$12)/12,0)</f>
        <v>0</v>
      </c>
      <c r="AQ10" s="295">
        <f>IF(AND(AQ$3&gt;=$AC$10,AQ$3&lt;(CapEx!$F$12*12)+$AC$10,CapEx!$F$12&gt;1),SLN(CapEx!$C$12,CapEx!$G$12,CapEx!$F$12)/12,0)</f>
        <v>0</v>
      </c>
      <c r="AR10" s="295">
        <f>IF(AND(AR$3&gt;=$AC$10,AR$3&lt;(CapEx!$F$12*12)+$AC$10,CapEx!$F$12&gt;1),SLN(CapEx!$C$12,CapEx!$G$12,CapEx!$F$12)/12,0)</f>
        <v>0</v>
      </c>
      <c r="AS10" s="295">
        <f>IF(AND(AS$3&gt;=$AC$10,AS$3&lt;(CapEx!$F$12*12)+$AC$10,CapEx!$F$12&gt;1),SLN(CapEx!$C$12,CapEx!$G$12,CapEx!$F$12)/12,0)</f>
        <v>0</v>
      </c>
      <c r="AT10" s="295">
        <f>IF(AND(AT$3&gt;=$AC$10,AT$3&lt;(CapEx!$F$12*12)+$AC$10,CapEx!$F$12&gt;1),SLN(CapEx!$C$12,CapEx!$G$12,CapEx!$F$12)/12,0)</f>
        <v>0</v>
      </c>
      <c r="AU10" s="295">
        <f>IF(AND(AU$3&gt;=$AC$10,AU$3&lt;(CapEx!$F$12*12)+$AC$10,CapEx!$F$12&gt;1),SLN(CapEx!$C$12,CapEx!$G$12,CapEx!$F$12)/12,0)</f>
        <v>0</v>
      </c>
      <c r="AV10" s="295">
        <f>IF(AND(AV$3&gt;=$AC$10,AV$3&lt;(CapEx!$F$12*12)+$AC$10,CapEx!$F$12&gt;1),SLN(CapEx!$C$12,CapEx!$G$12,CapEx!$F$12)/12,0)</f>
        <v>0</v>
      </c>
      <c r="AW10" s="295">
        <f>IF(AND(AW$3&gt;=$AC$10,AW$3&lt;(CapEx!$F$12*12)+$AC$10,CapEx!$F$12&gt;1),SLN(CapEx!$C$12,CapEx!$G$12,CapEx!$F$12)/12,0)</f>
        <v>0</v>
      </c>
      <c r="AX10" s="295">
        <f>IF(AND(AX$3&gt;=$AC$10,AX$3&lt;(CapEx!$F$12*12)+$AC$10,CapEx!$F$12&gt;1),SLN(CapEx!$C$12,CapEx!$G$12,CapEx!$F$12)/12,0)</f>
        <v>0</v>
      </c>
      <c r="AY10" s="295">
        <f>IF(AND(AY$3&gt;=$AC$10,AY$3&lt;(CapEx!$F$12*12)+$AC$10,CapEx!$F$12&gt;1),SLN(CapEx!$C$12,CapEx!$G$12,CapEx!$F$12)/12,0)</f>
        <v>0</v>
      </c>
      <c r="AZ10" s="295">
        <f>IF(AND(AZ$3&gt;=$AC$10,AZ$3&lt;(CapEx!$F$12*12)+$AC$10,CapEx!$F$12&gt;1),SLN(CapEx!$C$12,CapEx!$G$12,CapEx!$F$12)/12,0)</f>
        <v>0</v>
      </c>
      <c r="BA10" s="295">
        <f>IF(AND(BA$3&gt;=$AC$10,BA$3&lt;(CapEx!$F$12*12)+$AC$10,CapEx!$F$12&gt;1),SLN(CapEx!$C$12,CapEx!$G$12,CapEx!$F$12)/12,0)</f>
        <v>0</v>
      </c>
      <c r="BB10" s="295">
        <f>IF(AND(BB$3&gt;=$AC$10,BB$3&lt;(CapEx!$F$12*12)+$AC$10,CapEx!$F$12&gt;1),SLN(CapEx!$C$12,CapEx!$G$12,CapEx!$F$12)/12,0)</f>
        <v>0</v>
      </c>
      <c r="BC10" s="295">
        <f>IF(AND(BC$3&gt;=$AC$10,BC$3&lt;(CapEx!$F$12*12)+$AC$10,CapEx!$F$12&gt;1),SLN(CapEx!$C$12,CapEx!$G$12,CapEx!$F$12)/12,0)</f>
        <v>0</v>
      </c>
      <c r="BD10" s="295">
        <f>IF(AND(BD$3&gt;=$AC$10,BD$3&lt;(CapEx!$F$12*12)+$AC$10,CapEx!$F$12&gt;1),SLN(CapEx!$C$12,CapEx!$G$12,CapEx!$F$12)/12,0)</f>
        <v>0</v>
      </c>
      <c r="BE10" s="295">
        <f>IF(AND(BE$3&gt;=$AC$10,BE$3&lt;(CapEx!$F$12*12)+$AC$10,CapEx!$F$12&gt;1),SLN(CapEx!$C$12,CapEx!$G$12,CapEx!$F$12)/12,0)</f>
        <v>0</v>
      </c>
      <c r="BF10" s="295">
        <f>IF(AND(BF$3&gt;=$AC$10,BF$3&lt;(CapEx!$F$12*12)+$AC$10,CapEx!$F$12&gt;1),SLN(CapEx!$C$12,CapEx!$G$12,CapEx!$F$12)/12,0)</f>
        <v>0</v>
      </c>
      <c r="BG10" s="295">
        <f>IF(AND(BG$3&gt;=$AC$10,BG$3&lt;(CapEx!$F$12*12)+$AC$10,CapEx!$F$12&gt;1),SLN(CapEx!$C$12,CapEx!$G$12,CapEx!$F$12)/12,0)</f>
        <v>0</v>
      </c>
      <c r="BH10" s="295">
        <f>IF(AND(BH$3&gt;=$AC$10,BH$3&lt;(CapEx!$F$12*12)+$AC$10,CapEx!$F$12&gt;1),SLN(CapEx!$C$12,CapEx!$G$12,CapEx!$F$12)/12,0)</f>
        <v>0</v>
      </c>
      <c r="BI10" s="295">
        <f>IF(AND(BI$3&gt;=$AC$10,BI$3&lt;(CapEx!$F$12*12)+$AC$10,CapEx!$F$12&gt;1),SLN(CapEx!$C$12,CapEx!$G$12,CapEx!$F$12)/12,0)</f>
        <v>0</v>
      </c>
      <c r="BJ10" s="295">
        <f>IF(AND(BJ$3&gt;=$AC$10,BJ$3&lt;(CapEx!$F$12*12)+$AC$10,CapEx!$F$12&gt;1),SLN(CapEx!$C$12,CapEx!$G$12,CapEx!$F$12)/12,0)</f>
        <v>0</v>
      </c>
      <c r="BK10" s="295">
        <f>IF(AND(BK$3&gt;=$AC$10,BK$3&lt;(CapEx!$F$12*12)+$AC$10,CapEx!$F$12&gt;1),SLN(CapEx!$C$12,CapEx!$G$12,CapEx!$F$12)/12,0)</f>
        <v>0</v>
      </c>
      <c r="BL10" s="295">
        <f>IF(AND(BL$3&gt;=$AC$10,BL$3&lt;(CapEx!$F$12*12)+$AC$10,CapEx!$F$12&gt;1),SLN(CapEx!$C$12,CapEx!$G$12,CapEx!$F$12)/12,0)</f>
        <v>0</v>
      </c>
      <c r="BM10" s="295">
        <f>IF(AND(BM$3&gt;=$AC$10,BM$3&lt;(CapEx!$F$12*12)+$AC$10,CapEx!$F$12&gt;1),SLN(CapEx!$C$12,CapEx!$G$12,CapEx!$F$12)/12,0)</f>
        <v>0</v>
      </c>
      <c r="BN10" s="295">
        <f>IF(AND(BN$3&gt;=$AC$10,BN$3&lt;(CapEx!$F$12*12)+$AC$10,CapEx!$F$12&gt;1),SLN(CapEx!$C$12,CapEx!$G$12,CapEx!$F$12)/12,0)</f>
        <v>0</v>
      </c>
      <c r="BO10" s="295">
        <f>IF(AND(BO$3&gt;=$AC$10,BO$3&lt;(CapEx!$F$12*12)+$AC$10,CapEx!$F$12&gt;1),SLN(CapEx!$C$12,CapEx!$G$12,CapEx!$F$12)/12,0)</f>
        <v>0</v>
      </c>
      <c r="BP10" s="295">
        <f>IF(AND(BP$3&gt;=$AC$10,BP$3&lt;(CapEx!$F$12*12)+$AC$10,CapEx!$F$12&gt;1),SLN(CapEx!$C$12,CapEx!$G$12,CapEx!$F$12)/12,0)</f>
        <v>0</v>
      </c>
      <c r="BQ10" s="295">
        <f>IF(AND(BQ$3&gt;=$AC$10,BQ$3&lt;(CapEx!$F$12*12)+$AC$10,CapEx!$F$12&gt;1),SLN(CapEx!$C$12,CapEx!$G$12,CapEx!$F$12)/12,0)</f>
        <v>0</v>
      </c>
      <c r="BR10" s="295">
        <f>IF(AND(BR$3&gt;=$AC$10,BR$3&lt;(CapEx!$F$12*12)+$AC$10,CapEx!$F$12&gt;1),SLN(CapEx!$C$12,CapEx!$G$12,CapEx!$F$12)/12,0)</f>
        <v>0</v>
      </c>
      <c r="BS10" s="295">
        <f>IF(AND(BS$3&gt;=$AC$10,BS$3&lt;(CapEx!$F$12*12)+$AC$10,CapEx!$F$12&gt;1),SLN(CapEx!$C$12,CapEx!$G$12,CapEx!$F$12)/12,0)</f>
        <v>0</v>
      </c>
      <c r="BT10" s="295">
        <f>IF(AND(BT$3&gt;=$AC$10,BT$3&lt;(CapEx!$F$12*12)+$AC$10,CapEx!$F$12&gt;1),SLN(CapEx!$C$12,CapEx!$G$12,CapEx!$F$12)/12,0)</f>
        <v>0</v>
      </c>
      <c r="BU10" s="295">
        <f>IF(AND(BU$3&gt;=$AC$10,BU$3&lt;(CapEx!$F$12*12)+$AC$10,CapEx!$F$12&gt;1),SLN(CapEx!$C$12,CapEx!$G$12,CapEx!$F$12)/12,0)</f>
        <v>0</v>
      </c>
      <c r="BV10" s="295">
        <f>IF(AND(BV$3&gt;=$AC$10,BV$3&lt;(CapEx!$F$12*12)+$AC$10,CapEx!$F$12&gt;1),SLN(CapEx!$C$12,CapEx!$G$12,CapEx!$F$12)/12,0)</f>
        <v>0</v>
      </c>
      <c r="BW10" s="295">
        <f>IF(AND(BW$3&gt;=$AC$10,BW$3&lt;(CapEx!$F$12*12)+$AC$10,CapEx!$F$12&gt;1),SLN(CapEx!$C$12,CapEx!$G$12,CapEx!$F$12)/12,0)</f>
        <v>0</v>
      </c>
      <c r="BX10" s="295">
        <f>IF(AND(BX$3&gt;=$AC$10,BX$3&lt;(CapEx!$F$12*12)+$AC$10,CapEx!$F$12&gt;1),SLN(CapEx!$C$12,CapEx!$G$12,CapEx!$F$12)/12,0)</f>
        <v>0</v>
      </c>
      <c r="BY10" s="295">
        <f>IF(AND(BY$3&gt;=$AC$10,BY$3&lt;(CapEx!$F$12*12)+$AC$10,CapEx!$F$12&gt;1),SLN(CapEx!$C$12,CapEx!$G$12,CapEx!$F$12)/12,0)</f>
        <v>0</v>
      </c>
      <c r="BZ10" s="295">
        <f>IF(AND(BZ$3&gt;=$AC$10,BZ$3&lt;(CapEx!$F$12*12)+$AC$10,CapEx!$F$12&gt;1),SLN(CapEx!$C$12,CapEx!$G$12,CapEx!$F$12)/12,0)</f>
        <v>0</v>
      </c>
      <c r="CA10" s="295">
        <f>IF(AND(CA$3&gt;=$AC$10,CA$3&lt;(CapEx!$F$12*12)+$AC$10,CapEx!$F$12&gt;1),SLN(CapEx!$C$12,CapEx!$G$12,CapEx!$F$12)/12,0)</f>
        <v>0</v>
      </c>
      <c r="CB10" s="295">
        <f>IF(AND(CB$3&gt;=$AC$10,CB$3&lt;(CapEx!$F$12*12)+$AC$10,CapEx!$F$12&gt;1),SLN(CapEx!$C$12,CapEx!$G$12,CapEx!$F$12)/12,0)</f>
        <v>0</v>
      </c>
      <c r="CC10" s="295">
        <f>IF(AND(CC$3&gt;=$AC$10,CC$3&lt;(CapEx!$F$12*12)+$AC$10,CapEx!$F$12&gt;1),SLN(CapEx!$C$12,CapEx!$G$12,CapEx!$F$12)/12,0)</f>
        <v>0</v>
      </c>
      <c r="CD10" s="295">
        <f>IF(AND(CD$3&gt;=$AC$10,CD$3&lt;(CapEx!$F$12*12)+$AC$10,CapEx!$F$12&gt;1),SLN(CapEx!$C$12,CapEx!$G$12,CapEx!$F$12)/12,0)</f>
        <v>0</v>
      </c>
      <c r="CE10" s="295">
        <f>IF(AND(CE$3&gt;=$AC$10,CE$3&lt;(CapEx!$F$12*12)+$AC$10,CapEx!$F$12&gt;1),SLN(CapEx!$C$12,CapEx!$G$12,CapEx!$F$12)/12,0)</f>
        <v>0</v>
      </c>
      <c r="CF10" s="295">
        <f>IF(AND(CF$3&gt;=$AC$10,CF$3&lt;(CapEx!$F$12*12)+$AC$10,CapEx!$F$12&gt;1),SLN(CapEx!$C$12,CapEx!$G$12,CapEx!$F$12)/12,0)</f>
        <v>0</v>
      </c>
      <c r="CG10" s="295">
        <f>IF(AND(CG$3&gt;=$AC$10,CG$3&lt;(CapEx!$F$12*12)+$AC$10,CapEx!$F$12&gt;1),SLN(CapEx!$C$12,CapEx!$G$12,CapEx!$F$12)/12,0)</f>
        <v>0</v>
      </c>
      <c r="CH10" s="295">
        <f>IF(AND(CH$3&gt;=$AC$10,CH$3&lt;(CapEx!$F$12*12)+$AC$10,CapEx!$F$12&gt;1),SLN(CapEx!$C$12,CapEx!$G$12,CapEx!$F$12)/12,0)</f>
        <v>0</v>
      </c>
      <c r="CI10" s="295">
        <f>IF(AND(CI$3&gt;=$AC$10,CI$3&lt;(CapEx!$F$12*12)+$AC$10,CapEx!$F$12&gt;1),SLN(CapEx!$C$12,CapEx!$G$12,CapEx!$F$12)/12,0)</f>
        <v>0</v>
      </c>
      <c r="CJ10" s="295">
        <f>IF(AND(CJ$3&gt;=$AC$10,CJ$3&lt;(CapEx!$F$12*12)+$AC$10,CapEx!$F$12&gt;1),SLN(CapEx!$C$12,CapEx!$G$12,CapEx!$F$12)/12,0)</f>
        <v>0</v>
      </c>
      <c r="CK10" s="295">
        <f>IF(AND(CK$3&gt;=$AC$10,CK$3&lt;(CapEx!$F$12*12)+$AC$10,CapEx!$F$12&gt;1),SLN(CapEx!$C$12,CapEx!$G$12,CapEx!$F$12)/12,0)</f>
        <v>0</v>
      </c>
    </row>
    <row r="11" spans="1:101">
      <c r="A11" t="s">
        <v>16</v>
      </c>
      <c r="I11" t="str">
        <f>L70</f>
        <v>Nov</v>
      </c>
      <c r="J11" s="79">
        <v>11</v>
      </c>
      <c r="K11" s="71" t="s">
        <v>312</v>
      </c>
      <c r="Y11" s="79">
        <f>CapEx!F13</f>
        <v>1</v>
      </c>
      <c r="Z11" s="145" t="s">
        <v>213</v>
      </c>
      <c r="AA11" s="297">
        <v>8</v>
      </c>
      <c r="AB11">
        <f>CapEx!C13</f>
        <v>0</v>
      </c>
      <c r="AC11" s="79">
        <f>IF(AB11=0,1,DATEDIF($K$12,DATEVALUE("01-"&amp;CapEx!$D13&amp;"-"&amp;CapEx!$E13),"m")+1)</f>
        <v>1</v>
      </c>
      <c r="AD11" s="295">
        <f>IF(AND(AD$3&gt;=$AC11,AD$3&lt;(CapEx!$F$13*12)+$AC$11,CapEx!$F$13&gt;1),SLN(CapEx!$C$13,CapEx!$G$13,CapEx!$F$13)/12,0)</f>
        <v>0</v>
      </c>
      <c r="AE11" s="295">
        <f>IF(AND(AE$3&gt;=$AC11,AE$3&lt;(CapEx!$F$13*12)+$AC$11,CapEx!$F$13&gt;1),SLN(CapEx!$C$13,CapEx!$G$13,CapEx!$F$13)/12,0)</f>
        <v>0</v>
      </c>
      <c r="AF11" s="295">
        <f>IF(AND(AF$3&gt;=$AC11,AF$3&lt;(CapEx!$F$13*12)+$AC$11,CapEx!$F$13&gt;1),SLN(CapEx!$C$13,CapEx!$G$13,CapEx!$F$13)/12,0)</f>
        <v>0</v>
      </c>
      <c r="AG11" s="295">
        <f>IF(AND(AG$3&gt;=$AC11,AG$3&lt;(CapEx!$F$13*12)+$AC$11,CapEx!$F$13&gt;1),SLN(CapEx!$C$13,CapEx!$G$13,CapEx!$F$13)/12,0)</f>
        <v>0</v>
      </c>
      <c r="AH11" s="295">
        <f>IF(AND(AH$3&gt;=$AC11,AH$3&lt;(CapEx!$F$13*12)+$AC$11,CapEx!$F$13&gt;1),SLN(CapEx!$C$13,CapEx!$G$13,CapEx!$F$13)/12,0)</f>
        <v>0</v>
      </c>
      <c r="AI11" s="295">
        <f>IF(AND(AI$3&gt;=$AC11,AI$3&lt;(CapEx!$F$13*12)+$AC$11,CapEx!$F$13&gt;1),SLN(CapEx!$C$13,CapEx!$G$13,CapEx!$F$13)/12,0)</f>
        <v>0</v>
      </c>
      <c r="AJ11" s="295">
        <f>IF(AND(AJ$3&gt;=$AC11,AJ$3&lt;(CapEx!$F$13*12)+$AC$11,CapEx!$F$13&gt;1),SLN(CapEx!$C$13,CapEx!$G$13,CapEx!$F$13)/12,0)</f>
        <v>0</v>
      </c>
      <c r="AK11" s="295">
        <f>IF(AND(AK$3&gt;=$AC11,AK$3&lt;(CapEx!$F$13*12)+$AC$11,CapEx!$F$13&gt;1),SLN(CapEx!$C$13,CapEx!$G$13,CapEx!$F$13)/12,0)</f>
        <v>0</v>
      </c>
      <c r="AL11" s="295">
        <f>IF(AND(AL$3&gt;=$AC11,AL$3&lt;(CapEx!$F$13*12)+$AC$11,CapEx!$F$13&gt;1),SLN(CapEx!$C$13,CapEx!$G$13,CapEx!$F$13)/12,0)</f>
        <v>0</v>
      </c>
      <c r="AM11" s="295">
        <f>IF(AND(AM$3&gt;=$AC11,AM$3&lt;(CapEx!$F$13*12)+$AC$11,CapEx!$F$13&gt;1),SLN(CapEx!$C$13,CapEx!$G$13,CapEx!$F$13)/12,0)</f>
        <v>0</v>
      </c>
      <c r="AN11" s="295">
        <f>IF(AND(AN$3&gt;=$AC11,AN$3&lt;(CapEx!$F$13*12)+$AC$11,CapEx!$F$13&gt;1),SLN(CapEx!$C$13,CapEx!$G$13,CapEx!$F$13)/12,0)</f>
        <v>0</v>
      </c>
      <c r="AO11" s="295">
        <f>IF(AND(AO$3&gt;=$AC11,AO$3&lt;(CapEx!$F$13*12)+$AC$11,CapEx!$F$13&gt;1),SLN(CapEx!$C$13,CapEx!$G$13,CapEx!$F$13)/12,0)</f>
        <v>0</v>
      </c>
      <c r="AP11" s="295">
        <f>IF(AND(AP$3&gt;=$AC11,AP$3&lt;(CapEx!$F$13*12)+$AC$11,CapEx!$F$13&gt;1),SLN(CapEx!$C$13,CapEx!$G$13,CapEx!$F$13)/12,0)</f>
        <v>0</v>
      </c>
      <c r="AQ11" s="295">
        <f>IF(AND(AQ$3&gt;=$AC11,AQ$3&lt;(CapEx!$F$13*12)+$AC$11,CapEx!$F$13&gt;1),SLN(CapEx!$C$13,CapEx!$G$13,CapEx!$F$13)/12,0)</f>
        <v>0</v>
      </c>
      <c r="AR11" s="295">
        <f>IF(AND(AR$3&gt;=$AC11,AR$3&lt;(CapEx!$F$13*12)+$AC$11,CapEx!$F$13&gt;1),SLN(CapEx!$C$13,CapEx!$G$13,CapEx!$F$13)/12,0)</f>
        <v>0</v>
      </c>
      <c r="AS11" s="295">
        <f>IF(AND(AS$3&gt;=$AC11,AS$3&lt;(CapEx!$F$13*12)+$AC$11,CapEx!$F$13&gt;1),SLN(CapEx!$C$13,CapEx!$G$13,CapEx!$F$13)/12,0)</f>
        <v>0</v>
      </c>
      <c r="AT11" s="295">
        <f>IF(AND(AT$3&gt;=$AC11,AT$3&lt;(CapEx!$F$13*12)+$AC$11,CapEx!$F$13&gt;1),SLN(CapEx!$C$13,CapEx!$G$13,CapEx!$F$13)/12,0)</f>
        <v>0</v>
      </c>
      <c r="AU11" s="295">
        <f>IF(AND(AU$3&gt;=$AC11,AU$3&lt;(CapEx!$F$13*12)+$AC$11,CapEx!$F$13&gt;1),SLN(CapEx!$C$13,CapEx!$G$13,CapEx!$F$13)/12,0)</f>
        <v>0</v>
      </c>
      <c r="AV11" s="295">
        <f>IF(AND(AV$3&gt;=$AC11,AV$3&lt;(CapEx!$F$13*12)+$AC$11,CapEx!$F$13&gt;1),SLN(CapEx!$C$13,CapEx!$G$13,CapEx!$F$13)/12,0)</f>
        <v>0</v>
      </c>
      <c r="AW11" s="295">
        <f>IF(AND(AW$3&gt;=$AC11,AW$3&lt;(CapEx!$F$13*12)+$AC$11,CapEx!$F$13&gt;1),SLN(CapEx!$C$13,CapEx!$G$13,CapEx!$F$13)/12,0)</f>
        <v>0</v>
      </c>
      <c r="AX11" s="295">
        <f>IF(AND(AX$3&gt;=$AC11,AX$3&lt;(CapEx!$F$13*12)+$AC$11,CapEx!$F$13&gt;1),SLN(CapEx!$C$13,CapEx!$G$13,CapEx!$F$13)/12,0)</f>
        <v>0</v>
      </c>
      <c r="AY11" s="295">
        <f>IF(AND(AY$3&gt;=$AC11,AY$3&lt;(CapEx!$F$13*12)+$AC$11,CapEx!$F$13&gt;1),SLN(CapEx!$C$13,CapEx!$G$13,CapEx!$F$13)/12,0)</f>
        <v>0</v>
      </c>
      <c r="AZ11" s="295">
        <f>IF(AND(AZ$3&gt;=$AC11,AZ$3&lt;(CapEx!$F$13*12)+$AC$11,CapEx!$F$13&gt;1),SLN(CapEx!$C$13,CapEx!$G$13,CapEx!$F$13)/12,0)</f>
        <v>0</v>
      </c>
      <c r="BA11" s="295">
        <f>IF(AND(BA$3&gt;=$AC11,BA$3&lt;(CapEx!$F$13*12)+$AC$11,CapEx!$F$13&gt;1),SLN(CapEx!$C$13,CapEx!$G$13,CapEx!$F$13)/12,0)</f>
        <v>0</v>
      </c>
      <c r="BB11" s="295">
        <f>IF(AND(BB$3&gt;=$AC11,BB$3&lt;(CapEx!$F$13*12)+$AC$11,CapEx!$F$13&gt;1),SLN(CapEx!$C$13,CapEx!$G$13,CapEx!$F$13)/12,0)</f>
        <v>0</v>
      </c>
      <c r="BC11" s="295">
        <f>IF(AND(BC$3&gt;=$AC11,BC$3&lt;(CapEx!$F$13*12)+$AC$11,CapEx!$F$13&gt;1),SLN(CapEx!$C$13,CapEx!$G$13,CapEx!$F$13)/12,0)</f>
        <v>0</v>
      </c>
      <c r="BD11" s="295">
        <f>IF(AND(BD$3&gt;=$AC11,BD$3&lt;(CapEx!$F$13*12)+$AC$11,CapEx!$F$13&gt;1),SLN(CapEx!$C$13,CapEx!$G$13,CapEx!$F$13)/12,0)</f>
        <v>0</v>
      </c>
      <c r="BE11" s="295">
        <f>IF(AND(BE$3&gt;=$AC11,BE$3&lt;(CapEx!$F$13*12)+$AC$11,CapEx!$F$13&gt;1),SLN(CapEx!$C$13,CapEx!$G$13,CapEx!$F$13)/12,0)</f>
        <v>0</v>
      </c>
      <c r="BF11" s="295">
        <f>IF(AND(BF$3&gt;=$AC11,BF$3&lt;(CapEx!$F$13*12)+$AC$11,CapEx!$F$13&gt;1),SLN(CapEx!$C$13,CapEx!$G$13,CapEx!$F$13)/12,0)</f>
        <v>0</v>
      </c>
      <c r="BG11" s="295">
        <f>IF(AND(BG$3&gt;=$AC11,BG$3&lt;(CapEx!$F$13*12)+$AC$11,CapEx!$F$13&gt;1),SLN(CapEx!$C$13,CapEx!$G$13,CapEx!$F$13)/12,0)</f>
        <v>0</v>
      </c>
      <c r="BH11" s="295">
        <f>IF(AND(BH$3&gt;=$AC11,BH$3&lt;(CapEx!$F$13*12)+$AC$11,CapEx!$F$13&gt;1),SLN(CapEx!$C$13,CapEx!$G$13,CapEx!$F$13)/12,0)</f>
        <v>0</v>
      </c>
      <c r="BI11" s="295">
        <f>IF(AND(BI$3&gt;=$AC11,BI$3&lt;(CapEx!$F$13*12)+$AC$11,CapEx!$F$13&gt;1),SLN(CapEx!$C$13,CapEx!$G$13,CapEx!$F$13)/12,0)</f>
        <v>0</v>
      </c>
      <c r="BJ11" s="295">
        <f>IF(AND(BJ$3&gt;=$AC11,BJ$3&lt;(CapEx!$F$13*12)+$AC$11,CapEx!$F$13&gt;1),SLN(CapEx!$C$13,CapEx!$G$13,CapEx!$F$13)/12,0)</f>
        <v>0</v>
      </c>
      <c r="BK11" s="295">
        <f>IF(AND(BK$3&gt;=$AC11,BK$3&lt;(CapEx!$F$13*12)+$AC$11,CapEx!$F$13&gt;1),SLN(CapEx!$C$13,CapEx!$G$13,CapEx!$F$13)/12,0)</f>
        <v>0</v>
      </c>
      <c r="BL11" s="295">
        <f>IF(AND(BL$3&gt;=$AC11,BL$3&lt;(CapEx!$F$13*12)+$AC$11,CapEx!$F$13&gt;1),SLN(CapEx!$C$13,CapEx!$G$13,CapEx!$F$13)/12,0)</f>
        <v>0</v>
      </c>
      <c r="BM11" s="295">
        <f>IF(AND(BM$3&gt;=$AC11,BM$3&lt;(CapEx!$F$13*12)+$AC$11,CapEx!$F$13&gt;1),SLN(CapEx!$C$13,CapEx!$G$13,CapEx!$F$13)/12,0)</f>
        <v>0</v>
      </c>
      <c r="BN11" s="295">
        <f>IF(AND(BN$3&gt;=$AC11,BN$3&lt;(CapEx!$F$13*12)+$AC$11,CapEx!$F$13&gt;1),SLN(CapEx!$C$13,CapEx!$G$13,CapEx!$F$13)/12,0)</f>
        <v>0</v>
      </c>
      <c r="BO11" s="295">
        <f>IF(AND(BO$3&gt;=$AC11,BO$3&lt;(CapEx!$F$13*12)+$AC$11,CapEx!$F$13&gt;1),SLN(CapEx!$C$13,CapEx!$G$13,CapEx!$F$13)/12,0)</f>
        <v>0</v>
      </c>
      <c r="BP11" s="295">
        <f>IF(AND(BP$3&gt;=$AC11,BP$3&lt;(CapEx!$F$13*12)+$AC$11,CapEx!$F$13&gt;1),SLN(CapEx!$C$13,CapEx!$G$13,CapEx!$F$13)/12,0)</f>
        <v>0</v>
      </c>
      <c r="BQ11" s="295">
        <f>IF(AND(BQ$3&gt;=$AC11,BQ$3&lt;(CapEx!$F$13*12)+$AC$11,CapEx!$F$13&gt;1),SLN(CapEx!$C$13,CapEx!$G$13,CapEx!$F$13)/12,0)</f>
        <v>0</v>
      </c>
      <c r="BR11" s="295">
        <f>IF(AND(BR$3&gt;=$AC11,BR$3&lt;(CapEx!$F$13*12)+$AC$11,CapEx!$F$13&gt;1),SLN(CapEx!$C$13,CapEx!$G$13,CapEx!$F$13)/12,0)</f>
        <v>0</v>
      </c>
      <c r="BS11" s="295">
        <f>IF(AND(BS$3&gt;=$AC11,BS$3&lt;(CapEx!$F$13*12)+$AC$11,CapEx!$F$13&gt;1),SLN(CapEx!$C$13,CapEx!$G$13,CapEx!$F$13)/12,0)</f>
        <v>0</v>
      </c>
      <c r="BT11" s="295">
        <f>IF(AND(BT$3&gt;=$AC11,BT$3&lt;(CapEx!$F$13*12)+$AC$11,CapEx!$F$13&gt;1),SLN(CapEx!$C$13,CapEx!$G$13,CapEx!$F$13)/12,0)</f>
        <v>0</v>
      </c>
      <c r="BU11" s="295">
        <f>IF(AND(BU$3&gt;=$AC11,BU$3&lt;(CapEx!$F$13*12)+$AC$11,CapEx!$F$13&gt;1),SLN(CapEx!$C$13,CapEx!$G$13,CapEx!$F$13)/12,0)</f>
        <v>0</v>
      </c>
      <c r="BV11" s="295">
        <f>IF(AND(BV$3&gt;=$AC11,BV$3&lt;(CapEx!$F$13*12)+$AC$11,CapEx!$F$13&gt;1),SLN(CapEx!$C$13,CapEx!$G$13,CapEx!$F$13)/12,0)</f>
        <v>0</v>
      </c>
      <c r="BW11" s="295">
        <f>IF(AND(BW$3&gt;=$AC11,BW$3&lt;(CapEx!$F$13*12)+$AC$11,CapEx!$F$13&gt;1),SLN(CapEx!$C$13,CapEx!$G$13,CapEx!$F$13)/12,0)</f>
        <v>0</v>
      </c>
      <c r="BX11" s="295">
        <f>IF(AND(BX$3&gt;=$AC11,BX$3&lt;(CapEx!$F$13*12)+$AC$11,CapEx!$F$13&gt;1),SLN(CapEx!$C$13,CapEx!$G$13,CapEx!$F$13)/12,0)</f>
        <v>0</v>
      </c>
      <c r="BY11" s="295">
        <f>IF(AND(BY$3&gt;=$AC11,BY$3&lt;(CapEx!$F$13*12)+$AC$11,CapEx!$F$13&gt;1),SLN(CapEx!$C$13,CapEx!$G$13,CapEx!$F$13)/12,0)</f>
        <v>0</v>
      </c>
      <c r="BZ11" s="295">
        <f>IF(AND(BZ$3&gt;=$AC11,BZ$3&lt;(CapEx!$F$13*12)+$AC$11,CapEx!$F$13&gt;1),SLN(CapEx!$C$13,CapEx!$G$13,CapEx!$F$13)/12,0)</f>
        <v>0</v>
      </c>
      <c r="CA11" s="295">
        <f>IF(AND(CA$3&gt;=$AC11,CA$3&lt;(CapEx!$F$13*12)+$AC$11,CapEx!$F$13&gt;1),SLN(CapEx!$C$13,CapEx!$G$13,CapEx!$F$13)/12,0)</f>
        <v>0</v>
      </c>
      <c r="CB11" s="295">
        <f>IF(AND(CB$3&gt;=$AC11,CB$3&lt;(CapEx!$F$13*12)+$AC$11,CapEx!$F$13&gt;1),SLN(CapEx!$C$13,CapEx!$G$13,CapEx!$F$13)/12,0)</f>
        <v>0</v>
      </c>
      <c r="CC11" s="295">
        <f>IF(AND(CC$3&gt;=$AC11,CC$3&lt;(CapEx!$F$13*12)+$AC$11,CapEx!$F$13&gt;1),SLN(CapEx!$C$13,CapEx!$G$13,CapEx!$F$13)/12,0)</f>
        <v>0</v>
      </c>
      <c r="CD11" s="295">
        <f>IF(AND(CD$3&gt;=$AC11,CD$3&lt;(CapEx!$F$13*12)+$AC$11,CapEx!$F$13&gt;1),SLN(CapEx!$C$13,CapEx!$G$13,CapEx!$F$13)/12,0)</f>
        <v>0</v>
      </c>
      <c r="CE11" s="295">
        <f>IF(AND(CE$3&gt;=$AC11,CE$3&lt;(CapEx!$F$13*12)+$AC$11,CapEx!$F$13&gt;1),SLN(CapEx!$C$13,CapEx!$G$13,CapEx!$F$13)/12,0)</f>
        <v>0</v>
      </c>
      <c r="CF11" s="295">
        <f>IF(AND(CF$3&gt;=$AC11,CF$3&lt;(CapEx!$F$13*12)+$AC$11,CapEx!$F$13&gt;1),SLN(CapEx!$C$13,CapEx!$G$13,CapEx!$F$13)/12,0)</f>
        <v>0</v>
      </c>
      <c r="CG11" s="295">
        <f>IF(AND(CG$3&gt;=$AC11,CG$3&lt;(CapEx!$F$13*12)+$AC$11,CapEx!$F$13&gt;1),SLN(CapEx!$C$13,CapEx!$G$13,CapEx!$F$13)/12,0)</f>
        <v>0</v>
      </c>
      <c r="CH11" s="295">
        <f>IF(AND(CH$3&gt;=$AC11,CH$3&lt;(CapEx!$F$13*12)+$AC$11,CapEx!$F$13&gt;1),SLN(CapEx!$C$13,CapEx!$G$13,CapEx!$F$13)/12,0)</f>
        <v>0</v>
      </c>
      <c r="CI11" s="295">
        <f>IF(AND(CI$3&gt;=$AC11,CI$3&lt;(CapEx!$F$13*12)+$AC$11,CapEx!$F$13&gt;1),SLN(CapEx!$C$13,CapEx!$G$13,CapEx!$F$13)/12,0)</f>
        <v>0</v>
      </c>
      <c r="CJ11" s="295">
        <f>IF(AND(CJ$3&gt;=$AC11,CJ$3&lt;(CapEx!$F$13*12)+$AC$11,CapEx!$F$13&gt;1),SLN(CapEx!$C$13,CapEx!$G$13,CapEx!$F$13)/12,0)</f>
        <v>0</v>
      </c>
      <c r="CK11" s="295">
        <f>IF(AND(CK$3&gt;=$AC11,CK$3&lt;(CapEx!$F$13*12)+$AC$11,CapEx!$F$13&gt;1),SLN(CapEx!$C$13,CapEx!$G$13,CapEx!$F$13)/12,0)</f>
        <v>0</v>
      </c>
    </row>
    <row r="12" spans="1:101">
      <c r="A12" t="s">
        <v>17</v>
      </c>
      <c r="I12" t="str">
        <f>M70</f>
        <v>Dec</v>
      </c>
      <c r="J12" s="79">
        <v>12</v>
      </c>
      <c r="K12" s="669">
        <f>DATEVALUE("01-"&amp;I1&amp;"-"&amp;K2)</f>
        <v>37986</v>
      </c>
      <c r="N12" s="145"/>
      <c r="Y12" s="79">
        <f>CapEx!F14</f>
        <v>1</v>
      </c>
      <c r="Z12" s="145" t="s">
        <v>213</v>
      </c>
      <c r="AA12" s="297">
        <v>9</v>
      </c>
      <c r="AB12">
        <f>CapEx!C14</f>
        <v>0</v>
      </c>
      <c r="AC12" s="79">
        <f>IF(AB12=0,1,DATEDIF($K$12,DATEVALUE("01-"&amp;CapEx!$D14&amp;"-"&amp;CapEx!$E14),"m")+1)</f>
        <v>1</v>
      </c>
      <c r="AD12" s="295">
        <f>IF(AND(AD$3&gt;=$AC12,AD$3&lt;(CapEx!$F$14*12)+$AC$12,CapEx!$F$14&gt;1),SLN(CapEx!$C$14,CapEx!$G$14,CapEx!$F$14)/12,0)</f>
        <v>0</v>
      </c>
      <c r="AE12" s="295">
        <f>IF(AND(AE$3&gt;=$AC12,AE$3&lt;(CapEx!$F$14*12)+$AC$12,CapEx!$F$14&gt;1),SLN(CapEx!$C$14,CapEx!$G$14,CapEx!$F$14)/12,0)</f>
        <v>0</v>
      </c>
      <c r="AF12" s="295">
        <f>IF(AND(AF$3&gt;=$AC12,AF$3&lt;(CapEx!$F$14*12)+$AC$12,CapEx!$F$14&gt;1),SLN(CapEx!$C$14,CapEx!$G$14,CapEx!$F$14)/12,0)</f>
        <v>0</v>
      </c>
      <c r="AG12" s="295">
        <f>IF(AND(AG$3&gt;=$AC12,AG$3&lt;(CapEx!$F$14*12)+$AC$12,CapEx!$F$14&gt;1),SLN(CapEx!$C$14,CapEx!$G$14,CapEx!$F$14)/12,0)</f>
        <v>0</v>
      </c>
      <c r="AH12" s="295">
        <f>IF(AND(AH$3&gt;=$AC12,AH$3&lt;(CapEx!$F$14*12)+$AC$12,CapEx!$F$14&gt;1),SLN(CapEx!$C$14,CapEx!$G$14,CapEx!$F$14)/12,0)</f>
        <v>0</v>
      </c>
      <c r="AI12" s="295">
        <f>IF(AND(AI$3&gt;=$AC12,AI$3&lt;(CapEx!$F$14*12)+$AC$12,CapEx!$F$14&gt;1),SLN(CapEx!$C$14,CapEx!$G$14,CapEx!$F$14)/12,0)</f>
        <v>0</v>
      </c>
      <c r="AJ12" s="295">
        <f>IF(AND(AJ$3&gt;=$AC12,AJ$3&lt;(CapEx!$F$14*12)+$AC$12,CapEx!$F$14&gt;1),SLN(CapEx!$C$14,CapEx!$G$14,CapEx!$F$14)/12,0)</f>
        <v>0</v>
      </c>
      <c r="AK12" s="295">
        <f>IF(AND(AK$3&gt;=$AC12,AK$3&lt;(CapEx!$F$14*12)+$AC$12,CapEx!$F$14&gt;1),SLN(CapEx!$C$14,CapEx!$G$14,CapEx!$F$14)/12,0)</f>
        <v>0</v>
      </c>
      <c r="AL12" s="295">
        <f>IF(AND(AL$3&gt;=$AC12,AL$3&lt;(CapEx!$F$14*12)+$AC$12,CapEx!$F$14&gt;1),SLN(CapEx!$C$14,CapEx!$G$14,CapEx!$F$14)/12,0)</f>
        <v>0</v>
      </c>
      <c r="AM12" s="295">
        <f>IF(AND(AM$3&gt;=$AC12,AM$3&lt;(CapEx!$F$14*12)+$AC$12,CapEx!$F$14&gt;1),SLN(CapEx!$C$14,CapEx!$G$14,CapEx!$F$14)/12,0)</f>
        <v>0</v>
      </c>
      <c r="AN12" s="295">
        <f>IF(AND(AN$3&gt;=$AC12,AN$3&lt;(CapEx!$F$14*12)+$AC$12,CapEx!$F$14&gt;1),SLN(CapEx!$C$14,CapEx!$G$14,CapEx!$F$14)/12,0)</f>
        <v>0</v>
      </c>
      <c r="AO12" s="295">
        <f>IF(AND(AO$3&gt;=$AC12,AO$3&lt;(CapEx!$F$14*12)+$AC$12,CapEx!$F$14&gt;1),SLN(CapEx!$C$14,CapEx!$G$14,CapEx!$F$14)/12,0)</f>
        <v>0</v>
      </c>
      <c r="AP12" s="295">
        <f>IF(AND(AP$3&gt;=$AC12,AP$3&lt;(CapEx!$F$14*12)+$AC$12,CapEx!$F$14&gt;1),SLN(CapEx!$C$14,CapEx!$G$14,CapEx!$F$14)/12,0)</f>
        <v>0</v>
      </c>
      <c r="AQ12" s="295">
        <f>IF(AND(AQ$3&gt;=$AC12,AQ$3&lt;(CapEx!$F$14*12)+$AC$12,CapEx!$F$14&gt;1),SLN(CapEx!$C$14,CapEx!$G$14,CapEx!$F$14)/12,0)</f>
        <v>0</v>
      </c>
      <c r="AR12" s="295">
        <f>IF(AND(AR$3&gt;=$AC12,AR$3&lt;(CapEx!$F$14*12)+$AC$12,CapEx!$F$14&gt;1),SLN(CapEx!$C$14,CapEx!$G$14,CapEx!$F$14)/12,0)</f>
        <v>0</v>
      </c>
      <c r="AS12" s="295">
        <f>IF(AND(AS$3&gt;=$AC12,AS$3&lt;(CapEx!$F$14*12)+$AC$12,CapEx!$F$14&gt;1),SLN(CapEx!$C$14,CapEx!$G$14,CapEx!$F$14)/12,0)</f>
        <v>0</v>
      </c>
      <c r="AT12" s="295">
        <f>IF(AND(AT$3&gt;=$AC12,AT$3&lt;(CapEx!$F$14*12)+$AC$12,CapEx!$F$14&gt;1),SLN(CapEx!$C$14,CapEx!$G$14,CapEx!$F$14)/12,0)</f>
        <v>0</v>
      </c>
      <c r="AU12" s="295">
        <f>IF(AND(AU$3&gt;=$AC12,AU$3&lt;(CapEx!$F$14*12)+$AC$12,CapEx!$F$14&gt;1),SLN(CapEx!$C$14,CapEx!$G$14,CapEx!$F$14)/12,0)</f>
        <v>0</v>
      </c>
      <c r="AV12" s="295">
        <f>IF(AND(AV$3&gt;=$AC12,AV$3&lt;(CapEx!$F$14*12)+$AC$12,CapEx!$F$14&gt;1),SLN(CapEx!$C$14,CapEx!$G$14,CapEx!$F$14)/12,0)</f>
        <v>0</v>
      </c>
      <c r="AW12" s="295">
        <f>IF(AND(AW$3&gt;=$AC12,AW$3&lt;(CapEx!$F$14*12)+$AC$12,CapEx!$F$14&gt;1),SLN(CapEx!$C$14,CapEx!$G$14,CapEx!$F$14)/12,0)</f>
        <v>0</v>
      </c>
      <c r="AX12" s="295">
        <f>IF(AND(AX$3&gt;=$AC12,AX$3&lt;(CapEx!$F$14*12)+$AC$12,CapEx!$F$14&gt;1),SLN(CapEx!$C$14,CapEx!$G$14,CapEx!$F$14)/12,0)</f>
        <v>0</v>
      </c>
      <c r="AY12" s="295">
        <f>IF(AND(AY$3&gt;=$AC12,AY$3&lt;(CapEx!$F$14*12)+$AC$12,CapEx!$F$14&gt;1),SLN(CapEx!$C$14,CapEx!$G$14,CapEx!$F$14)/12,0)</f>
        <v>0</v>
      </c>
      <c r="AZ12" s="295">
        <f>IF(AND(AZ$3&gt;=$AC12,AZ$3&lt;(CapEx!$F$14*12)+$AC$12,CapEx!$F$14&gt;1),SLN(CapEx!$C$14,CapEx!$G$14,CapEx!$F$14)/12,0)</f>
        <v>0</v>
      </c>
      <c r="BA12" s="295">
        <f>IF(AND(BA$3&gt;=$AC12,BA$3&lt;(CapEx!$F$14*12)+$AC$12,CapEx!$F$14&gt;1),SLN(CapEx!$C$14,CapEx!$G$14,CapEx!$F$14)/12,0)</f>
        <v>0</v>
      </c>
      <c r="BB12" s="295">
        <f>IF(AND(BB$3&gt;=$AC12,BB$3&lt;(CapEx!$F$14*12)+$AC$12,CapEx!$F$14&gt;1),SLN(CapEx!$C$14,CapEx!$G$14,CapEx!$F$14)/12,0)</f>
        <v>0</v>
      </c>
      <c r="BC12" s="295">
        <f>IF(AND(BC$3&gt;=$AC12,BC$3&lt;(CapEx!$F$14*12)+$AC$12,CapEx!$F$14&gt;1),SLN(CapEx!$C$14,CapEx!$G$14,CapEx!$F$14)/12,0)</f>
        <v>0</v>
      </c>
      <c r="BD12" s="295">
        <f>IF(AND(BD$3&gt;=$AC12,BD$3&lt;(CapEx!$F$14*12)+$AC$12,CapEx!$F$14&gt;1),SLN(CapEx!$C$14,CapEx!$G$14,CapEx!$F$14)/12,0)</f>
        <v>0</v>
      </c>
      <c r="BE12" s="295">
        <f>IF(AND(BE$3&gt;=$AC12,BE$3&lt;(CapEx!$F$14*12)+$AC$12,CapEx!$F$14&gt;1),SLN(CapEx!$C$14,CapEx!$G$14,CapEx!$F$14)/12,0)</f>
        <v>0</v>
      </c>
      <c r="BF12" s="295">
        <f>IF(AND(BF$3&gt;=$AC12,BF$3&lt;(CapEx!$F$14*12)+$AC$12,CapEx!$F$14&gt;1),SLN(CapEx!$C$14,CapEx!$G$14,CapEx!$F$14)/12,0)</f>
        <v>0</v>
      </c>
      <c r="BG12" s="295">
        <f>IF(AND(BG$3&gt;=$AC12,BG$3&lt;(CapEx!$F$14*12)+$AC$12,CapEx!$F$14&gt;1),SLN(CapEx!$C$14,CapEx!$G$14,CapEx!$F$14)/12,0)</f>
        <v>0</v>
      </c>
      <c r="BH12" s="295">
        <f>IF(AND(BH$3&gt;=$AC12,BH$3&lt;(CapEx!$F$14*12)+$AC$12,CapEx!$F$14&gt;1),SLN(CapEx!$C$14,CapEx!$G$14,CapEx!$F$14)/12,0)</f>
        <v>0</v>
      </c>
      <c r="BI12" s="295">
        <f>IF(AND(BI$3&gt;=$AC12,BI$3&lt;(CapEx!$F$14*12)+$AC$12,CapEx!$F$14&gt;1),SLN(CapEx!$C$14,CapEx!$G$14,CapEx!$F$14)/12,0)</f>
        <v>0</v>
      </c>
      <c r="BJ12" s="295">
        <f>IF(AND(BJ$3&gt;=$AC12,BJ$3&lt;(CapEx!$F$14*12)+$AC$12,CapEx!$F$14&gt;1),SLN(CapEx!$C$14,CapEx!$G$14,CapEx!$F$14)/12,0)</f>
        <v>0</v>
      </c>
      <c r="BK12" s="295">
        <f>IF(AND(BK$3&gt;=$AC12,BK$3&lt;(CapEx!$F$14*12)+$AC$12,CapEx!$F$14&gt;1),SLN(CapEx!$C$14,CapEx!$G$14,CapEx!$F$14)/12,0)</f>
        <v>0</v>
      </c>
      <c r="BL12" s="295">
        <f>IF(AND(BL$3&gt;=$AC12,BL$3&lt;(CapEx!$F$14*12)+$AC$12,CapEx!$F$14&gt;1),SLN(CapEx!$C$14,CapEx!$G$14,CapEx!$F$14)/12,0)</f>
        <v>0</v>
      </c>
      <c r="BM12" s="295">
        <f>IF(AND(BM$3&gt;=$AC12,BM$3&lt;(CapEx!$F$14*12)+$AC$12,CapEx!$F$14&gt;1),SLN(CapEx!$C$14,CapEx!$G$14,CapEx!$F$14)/12,0)</f>
        <v>0</v>
      </c>
      <c r="BN12" s="295">
        <f>IF(AND(BN$3&gt;=$AC12,BN$3&lt;(CapEx!$F$14*12)+$AC$12,CapEx!$F$14&gt;1),SLN(CapEx!$C$14,CapEx!$G$14,CapEx!$F$14)/12,0)</f>
        <v>0</v>
      </c>
      <c r="BO12" s="295">
        <f>IF(AND(BO$3&gt;=$AC12,BO$3&lt;(CapEx!$F$14*12)+$AC$12,CapEx!$F$14&gt;1),SLN(CapEx!$C$14,CapEx!$G$14,CapEx!$F$14)/12,0)</f>
        <v>0</v>
      </c>
      <c r="BP12" s="295">
        <f>IF(AND(BP$3&gt;=$AC12,BP$3&lt;(CapEx!$F$14*12)+$AC$12,CapEx!$F$14&gt;1),SLN(CapEx!$C$14,CapEx!$G$14,CapEx!$F$14)/12,0)</f>
        <v>0</v>
      </c>
      <c r="BQ12" s="295">
        <f>IF(AND(BQ$3&gt;=$AC12,BQ$3&lt;(CapEx!$F$14*12)+$AC$12,CapEx!$F$14&gt;1),SLN(CapEx!$C$14,CapEx!$G$14,CapEx!$F$14)/12,0)</f>
        <v>0</v>
      </c>
      <c r="BR12" s="295">
        <f>IF(AND(BR$3&gt;=$AC12,BR$3&lt;(CapEx!$F$14*12)+$AC$12,CapEx!$F$14&gt;1),SLN(CapEx!$C$14,CapEx!$G$14,CapEx!$F$14)/12,0)</f>
        <v>0</v>
      </c>
      <c r="BS12" s="295">
        <f>IF(AND(BS$3&gt;=$AC12,BS$3&lt;(CapEx!$F$14*12)+$AC$12,CapEx!$F$14&gt;1),SLN(CapEx!$C$14,CapEx!$G$14,CapEx!$F$14)/12,0)</f>
        <v>0</v>
      </c>
      <c r="BT12" s="295">
        <f>IF(AND(BT$3&gt;=$AC12,BT$3&lt;(CapEx!$F$14*12)+$AC$12,CapEx!$F$14&gt;1),SLN(CapEx!$C$14,CapEx!$G$14,CapEx!$F$14)/12,0)</f>
        <v>0</v>
      </c>
      <c r="BU12" s="295">
        <f>IF(AND(BU$3&gt;=$AC12,BU$3&lt;(CapEx!$F$14*12)+$AC$12,CapEx!$F$14&gt;1),SLN(CapEx!$C$14,CapEx!$G$14,CapEx!$F$14)/12,0)</f>
        <v>0</v>
      </c>
      <c r="BV12" s="295">
        <f>IF(AND(BV$3&gt;=$AC12,BV$3&lt;(CapEx!$F$14*12)+$AC$12,CapEx!$F$14&gt;1),SLN(CapEx!$C$14,CapEx!$G$14,CapEx!$F$14)/12,0)</f>
        <v>0</v>
      </c>
      <c r="BW12" s="295">
        <f>IF(AND(BW$3&gt;=$AC12,BW$3&lt;(CapEx!$F$14*12)+$AC$12,CapEx!$F$14&gt;1),SLN(CapEx!$C$14,CapEx!$G$14,CapEx!$F$14)/12,0)</f>
        <v>0</v>
      </c>
      <c r="BX12" s="295">
        <f>IF(AND(BX$3&gt;=$AC12,BX$3&lt;(CapEx!$F$14*12)+$AC$12,CapEx!$F$14&gt;1),SLN(CapEx!$C$14,CapEx!$G$14,CapEx!$F$14)/12,0)</f>
        <v>0</v>
      </c>
      <c r="BY12" s="295">
        <f>IF(AND(BY$3&gt;=$AC12,BY$3&lt;(CapEx!$F$14*12)+$AC$12,CapEx!$F$14&gt;1),SLN(CapEx!$C$14,CapEx!$G$14,CapEx!$F$14)/12,0)</f>
        <v>0</v>
      </c>
      <c r="BZ12" s="295">
        <f>IF(AND(BZ$3&gt;=$AC12,BZ$3&lt;(CapEx!$F$14*12)+$AC$12,CapEx!$F$14&gt;1),SLN(CapEx!$C$14,CapEx!$G$14,CapEx!$F$14)/12,0)</f>
        <v>0</v>
      </c>
      <c r="CA12" s="295">
        <f>IF(AND(CA$3&gt;=$AC12,CA$3&lt;(CapEx!$F$14*12)+$AC$12,CapEx!$F$14&gt;1),SLN(CapEx!$C$14,CapEx!$G$14,CapEx!$F$14)/12,0)</f>
        <v>0</v>
      </c>
      <c r="CB12" s="295">
        <f>IF(AND(CB$3&gt;=$AC12,CB$3&lt;(CapEx!$F$14*12)+$AC$12,CapEx!$F$14&gt;1),SLN(CapEx!$C$14,CapEx!$G$14,CapEx!$F$14)/12,0)</f>
        <v>0</v>
      </c>
      <c r="CC12" s="295">
        <f>IF(AND(CC$3&gt;=$AC12,CC$3&lt;(CapEx!$F$14*12)+$AC$12,CapEx!$F$14&gt;1),SLN(CapEx!$C$14,CapEx!$G$14,CapEx!$F$14)/12,0)</f>
        <v>0</v>
      </c>
      <c r="CD12" s="295">
        <f>IF(AND(CD$3&gt;=$AC12,CD$3&lt;(CapEx!$F$14*12)+$AC$12,CapEx!$F$14&gt;1),SLN(CapEx!$C$14,CapEx!$G$14,CapEx!$F$14)/12,0)</f>
        <v>0</v>
      </c>
      <c r="CE12" s="295">
        <f>IF(AND(CE$3&gt;=$AC12,CE$3&lt;(CapEx!$F$14*12)+$AC$12,CapEx!$F$14&gt;1),SLN(CapEx!$C$14,CapEx!$G$14,CapEx!$F$14)/12,0)</f>
        <v>0</v>
      </c>
      <c r="CF12" s="295">
        <f>IF(AND(CF$3&gt;=$AC12,CF$3&lt;(CapEx!$F$14*12)+$AC$12,CapEx!$F$14&gt;1),SLN(CapEx!$C$14,CapEx!$G$14,CapEx!$F$14)/12,0)</f>
        <v>0</v>
      </c>
      <c r="CG12" s="295">
        <f>IF(AND(CG$3&gt;=$AC12,CG$3&lt;(CapEx!$F$14*12)+$AC$12,CapEx!$F$14&gt;1),SLN(CapEx!$C$14,CapEx!$G$14,CapEx!$F$14)/12,0)</f>
        <v>0</v>
      </c>
      <c r="CH12" s="295">
        <f>IF(AND(CH$3&gt;=$AC12,CH$3&lt;(CapEx!$F$14*12)+$AC$12,CapEx!$F$14&gt;1),SLN(CapEx!$C$14,CapEx!$G$14,CapEx!$F$14)/12,0)</f>
        <v>0</v>
      </c>
      <c r="CI12" s="295">
        <f>IF(AND(CI$3&gt;=$AC12,CI$3&lt;(CapEx!$F$14*12)+$AC$12,CapEx!$F$14&gt;1),SLN(CapEx!$C$14,CapEx!$G$14,CapEx!$F$14)/12,0)</f>
        <v>0</v>
      </c>
      <c r="CJ12" s="295">
        <f>IF(AND(CJ$3&gt;=$AC12,CJ$3&lt;(CapEx!$F$14*12)+$AC$12,CapEx!$F$14&gt;1),SLN(CapEx!$C$14,CapEx!$G$14,CapEx!$F$14)/12,0)</f>
        <v>0</v>
      </c>
      <c r="CK12" s="295">
        <f>IF(AND(CK$3&gt;=$AC12,CK$3&lt;(CapEx!$F$14*12)+$AC$12,CapEx!$F$14&gt;1),SLN(CapEx!$C$14,CapEx!$G$14,CapEx!$F$14)/12,0)</f>
        <v>0</v>
      </c>
    </row>
    <row r="13" spans="1:101">
      <c r="K13" s="822"/>
      <c r="Y13" s="79">
        <f>CapEx!F15</f>
        <v>1</v>
      </c>
      <c r="Z13" s="145" t="s">
        <v>213</v>
      </c>
      <c r="AA13" s="297">
        <v>10</v>
      </c>
      <c r="AB13">
        <f>CapEx!C15</f>
        <v>0</v>
      </c>
      <c r="AC13" s="79">
        <f>IF(AB13=0,1,DATEDIF($K$12,DATEVALUE("01-"&amp;CapEx!$D15&amp;"-"&amp;CapEx!$E15),"m")+1)</f>
        <v>1</v>
      </c>
      <c r="AD13" s="295">
        <f>IF(AND(AD$3&gt;=$AC13,AD$3&lt;(CapEx!$F$15*12)+$AC$13,CapEx!$F$15&gt;1),SLN(CapEx!$C$15,CapEx!$G$15,CapEx!$F$15)/12,0)</f>
        <v>0</v>
      </c>
      <c r="AE13" s="295">
        <f>IF(AND(AE$3&gt;=$AC13,AE$3&lt;(CapEx!$F$15*12)+$AC$13,CapEx!$F$15&gt;1),SLN(CapEx!$C$15,CapEx!$G$15,CapEx!$F$15)/12,0)</f>
        <v>0</v>
      </c>
      <c r="AF13" s="295">
        <f>IF(AND(AF$3&gt;=$AC13,AF$3&lt;(CapEx!$F$15*12)+$AC$13,CapEx!$F$15&gt;1),SLN(CapEx!$C$15,CapEx!$G$15,CapEx!$F$15)/12,0)</f>
        <v>0</v>
      </c>
      <c r="AG13" s="295">
        <f>IF(AND(AG$3&gt;=$AC13,AG$3&lt;(CapEx!$F$15*12)+$AC$13,CapEx!$F$15&gt;1),SLN(CapEx!$C$15,CapEx!$G$15,CapEx!$F$15)/12,0)</f>
        <v>0</v>
      </c>
      <c r="AH13" s="295">
        <f>IF(AND(AH$3&gt;=$AC13,AH$3&lt;(CapEx!$F$15*12)+$AC$13,CapEx!$F$15&gt;1),SLN(CapEx!$C$15,CapEx!$G$15,CapEx!$F$15)/12,0)</f>
        <v>0</v>
      </c>
      <c r="AI13" s="295">
        <f>IF(AND(AI$3&gt;=$AC13,AI$3&lt;(CapEx!$F$15*12)+$AC$13,CapEx!$F$15&gt;1),SLN(CapEx!$C$15,CapEx!$G$15,CapEx!$F$15)/12,0)</f>
        <v>0</v>
      </c>
      <c r="AJ13" s="295">
        <f>IF(AND(AJ$3&gt;=$AC13,AJ$3&lt;(CapEx!$F$15*12)+$AC$13,CapEx!$F$15&gt;1),SLN(CapEx!$C$15,CapEx!$G$15,CapEx!$F$15)/12,0)</f>
        <v>0</v>
      </c>
      <c r="AK13" s="295">
        <f>IF(AND(AK$3&gt;=$AC13,AK$3&lt;(CapEx!$F$15*12)+$AC$13,CapEx!$F$15&gt;1),SLN(CapEx!$C$15,CapEx!$G$15,CapEx!$F$15)/12,0)</f>
        <v>0</v>
      </c>
      <c r="AL13" s="295">
        <f>IF(AND(AL$3&gt;=$AC13,AL$3&lt;(CapEx!$F$15*12)+$AC$13,CapEx!$F$15&gt;1),SLN(CapEx!$C$15,CapEx!$G$15,CapEx!$F$15)/12,0)</f>
        <v>0</v>
      </c>
      <c r="AM13" s="295">
        <f>IF(AND(AM$3&gt;=$AC13,AM$3&lt;(CapEx!$F$15*12)+$AC$13,CapEx!$F$15&gt;1),SLN(CapEx!$C$15,CapEx!$G$15,CapEx!$F$15)/12,0)</f>
        <v>0</v>
      </c>
      <c r="AN13" s="295">
        <f>IF(AND(AN$3&gt;=$AC13,AN$3&lt;(CapEx!$F$15*12)+$AC$13,CapEx!$F$15&gt;1),SLN(CapEx!$C$15,CapEx!$G$15,CapEx!$F$15)/12,0)</f>
        <v>0</v>
      </c>
      <c r="AO13" s="295">
        <f>IF(AND(AO$3&gt;=$AC13,AO$3&lt;(CapEx!$F$15*12)+$AC$13,CapEx!$F$15&gt;1),SLN(CapEx!$C$15,CapEx!$G$15,CapEx!$F$15)/12,0)</f>
        <v>0</v>
      </c>
      <c r="AP13" s="295">
        <f>IF(AND(AP$3&gt;=$AC13,AP$3&lt;(CapEx!$F$15*12)+$AC$13,CapEx!$F$15&gt;1),SLN(CapEx!$C$15,CapEx!$G$15,CapEx!$F$15)/12,0)</f>
        <v>0</v>
      </c>
      <c r="AQ13" s="295">
        <f>IF(AND(AQ$3&gt;=$AC13,AQ$3&lt;(CapEx!$F$15*12)+$AC$13,CapEx!$F$15&gt;1),SLN(CapEx!$C$15,CapEx!$G$15,CapEx!$F$15)/12,0)</f>
        <v>0</v>
      </c>
      <c r="AR13" s="295">
        <f>IF(AND(AR$3&gt;=$AC13,AR$3&lt;(CapEx!$F$15*12)+$AC$13,CapEx!$F$15&gt;1),SLN(CapEx!$C$15,CapEx!$G$15,CapEx!$F$15)/12,0)</f>
        <v>0</v>
      </c>
      <c r="AS13" s="295">
        <f>IF(AND(AS$3&gt;=$AC13,AS$3&lt;(CapEx!$F$15*12)+$AC$13,CapEx!$F$15&gt;1),SLN(CapEx!$C$15,CapEx!$G$15,CapEx!$F$15)/12,0)</f>
        <v>0</v>
      </c>
      <c r="AT13" s="295">
        <f>IF(AND(AT$3&gt;=$AC13,AT$3&lt;(CapEx!$F$15*12)+$AC$13,CapEx!$F$15&gt;1),SLN(CapEx!$C$15,CapEx!$G$15,CapEx!$F$15)/12,0)</f>
        <v>0</v>
      </c>
      <c r="AU13" s="295">
        <f>IF(AND(AU$3&gt;=$AC13,AU$3&lt;(CapEx!$F$15*12)+$AC$13,CapEx!$F$15&gt;1),SLN(CapEx!$C$15,CapEx!$G$15,CapEx!$F$15)/12,0)</f>
        <v>0</v>
      </c>
      <c r="AV13" s="295">
        <f>IF(AND(AV$3&gt;=$AC13,AV$3&lt;(CapEx!$F$15*12)+$AC$13,CapEx!$F$15&gt;1),SLN(CapEx!$C$15,CapEx!$G$15,CapEx!$F$15)/12,0)</f>
        <v>0</v>
      </c>
      <c r="AW13" s="295">
        <f>IF(AND(AW$3&gt;=$AC13,AW$3&lt;(CapEx!$F$15*12)+$AC$13,CapEx!$F$15&gt;1),SLN(CapEx!$C$15,CapEx!$G$15,CapEx!$F$15)/12,0)</f>
        <v>0</v>
      </c>
      <c r="AX13" s="295">
        <f>IF(AND(AX$3&gt;=$AC13,AX$3&lt;(CapEx!$F$15*12)+$AC$13,CapEx!$F$15&gt;1),SLN(CapEx!$C$15,CapEx!$G$15,CapEx!$F$15)/12,0)</f>
        <v>0</v>
      </c>
      <c r="AY13" s="295">
        <f>IF(AND(AY$3&gt;=$AC13,AY$3&lt;(CapEx!$F$15*12)+$AC$13,CapEx!$F$15&gt;1),SLN(CapEx!$C$15,CapEx!$G$15,CapEx!$F$15)/12,0)</f>
        <v>0</v>
      </c>
      <c r="AZ13" s="295">
        <f>IF(AND(AZ$3&gt;=$AC13,AZ$3&lt;(CapEx!$F$15*12)+$AC$13,CapEx!$F$15&gt;1),SLN(CapEx!$C$15,CapEx!$G$15,CapEx!$F$15)/12,0)</f>
        <v>0</v>
      </c>
      <c r="BA13" s="295">
        <f>IF(AND(BA$3&gt;=$AC13,BA$3&lt;(CapEx!$F$15*12)+$AC$13,CapEx!$F$15&gt;1),SLN(CapEx!$C$15,CapEx!$G$15,CapEx!$F$15)/12,0)</f>
        <v>0</v>
      </c>
      <c r="BB13" s="295">
        <f>IF(AND(BB$3&gt;=$AC13,BB$3&lt;(CapEx!$F$15*12)+$AC$13,CapEx!$F$15&gt;1),SLN(CapEx!$C$15,CapEx!$G$15,CapEx!$F$15)/12,0)</f>
        <v>0</v>
      </c>
      <c r="BC13" s="295">
        <f>IF(AND(BC$3&gt;=$AC13,BC$3&lt;(CapEx!$F$15*12)+$AC$13,CapEx!$F$15&gt;1),SLN(CapEx!$C$15,CapEx!$G$15,CapEx!$F$15)/12,0)</f>
        <v>0</v>
      </c>
      <c r="BD13" s="295">
        <f>IF(AND(BD$3&gt;=$AC13,BD$3&lt;(CapEx!$F$15*12)+$AC$13,CapEx!$F$15&gt;1),SLN(CapEx!$C$15,CapEx!$G$15,CapEx!$F$15)/12,0)</f>
        <v>0</v>
      </c>
      <c r="BE13" s="295">
        <f>IF(AND(BE$3&gt;=$AC13,BE$3&lt;(CapEx!$F$15*12)+$AC$13,CapEx!$F$15&gt;1),SLN(CapEx!$C$15,CapEx!$G$15,CapEx!$F$15)/12,0)</f>
        <v>0</v>
      </c>
      <c r="BF13" s="295">
        <f>IF(AND(BF$3&gt;=$AC13,BF$3&lt;(CapEx!$F$15*12)+$AC$13,CapEx!$F$15&gt;1),SLN(CapEx!$C$15,CapEx!$G$15,CapEx!$F$15)/12,0)</f>
        <v>0</v>
      </c>
      <c r="BG13" s="295">
        <f>IF(AND(BG$3&gt;=$AC13,BG$3&lt;(CapEx!$F$15*12)+$AC$13,CapEx!$F$15&gt;1),SLN(CapEx!$C$15,CapEx!$G$15,CapEx!$F$15)/12,0)</f>
        <v>0</v>
      </c>
      <c r="BH13" s="295">
        <f>IF(AND(BH$3&gt;=$AC13,BH$3&lt;(CapEx!$F$15*12)+$AC$13,CapEx!$F$15&gt;1),SLN(CapEx!$C$15,CapEx!$G$15,CapEx!$F$15)/12,0)</f>
        <v>0</v>
      </c>
      <c r="BI13" s="295">
        <f>IF(AND(BI$3&gt;=$AC13,BI$3&lt;(CapEx!$F$15*12)+$AC$13,CapEx!$F$15&gt;1),SLN(CapEx!$C$15,CapEx!$G$15,CapEx!$F$15)/12,0)</f>
        <v>0</v>
      </c>
      <c r="BJ13" s="295">
        <f>IF(AND(BJ$3&gt;=$AC13,BJ$3&lt;(CapEx!$F$15*12)+$AC$13,CapEx!$F$15&gt;1),SLN(CapEx!$C$15,CapEx!$G$15,CapEx!$F$15)/12,0)</f>
        <v>0</v>
      </c>
      <c r="BK13" s="295">
        <f>IF(AND(BK$3&gt;=$AC13,BK$3&lt;(CapEx!$F$15*12)+$AC$13,CapEx!$F$15&gt;1),SLN(CapEx!$C$15,CapEx!$G$15,CapEx!$F$15)/12,0)</f>
        <v>0</v>
      </c>
      <c r="BL13" s="295">
        <f>IF(AND(BL$3&gt;=$AC13,BL$3&lt;(CapEx!$F$15*12)+$AC$13,CapEx!$F$15&gt;1),SLN(CapEx!$C$15,CapEx!$G$15,CapEx!$F$15)/12,0)</f>
        <v>0</v>
      </c>
      <c r="BM13" s="295">
        <f>IF(AND(BM$3&gt;=$AC13,BM$3&lt;(CapEx!$F$15*12)+$AC$13,CapEx!$F$15&gt;1),SLN(CapEx!$C$15,CapEx!$G$15,CapEx!$F$15)/12,0)</f>
        <v>0</v>
      </c>
      <c r="BN13" s="295">
        <f>IF(AND(BN$3&gt;=$AC13,BN$3&lt;(CapEx!$F$15*12)+$AC$13,CapEx!$F$15&gt;1),SLN(CapEx!$C$15,CapEx!$G$15,CapEx!$F$15)/12,0)</f>
        <v>0</v>
      </c>
      <c r="BO13" s="295">
        <f>IF(AND(BO$3&gt;=$AC13,BO$3&lt;(CapEx!$F$15*12)+$AC$13,CapEx!$F$15&gt;1),SLN(CapEx!$C$15,CapEx!$G$15,CapEx!$F$15)/12,0)</f>
        <v>0</v>
      </c>
      <c r="BP13" s="295">
        <f>IF(AND(BP$3&gt;=$AC13,BP$3&lt;(CapEx!$F$15*12)+$AC$13,CapEx!$F$15&gt;1),SLN(CapEx!$C$15,CapEx!$G$15,CapEx!$F$15)/12,0)</f>
        <v>0</v>
      </c>
      <c r="BQ13" s="295">
        <f>IF(AND(BQ$3&gt;=$AC13,BQ$3&lt;(CapEx!$F$15*12)+$AC$13,CapEx!$F$15&gt;1),SLN(CapEx!$C$15,CapEx!$G$15,CapEx!$F$15)/12,0)</f>
        <v>0</v>
      </c>
      <c r="BR13" s="295">
        <f>IF(AND(BR$3&gt;=$AC13,BR$3&lt;(CapEx!$F$15*12)+$AC$13,CapEx!$F$15&gt;1),SLN(CapEx!$C$15,CapEx!$G$15,CapEx!$F$15)/12,0)</f>
        <v>0</v>
      </c>
      <c r="BS13" s="295">
        <f>IF(AND(BS$3&gt;=$AC13,BS$3&lt;(CapEx!$F$15*12)+$AC$13,CapEx!$F$15&gt;1),SLN(CapEx!$C$15,CapEx!$G$15,CapEx!$F$15)/12,0)</f>
        <v>0</v>
      </c>
      <c r="BT13" s="295">
        <f>IF(AND(BT$3&gt;=$AC13,BT$3&lt;(CapEx!$F$15*12)+$AC$13,CapEx!$F$15&gt;1),SLN(CapEx!$C$15,CapEx!$G$15,CapEx!$F$15)/12,0)</f>
        <v>0</v>
      </c>
      <c r="BU13" s="295">
        <f>IF(AND(BU$3&gt;=$AC13,BU$3&lt;(CapEx!$F$15*12)+$AC$13,CapEx!$F$15&gt;1),SLN(CapEx!$C$15,CapEx!$G$15,CapEx!$F$15)/12,0)</f>
        <v>0</v>
      </c>
      <c r="BV13" s="295">
        <f>IF(AND(BV$3&gt;=$AC13,BV$3&lt;(CapEx!$F$15*12)+$AC$13,CapEx!$F$15&gt;1),SLN(CapEx!$C$15,CapEx!$G$15,CapEx!$F$15)/12,0)</f>
        <v>0</v>
      </c>
      <c r="BW13" s="295">
        <f>IF(AND(BW$3&gt;=$AC13,BW$3&lt;(CapEx!$F$15*12)+$AC$13,CapEx!$F$15&gt;1),SLN(CapEx!$C$15,CapEx!$G$15,CapEx!$F$15)/12,0)</f>
        <v>0</v>
      </c>
      <c r="BX13" s="295">
        <f>IF(AND(BX$3&gt;=$AC13,BX$3&lt;(CapEx!$F$15*12)+$AC$13,CapEx!$F$15&gt;1),SLN(CapEx!$C$15,CapEx!$G$15,CapEx!$F$15)/12,0)</f>
        <v>0</v>
      </c>
      <c r="BY13" s="295">
        <f>IF(AND(BY$3&gt;=$AC13,BY$3&lt;(CapEx!$F$15*12)+$AC$13,CapEx!$F$15&gt;1),SLN(CapEx!$C$15,CapEx!$G$15,CapEx!$F$15)/12,0)</f>
        <v>0</v>
      </c>
      <c r="BZ13" s="295">
        <f>IF(AND(BZ$3&gt;=$AC13,BZ$3&lt;(CapEx!$F$15*12)+$AC$13,CapEx!$F$15&gt;1),SLN(CapEx!$C$15,CapEx!$G$15,CapEx!$F$15)/12,0)</f>
        <v>0</v>
      </c>
      <c r="CA13" s="295">
        <f>IF(AND(CA$3&gt;=$AC13,CA$3&lt;(CapEx!$F$15*12)+$AC$13,CapEx!$F$15&gt;1),SLN(CapEx!$C$15,CapEx!$G$15,CapEx!$F$15)/12,0)</f>
        <v>0</v>
      </c>
      <c r="CB13" s="295">
        <f>IF(AND(CB$3&gt;=$AC13,CB$3&lt;(CapEx!$F$15*12)+$AC$13,CapEx!$F$15&gt;1),SLN(CapEx!$C$15,CapEx!$G$15,CapEx!$F$15)/12,0)</f>
        <v>0</v>
      </c>
      <c r="CC13" s="295">
        <f>IF(AND(CC$3&gt;=$AC13,CC$3&lt;(CapEx!$F$15*12)+$AC$13,CapEx!$F$15&gt;1),SLN(CapEx!$C$15,CapEx!$G$15,CapEx!$F$15)/12,0)</f>
        <v>0</v>
      </c>
      <c r="CD13" s="295">
        <f>IF(AND(CD$3&gt;=$AC13,CD$3&lt;(CapEx!$F$15*12)+$AC$13,CapEx!$F$15&gt;1),SLN(CapEx!$C$15,CapEx!$G$15,CapEx!$F$15)/12,0)</f>
        <v>0</v>
      </c>
      <c r="CE13" s="295">
        <f>IF(AND(CE$3&gt;=$AC13,CE$3&lt;(CapEx!$F$15*12)+$AC$13,CapEx!$F$15&gt;1),SLN(CapEx!$C$15,CapEx!$G$15,CapEx!$F$15)/12,0)</f>
        <v>0</v>
      </c>
      <c r="CF13" s="295">
        <f>IF(AND(CF$3&gt;=$AC13,CF$3&lt;(CapEx!$F$15*12)+$AC$13,CapEx!$F$15&gt;1),SLN(CapEx!$C$15,CapEx!$G$15,CapEx!$F$15)/12,0)</f>
        <v>0</v>
      </c>
      <c r="CG13" s="295">
        <f>IF(AND(CG$3&gt;=$AC13,CG$3&lt;(CapEx!$F$15*12)+$AC$13,CapEx!$F$15&gt;1),SLN(CapEx!$C$15,CapEx!$G$15,CapEx!$F$15)/12,0)</f>
        <v>0</v>
      </c>
      <c r="CH13" s="295">
        <f>IF(AND(CH$3&gt;=$AC13,CH$3&lt;(CapEx!$F$15*12)+$AC$13,CapEx!$F$15&gt;1),SLN(CapEx!$C$15,CapEx!$G$15,CapEx!$F$15)/12,0)</f>
        <v>0</v>
      </c>
      <c r="CI13" s="295">
        <f>IF(AND(CI$3&gt;=$AC13,CI$3&lt;(CapEx!$F$15*12)+$AC$13,CapEx!$F$15&gt;1),SLN(CapEx!$C$15,CapEx!$G$15,CapEx!$F$15)/12,0)</f>
        <v>0</v>
      </c>
      <c r="CJ13" s="295">
        <f>IF(AND(CJ$3&gt;=$AC13,CJ$3&lt;(CapEx!$F$15*12)+$AC$13,CapEx!$F$15&gt;1),SLN(CapEx!$C$15,CapEx!$G$15,CapEx!$F$15)/12,0)</f>
        <v>0</v>
      </c>
      <c r="CK13" s="295">
        <f>IF(AND(CK$3&gt;=$AC13,CK$3&lt;(CapEx!$F$15*12)+$AC$13,CapEx!$F$15&gt;1),SLN(CapEx!$C$15,CapEx!$G$15,CapEx!$F$15)/12,0)</f>
        <v>0</v>
      </c>
    </row>
    <row r="14" spans="1:101">
      <c r="D14" s="71" t="s">
        <v>201</v>
      </c>
      <c r="E14" s="71"/>
      <c r="I14" s="71"/>
      <c r="J14" s="71"/>
      <c r="K14" s="826"/>
      <c r="Y14" s="79">
        <f>CapEx!F18</f>
        <v>1</v>
      </c>
      <c r="Z14" s="145" t="s">
        <v>245</v>
      </c>
      <c r="AA14" s="297">
        <v>11</v>
      </c>
      <c r="AB14">
        <f>CapEx!C18</f>
        <v>0</v>
      </c>
      <c r="AC14" s="79">
        <f>IF(AB14=0,1,DATEDIF($K$12,DATEVALUE("01-"&amp;CapEx!$D18&amp;"-"&amp;CapEx!$E18),"m")+1)</f>
        <v>1</v>
      </c>
      <c r="AD14" s="295">
        <f>IF(AND(AD$3&gt;=$AC14,AD$3&lt;(CapEx!$F$18*12)+$AC$14,CapEx!$F$18&gt;1),SLN(CapEx!$C$18,CapEx!$G$18,CapEx!$F$18)/12,0)</f>
        <v>0</v>
      </c>
      <c r="AE14" s="295">
        <f>IF(AND(AE$3&gt;=$AC14,AE$3&lt;(CapEx!$F$18*12)+$AC$14,CapEx!$F$18&gt;1),SLN(CapEx!$C$18,CapEx!$G$18,CapEx!$F$18)/12,0)</f>
        <v>0</v>
      </c>
      <c r="AF14" s="295">
        <f>IF(AND(AF$3&gt;=$AC14,AF$3&lt;(CapEx!$F$18*12)+$AC$14,CapEx!$F$18&gt;1),SLN(CapEx!$C$18,CapEx!$G$18,CapEx!$F$18)/12,0)</f>
        <v>0</v>
      </c>
      <c r="AG14" s="295">
        <f>IF(AND(AG$3&gt;=$AC14,AG$3&lt;(CapEx!$F$18*12)+$AC$14,CapEx!$F$18&gt;1),SLN(CapEx!$C$18,CapEx!$G$18,CapEx!$F$18)/12,0)</f>
        <v>0</v>
      </c>
      <c r="AH14" s="295">
        <f>IF(AND(AH$3&gt;=$AC14,AH$3&lt;(CapEx!$F$18*12)+$AC$14,CapEx!$F$18&gt;1),SLN(CapEx!$C$18,CapEx!$G$18,CapEx!$F$18)/12,0)</f>
        <v>0</v>
      </c>
      <c r="AI14" s="295">
        <f>IF(AND(AI$3&gt;=$AC14,AI$3&lt;(CapEx!$F$18*12)+$AC$14,CapEx!$F$18&gt;1),SLN(CapEx!$C$18,CapEx!$G$18,CapEx!$F$18)/12,0)</f>
        <v>0</v>
      </c>
      <c r="AJ14" s="295">
        <f>IF(AND(AJ$3&gt;=$AC14,AJ$3&lt;(CapEx!$F$18*12)+$AC$14,CapEx!$F$18&gt;1),SLN(CapEx!$C$18,CapEx!$G$18,CapEx!$F$18)/12,0)</f>
        <v>0</v>
      </c>
      <c r="AK14" s="295">
        <f>IF(AND(AK$3&gt;=$AC14,AK$3&lt;(CapEx!$F$18*12)+$AC$14,CapEx!$F$18&gt;1),SLN(CapEx!$C$18,CapEx!$G$18,CapEx!$F$18)/12,0)</f>
        <v>0</v>
      </c>
      <c r="AL14" s="295">
        <f>IF(AND(AL$3&gt;=$AC14,AL$3&lt;(CapEx!$F$18*12)+$AC$14,CapEx!$F$18&gt;1),SLN(CapEx!$C$18,CapEx!$G$18,CapEx!$F$18)/12,0)</f>
        <v>0</v>
      </c>
      <c r="AM14" s="295">
        <f>IF(AND(AM$3&gt;=$AC14,AM$3&lt;(CapEx!$F$18*12)+$AC$14,CapEx!$F$18&gt;1),SLN(CapEx!$C$18,CapEx!$G$18,CapEx!$F$18)/12,0)</f>
        <v>0</v>
      </c>
      <c r="AN14" s="295">
        <f>IF(AND(AN$3&gt;=$AC14,AN$3&lt;(CapEx!$F$18*12)+$AC$14,CapEx!$F$18&gt;1),SLN(CapEx!$C$18,CapEx!$G$18,CapEx!$F$18)/12,0)</f>
        <v>0</v>
      </c>
      <c r="AO14" s="295">
        <f>IF(AND(AO$3&gt;=$AC14,AO$3&lt;(CapEx!$F$18*12)+$AC$14,CapEx!$F$18&gt;1),SLN(CapEx!$C$18,CapEx!$G$18,CapEx!$F$18)/12,0)</f>
        <v>0</v>
      </c>
      <c r="AP14" s="295">
        <f>IF(AND(AP$3&gt;=$AC14,AP$3&lt;(CapEx!$F$18*12)+$AC$14,CapEx!$F$18&gt;1),SLN(CapEx!$C$18,CapEx!$G$18,CapEx!$F$18)/12,0)</f>
        <v>0</v>
      </c>
      <c r="AQ14" s="295">
        <f>IF(AND(AQ$3&gt;=$AC14,AQ$3&lt;(CapEx!$F$18*12)+$AC$14,CapEx!$F$18&gt;1),SLN(CapEx!$C$18,CapEx!$G$18,CapEx!$F$18)/12,0)</f>
        <v>0</v>
      </c>
      <c r="AR14" s="295">
        <f>IF(AND(AR$3&gt;=$AC14,AR$3&lt;(CapEx!$F$18*12)+$AC$14,CapEx!$F$18&gt;1),SLN(CapEx!$C$18,CapEx!$G$18,CapEx!$F$18)/12,0)</f>
        <v>0</v>
      </c>
      <c r="AS14" s="295">
        <f>IF(AND(AS$3&gt;=$AC14,AS$3&lt;(CapEx!$F$18*12)+$AC$14,CapEx!$F$18&gt;1),SLN(CapEx!$C$18,CapEx!$G$18,CapEx!$F$18)/12,0)</f>
        <v>0</v>
      </c>
      <c r="AT14" s="295">
        <f>IF(AND(AT$3&gt;=$AC14,AT$3&lt;(CapEx!$F$18*12)+$AC$14,CapEx!$F$18&gt;1),SLN(CapEx!$C$18,CapEx!$G$18,CapEx!$F$18)/12,0)</f>
        <v>0</v>
      </c>
      <c r="AU14" s="295">
        <f>IF(AND(AU$3&gt;=$AC14,AU$3&lt;(CapEx!$F$18*12)+$AC$14,CapEx!$F$18&gt;1),SLN(CapEx!$C$18,CapEx!$G$18,CapEx!$F$18)/12,0)</f>
        <v>0</v>
      </c>
      <c r="AV14" s="295">
        <f>IF(AND(AV$3&gt;=$AC14,AV$3&lt;(CapEx!$F$18*12)+$AC$14,CapEx!$F$18&gt;1),SLN(CapEx!$C$18,CapEx!$G$18,CapEx!$F$18)/12,0)</f>
        <v>0</v>
      </c>
      <c r="AW14" s="295">
        <f>IF(AND(AW$3&gt;=$AC14,AW$3&lt;(CapEx!$F$18*12)+$AC$14,CapEx!$F$18&gt;1),SLN(CapEx!$C$18,CapEx!$G$18,CapEx!$F$18)/12,0)</f>
        <v>0</v>
      </c>
      <c r="AX14" s="295">
        <f>IF(AND(AX$3&gt;=$AC14,AX$3&lt;(CapEx!$F$18*12)+$AC$14,CapEx!$F$18&gt;1),SLN(CapEx!$C$18,CapEx!$G$18,CapEx!$F$18)/12,0)</f>
        <v>0</v>
      </c>
      <c r="AY14" s="295">
        <f>IF(AND(AY$3&gt;=$AC14,AY$3&lt;(CapEx!$F$18*12)+$AC$14,CapEx!$F$18&gt;1),SLN(CapEx!$C$18,CapEx!$G$18,CapEx!$F$18)/12,0)</f>
        <v>0</v>
      </c>
      <c r="AZ14" s="295">
        <f>IF(AND(AZ$3&gt;=$AC14,AZ$3&lt;(CapEx!$F$18*12)+$AC$14,CapEx!$F$18&gt;1),SLN(CapEx!$C$18,CapEx!$G$18,CapEx!$F$18)/12,0)</f>
        <v>0</v>
      </c>
      <c r="BA14" s="295">
        <f>IF(AND(BA$3&gt;=$AC14,BA$3&lt;(CapEx!$F$18*12)+$AC$14,CapEx!$F$18&gt;1),SLN(CapEx!$C$18,CapEx!$G$18,CapEx!$F$18)/12,0)</f>
        <v>0</v>
      </c>
      <c r="BB14" s="295">
        <f>IF(AND(BB$3&gt;=$AC14,BB$3&lt;(CapEx!$F$18*12)+$AC$14,CapEx!$F$18&gt;1),SLN(CapEx!$C$18,CapEx!$G$18,CapEx!$F$18)/12,0)</f>
        <v>0</v>
      </c>
      <c r="BC14" s="295">
        <f>IF(AND(BC$3&gt;=$AC14,BC$3&lt;(CapEx!$F$18*12)+$AC$14,CapEx!$F$18&gt;1),SLN(CapEx!$C$18,CapEx!$G$18,CapEx!$F$18)/12,0)</f>
        <v>0</v>
      </c>
      <c r="BD14" s="295">
        <f>IF(AND(BD$3&gt;=$AC14,BD$3&lt;(CapEx!$F$18*12)+$AC$14,CapEx!$F$18&gt;1),SLN(CapEx!$C$18,CapEx!$G$18,CapEx!$F$18)/12,0)</f>
        <v>0</v>
      </c>
      <c r="BE14" s="295">
        <f>IF(AND(BE$3&gt;=$AC14,BE$3&lt;(CapEx!$F$18*12)+$AC$14,CapEx!$F$18&gt;1),SLN(CapEx!$C$18,CapEx!$G$18,CapEx!$F$18)/12,0)</f>
        <v>0</v>
      </c>
      <c r="BF14" s="295">
        <f>IF(AND(BF$3&gt;=$AC14,BF$3&lt;(CapEx!$F$18*12)+$AC$14,CapEx!$F$18&gt;1),SLN(CapEx!$C$18,CapEx!$G$18,CapEx!$F$18)/12,0)</f>
        <v>0</v>
      </c>
      <c r="BG14" s="295">
        <f>IF(AND(BG$3&gt;=$AC14,BG$3&lt;(CapEx!$F$18*12)+$AC$14,CapEx!$F$18&gt;1),SLN(CapEx!$C$18,CapEx!$G$18,CapEx!$F$18)/12,0)</f>
        <v>0</v>
      </c>
      <c r="BH14" s="295">
        <f>IF(AND(BH$3&gt;=$AC14,BH$3&lt;(CapEx!$F$18*12)+$AC$14,CapEx!$F$18&gt;1),SLN(CapEx!$C$18,CapEx!$G$18,CapEx!$F$18)/12,0)</f>
        <v>0</v>
      </c>
      <c r="BI14" s="295">
        <f>IF(AND(BI$3&gt;=$AC14,BI$3&lt;(CapEx!$F$18*12)+$AC$14,CapEx!$F$18&gt;1),SLN(CapEx!$C$18,CapEx!$G$18,CapEx!$F$18)/12,0)</f>
        <v>0</v>
      </c>
      <c r="BJ14" s="295">
        <f>IF(AND(BJ$3&gt;=$AC14,BJ$3&lt;(CapEx!$F$18*12)+$AC$14,CapEx!$F$18&gt;1),SLN(CapEx!$C$18,CapEx!$G$18,CapEx!$F$18)/12,0)</f>
        <v>0</v>
      </c>
      <c r="BK14" s="295">
        <f>IF(AND(BK$3&gt;=$AC14,BK$3&lt;(CapEx!$F$18*12)+$AC$14,CapEx!$F$18&gt;1),SLN(CapEx!$C$18,CapEx!$G$18,CapEx!$F$18)/12,0)</f>
        <v>0</v>
      </c>
      <c r="BL14" s="295">
        <f>IF(AND(BL$3&gt;=$AC14,BL$3&lt;(CapEx!$F$18*12)+$AC$14,CapEx!$F$18&gt;1),SLN(CapEx!$C$18,CapEx!$G$18,CapEx!$F$18)/12,0)</f>
        <v>0</v>
      </c>
      <c r="BM14" s="295">
        <f>IF(AND(BM$3&gt;=$AC14,BM$3&lt;(CapEx!$F$18*12)+$AC$14,CapEx!$F$18&gt;1),SLN(CapEx!$C$18,CapEx!$G$18,CapEx!$F$18)/12,0)</f>
        <v>0</v>
      </c>
      <c r="BN14" s="295">
        <f>IF(AND(BN$3&gt;=$AC14,BN$3&lt;(CapEx!$F$18*12)+$AC$14,CapEx!$F$18&gt;1),SLN(CapEx!$C$18,CapEx!$G$18,CapEx!$F$18)/12,0)</f>
        <v>0</v>
      </c>
      <c r="BO14" s="295">
        <f>IF(AND(BO$3&gt;=$AC14,BO$3&lt;(CapEx!$F$18*12)+$AC$14,CapEx!$F$18&gt;1),SLN(CapEx!$C$18,CapEx!$G$18,CapEx!$F$18)/12,0)</f>
        <v>0</v>
      </c>
      <c r="BP14" s="295">
        <f>IF(AND(BP$3&gt;=$AC14,BP$3&lt;(CapEx!$F$18*12)+$AC$14,CapEx!$F$18&gt;1),SLN(CapEx!$C$18,CapEx!$G$18,CapEx!$F$18)/12,0)</f>
        <v>0</v>
      </c>
      <c r="BQ14" s="295">
        <f>IF(AND(BQ$3&gt;=$AC14,BQ$3&lt;(CapEx!$F$18*12)+$AC$14,CapEx!$F$18&gt;1),SLN(CapEx!$C$18,CapEx!$G$18,CapEx!$F$18)/12,0)</f>
        <v>0</v>
      </c>
      <c r="BR14" s="295">
        <f>IF(AND(BR$3&gt;=$AC14,BR$3&lt;(CapEx!$F$18*12)+$AC$14,CapEx!$F$18&gt;1),SLN(CapEx!$C$18,CapEx!$G$18,CapEx!$F$18)/12,0)</f>
        <v>0</v>
      </c>
      <c r="BS14" s="295">
        <f>IF(AND(BS$3&gt;=$AC14,BS$3&lt;(CapEx!$F$18*12)+$AC$14,CapEx!$F$18&gt;1),SLN(CapEx!$C$18,CapEx!$G$18,CapEx!$F$18)/12,0)</f>
        <v>0</v>
      </c>
      <c r="BT14" s="295">
        <f>IF(AND(BT$3&gt;=$AC14,BT$3&lt;(CapEx!$F$18*12)+$AC$14,CapEx!$F$18&gt;1),SLN(CapEx!$C$18,CapEx!$G$18,CapEx!$F$18)/12,0)</f>
        <v>0</v>
      </c>
      <c r="BU14" s="295">
        <f>IF(AND(BU$3&gt;=$AC14,BU$3&lt;(CapEx!$F$18*12)+$AC$14,CapEx!$F$18&gt;1),SLN(CapEx!$C$18,CapEx!$G$18,CapEx!$F$18)/12,0)</f>
        <v>0</v>
      </c>
      <c r="BV14" s="295">
        <f>IF(AND(BV$3&gt;=$AC14,BV$3&lt;(CapEx!$F$18*12)+$AC$14,CapEx!$F$18&gt;1),SLN(CapEx!$C$18,CapEx!$G$18,CapEx!$F$18)/12,0)</f>
        <v>0</v>
      </c>
      <c r="BW14" s="295">
        <f>IF(AND(BW$3&gt;=$AC14,BW$3&lt;(CapEx!$F$18*12)+$AC$14,CapEx!$F$18&gt;1),SLN(CapEx!$C$18,CapEx!$G$18,CapEx!$F$18)/12,0)</f>
        <v>0</v>
      </c>
      <c r="BX14" s="295">
        <f>IF(AND(BX$3&gt;=$AC14,BX$3&lt;(CapEx!$F$18*12)+$AC$14,CapEx!$F$18&gt;1),SLN(CapEx!$C$18,CapEx!$G$18,CapEx!$F$18)/12,0)</f>
        <v>0</v>
      </c>
      <c r="BY14" s="295">
        <f>IF(AND(BY$3&gt;=$AC14,BY$3&lt;(CapEx!$F$18*12)+$AC$14,CapEx!$F$18&gt;1),SLN(CapEx!$C$18,CapEx!$G$18,CapEx!$F$18)/12,0)</f>
        <v>0</v>
      </c>
      <c r="BZ14" s="295">
        <f>IF(AND(BZ$3&gt;=$AC14,BZ$3&lt;(CapEx!$F$18*12)+$AC$14,CapEx!$F$18&gt;1),SLN(CapEx!$C$18,CapEx!$G$18,CapEx!$F$18)/12,0)</f>
        <v>0</v>
      </c>
      <c r="CA14" s="295">
        <f>IF(AND(CA$3&gt;=$AC14,CA$3&lt;(CapEx!$F$18*12)+$AC$14,CapEx!$F$18&gt;1),SLN(CapEx!$C$18,CapEx!$G$18,CapEx!$F$18)/12,0)</f>
        <v>0</v>
      </c>
      <c r="CB14" s="295">
        <f>IF(AND(CB$3&gt;=$AC14,CB$3&lt;(CapEx!$F$18*12)+$AC$14,CapEx!$F$18&gt;1),SLN(CapEx!$C$18,CapEx!$G$18,CapEx!$F$18)/12,0)</f>
        <v>0</v>
      </c>
      <c r="CC14" s="295">
        <f>IF(AND(CC$3&gt;=$AC14,CC$3&lt;(CapEx!$F$18*12)+$AC$14,CapEx!$F$18&gt;1),SLN(CapEx!$C$18,CapEx!$G$18,CapEx!$F$18)/12,0)</f>
        <v>0</v>
      </c>
      <c r="CD14" s="295">
        <f>IF(AND(CD$3&gt;=$AC14,CD$3&lt;(CapEx!$F$18*12)+$AC$14,CapEx!$F$18&gt;1),SLN(CapEx!$C$18,CapEx!$G$18,CapEx!$F$18)/12,0)</f>
        <v>0</v>
      </c>
      <c r="CE14" s="295">
        <f>IF(AND(CE$3&gt;=$AC14,CE$3&lt;(CapEx!$F$18*12)+$AC$14,CapEx!$F$18&gt;1),SLN(CapEx!$C$18,CapEx!$G$18,CapEx!$F$18)/12,0)</f>
        <v>0</v>
      </c>
      <c r="CF14" s="295">
        <f>IF(AND(CF$3&gt;=$AC14,CF$3&lt;(CapEx!$F$18*12)+$AC$14,CapEx!$F$18&gt;1),SLN(CapEx!$C$18,CapEx!$G$18,CapEx!$F$18)/12,0)</f>
        <v>0</v>
      </c>
      <c r="CG14" s="295">
        <f>IF(AND(CG$3&gt;=$AC14,CG$3&lt;(CapEx!$F$18*12)+$AC$14,CapEx!$F$18&gt;1),SLN(CapEx!$C$18,CapEx!$G$18,CapEx!$F$18)/12,0)</f>
        <v>0</v>
      </c>
      <c r="CH14" s="295">
        <f>IF(AND(CH$3&gt;=$AC14,CH$3&lt;(CapEx!$F$18*12)+$AC$14,CapEx!$F$18&gt;1),SLN(CapEx!$C$18,CapEx!$G$18,CapEx!$F$18)/12,0)</f>
        <v>0</v>
      </c>
      <c r="CI14" s="295">
        <f>IF(AND(CI$3&gt;=$AC14,CI$3&lt;(CapEx!$F$18*12)+$AC$14,CapEx!$F$18&gt;1),SLN(CapEx!$C$18,CapEx!$G$18,CapEx!$F$18)/12,0)</f>
        <v>0</v>
      </c>
      <c r="CJ14" s="295">
        <f>IF(AND(CJ$3&gt;=$AC14,CJ$3&lt;(CapEx!$F$18*12)+$AC$14,CapEx!$F$18&gt;1),SLN(CapEx!$C$18,CapEx!$G$18,CapEx!$F$18)/12,0)</f>
        <v>0</v>
      </c>
      <c r="CK14" s="295">
        <f>IF(AND(CK$3&gt;=$AC14,CK$3&lt;(CapEx!$F$18*12)+$AC$14,CapEx!$F$18&gt;1),SLN(CapEx!$C$18,CapEx!$G$18,CapEx!$F$18)/12,0)</f>
        <v>0</v>
      </c>
    </row>
    <row r="15" spans="1:101">
      <c r="A15" s="71" t="s">
        <v>187</v>
      </c>
      <c r="C15" s="89"/>
      <c r="D15" s="275"/>
      <c r="E15" t="s">
        <v>202</v>
      </c>
      <c r="F15" t="s">
        <v>203</v>
      </c>
      <c r="K15" s="824"/>
      <c r="Y15" s="79">
        <f>CapEx!F19</f>
        <v>1</v>
      </c>
      <c r="Z15" s="145" t="s">
        <v>245</v>
      </c>
      <c r="AA15" s="297">
        <v>12</v>
      </c>
      <c r="AB15">
        <f>CapEx!C19</f>
        <v>0</v>
      </c>
      <c r="AC15" s="79">
        <f>IF(AB15=0,1,DATEDIF($K$12,DATEVALUE("01-"&amp;CapEx!$D19&amp;"-"&amp;CapEx!$E19),"m")+1)</f>
        <v>1</v>
      </c>
      <c r="AD15" s="295">
        <f>IF(AND(AD$3&gt;=$AC15,AD$3&lt;(CapEx!$F$19*12)+$AC$15,CapEx!$F$19&gt;1),SLN(CapEx!$C$19,CapEx!$G$19,CapEx!$F$19)/12,0)</f>
        <v>0</v>
      </c>
      <c r="AE15" s="295">
        <f>IF(AND(AE$3&gt;=$AC15,AE$3&lt;(CapEx!$F$19*12)+$AC$15,CapEx!$F$19&gt;1),SLN(CapEx!$C$19,CapEx!$G$19,CapEx!$F$19)/12,0)</f>
        <v>0</v>
      </c>
      <c r="AF15" s="295">
        <f>IF(AND(AF$3&gt;=$AC15,AF$3&lt;(CapEx!$F$19*12)+$AC$15,CapEx!$F$19&gt;1),SLN(CapEx!$C$19,CapEx!$G$19,CapEx!$F$19)/12,0)</f>
        <v>0</v>
      </c>
      <c r="AG15" s="295">
        <f>IF(AND(AG$3&gt;=$AC15,AG$3&lt;(CapEx!$F$19*12)+$AC$15,CapEx!$F$19&gt;1),SLN(CapEx!$C$19,CapEx!$G$19,CapEx!$F$19)/12,0)</f>
        <v>0</v>
      </c>
      <c r="AH15" s="295">
        <f>IF(AND(AH$3&gt;=$AC15,AH$3&lt;(CapEx!$F$19*12)+$AC$15,CapEx!$F$19&gt;1),SLN(CapEx!$C$19,CapEx!$G$19,CapEx!$F$19)/12,0)</f>
        <v>0</v>
      </c>
      <c r="AI15" s="295">
        <f>IF(AND(AI$3&gt;=$AC15,AI$3&lt;(CapEx!$F$19*12)+$AC$15,CapEx!$F$19&gt;1),SLN(CapEx!$C$19,CapEx!$G$19,CapEx!$F$19)/12,0)</f>
        <v>0</v>
      </c>
      <c r="AJ15" s="295">
        <f>IF(AND(AJ$3&gt;=$AC15,AJ$3&lt;(CapEx!$F$19*12)+$AC$15,CapEx!$F$19&gt;1),SLN(CapEx!$C$19,CapEx!$G$19,CapEx!$F$19)/12,0)</f>
        <v>0</v>
      </c>
      <c r="AK15" s="295">
        <f>IF(AND(AK$3&gt;=$AC15,AK$3&lt;(CapEx!$F$19*12)+$AC$15,CapEx!$F$19&gt;1),SLN(CapEx!$C$19,CapEx!$G$19,CapEx!$F$19)/12,0)</f>
        <v>0</v>
      </c>
      <c r="AL15" s="295">
        <f>IF(AND(AL$3&gt;=$AC15,AL$3&lt;(CapEx!$F$19*12)+$AC$15,CapEx!$F$19&gt;1),SLN(CapEx!$C$19,CapEx!$G$19,CapEx!$F$19)/12,0)</f>
        <v>0</v>
      </c>
      <c r="AM15" s="295">
        <f>IF(AND(AM$3&gt;=$AC15,AM$3&lt;(CapEx!$F$19*12)+$AC$15,CapEx!$F$19&gt;1),SLN(CapEx!$C$19,CapEx!$G$19,CapEx!$F$19)/12,0)</f>
        <v>0</v>
      </c>
      <c r="AN15" s="295">
        <f>IF(AND(AN$3&gt;=$AC15,AN$3&lt;(CapEx!$F$19*12)+$AC$15,CapEx!$F$19&gt;1),SLN(CapEx!$C$19,CapEx!$G$19,CapEx!$F$19)/12,0)</f>
        <v>0</v>
      </c>
      <c r="AO15" s="295">
        <f>IF(AND(AO$3&gt;=$AC15,AO$3&lt;(CapEx!$F$19*12)+$AC$15,CapEx!$F$19&gt;1),SLN(CapEx!$C$19,CapEx!$G$19,CapEx!$F$19)/12,0)</f>
        <v>0</v>
      </c>
      <c r="AP15" s="295">
        <f>IF(AND(AP$3&gt;=$AC15,AP$3&lt;(CapEx!$F$19*12)+$AC$15,CapEx!$F$19&gt;1),SLN(CapEx!$C$19,CapEx!$G$19,CapEx!$F$19)/12,0)</f>
        <v>0</v>
      </c>
      <c r="AQ15" s="295">
        <f>IF(AND(AQ$3&gt;=$AC15,AQ$3&lt;(CapEx!$F$19*12)+$AC$15,CapEx!$F$19&gt;1),SLN(CapEx!$C$19,CapEx!$G$19,CapEx!$F$19)/12,0)</f>
        <v>0</v>
      </c>
      <c r="AR15" s="295">
        <f>IF(AND(AR$3&gt;=$AC15,AR$3&lt;(CapEx!$F$19*12)+$AC$15,CapEx!$F$19&gt;1),SLN(CapEx!$C$19,CapEx!$G$19,CapEx!$F$19)/12,0)</f>
        <v>0</v>
      </c>
      <c r="AS15" s="295">
        <f>IF(AND(AS$3&gt;=$AC15,AS$3&lt;(CapEx!$F$19*12)+$AC$15,CapEx!$F$19&gt;1),SLN(CapEx!$C$19,CapEx!$G$19,CapEx!$F$19)/12,0)</f>
        <v>0</v>
      </c>
      <c r="AT15" s="295">
        <f>IF(AND(AT$3&gt;=$AC15,AT$3&lt;(CapEx!$F$19*12)+$AC$15,CapEx!$F$19&gt;1),SLN(CapEx!$C$19,CapEx!$G$19,CapEx!$F$19)/12,0)</f>
        <v>0</v>
      </c>
      <c r="AU15" s="295">
        <f>IF(AND(AU$3&gt;=$AC15,AU$3&lt;(CapEx!$F$19*12)+$AC$15,CapEx!$F$19&gt;1),SLN(CapEx!$C$19,CapEx!$G$19,CapEx!$F$19)/12,0)</f>
        <v>0</v>
      </c>
      <c r="AV15" s="295">
        <f>IF(AND(AV$3&gt;=$AC15,AV$3&lt;(CapEx!$F$19*12)+$AC$15,CapEx!$F$19&gt;1),SLN(CapEx!$C$19,CapEx!$G$19,CapEx!$F$19)/12,0)</f>
        <v>0</v>
      </c>
      <c r="AW15" s="295">
        <f>IF(AND(AW$3&gt;=$AC15,AW$3&lt;(CapEx!$F$19*12)+$AC$15,CapEx!$F$19&gt;1),SLN(CapEx!$C$19,CapEx!$G$19,CapEx!$F$19)/12,0)</f>
        <v>0</v>
      </c>
      <c r="AX15" s="295">
        <f>IF(AND(AX$3&gt;=$AC15,AX$3&lt;(CapEx!$F$19*12)+$AC$15,CapEx!$F$19&gt;1),SLN(CapEx!$C$19,CapEx!$G$19,CapEx!$F$19)/12,0)</f>
        <v>0</v>
      </c>
      <c r="AY15" s="295">
        <f>IF(AND(AY$3&gt;=$AC15,AY$3&lt;(CapEx!$F$19*12)+$AC$15,CapEx!$F$19&gt;1),SLN(CapEx!$C$19,CapEx!$G$19,CapEx!$F$19)/12,0)</f>
        <v>0</v>
      </c>
      <c r="AZ15" s="295">
        <f>IF(AND(AZ$3&gt;=$AC15,AZ$3&lt;(CapEx!$F$19*12)+$AC$15,CapEx!$F$19&gt;1),SLN(CapEx!$C$19,CapEx!$G$19,CapEx!$F$19)/12,0)</f>
        <v>0</v>
      </c>
      <c r="BA15" s="295">
        <f>IF(AND(BA$3&gt;=$AC15,BA$3&lt;(CapEx!$F$19*12)+$AC$15,CapEx!$F$19&gt;1),SLN(CapEx!$C$19,CapEx!$G$19,CapEx!$F$19)/12,0)</f>
        <v>0</v>
      </c>
      <c r="BB15" s="295">
        <f>IF(AND(BB$3&gt;=$AC15,BB$3&lt;(CapEx!$F$19*12)+$AC$15,CapEx!$F$19&gt;1),SLN(CapEx!$C$19,CapEx!$G$19,CapEx!$F$19)/12,0)</f>
        <v>0</v>
      </c>
      <c r="BC15" s="295">
        <f>IF(AND(BC$3&gt;=$AC15,BC$3&lt;(CapEx!$F$19*12)+$AC$15,CapEx!$F$19&gt;1),SLN(CapEx!$C$19,CapEx!$G$19,CapEx!$F$19)/12,0)</f>
        <v>0</v>
      </c>
      <c r="BD15" s="295">
        <f>IF(AND(BD$3&gt;=$AC15,BD$3&lt;(CapEx!$F$19*12)+$AC$15,CapEx!$F$19&gt;1),SLN(CapEx!$C$19,CapEx!$G$19,CapEx!$F$19)/12,0)</f>
        <v>0</v>
      </c>
      <c r="BE15" s="295">
        <f>IF(AND(BE$3&gt;=$AC15,BE$3&lt;(CapEx!$F$19*12)+$AC$15,CapEx!$F$19&gt;1),SLN(CapEx!$C$19,CapEx!$G$19,CapEx!$F$19)/12,0)</f>
        <v>0</v>
      </c>
      <c r="BF15" s="295">
        <f>IF(AND(BF$3&gt;=$AC15,BF$3&lt;(CapEx!$F$19*12)+$AC$15,CapEx!$F$19&gt;1),SLN(CapEx!$C$19,CapEx!$G$19,CapEx!$F$19)/12,0)</f>
        <v>0</v>
      </c>
      <c r="BG15" s="295">
        <f>IF(AND(BG$3&gt;=$AC15,BG$3&lt;(CapEx!$F$19*12)+$AC$15,CapEx!$F$19&gt;1),SLN(CapEx!$C$19,CapEx!$G$19,CapEx!$F$19)/12,0)</f>
        <v>0</v>
      </c>
      <c r="BH15" s="295">
        <f>IF(AND(BH$3&gt;=$AC15,BH$3&lt;(CapEx!$F$19*12)+$AC$15,CapEx!$F$19&gt;1),SLN(CapEx!$C$19,CapEx!$G$19,CapEx!$F$19)/12,0)</f>
        <v>0</v>
      </c>
      <c r="BI15" s="295">
        <f>IF(AND(BI$3&gt;=$AC15,BI$3&lt;(CapEx!$F$19*12)+$AC$15,CapEx!$F$19&gt;1),SLN(CapEx!$C$19,CapEx!$G$19,CapEx!$F$19)/12,0)</f>
        <v>0</v>
      </c>
      <c r="BJ15" s="295">
        <f>IF(AND(BJ$3&gt;=$AC15,BJ$3&lt;(CapEx!$F$19*12)+$AC$15,CapEx!$F$19&gt;1),SLN(CapEx!$C$19,CapEx!$G$19,CapEx!$F$19)/12,0)</f>
        <v>0</v>
      </c>
      <c r="BK15" s="295">
        <f>IF(AND(BK$3&gt;=$AC15,BK$3&lt;(CapEx!$F$19*12)+$AC$15,CapEx!$F$19&gt;1),SLN(CapEx!$C$19,CapEx!$G$19,CapEx!$F$19)/12,0)</f>
        <v>0</v>
      </c>
      <c r="BL15" s="295">
        <f>IF(AND(BL$3&gt;=$AC15,BL$3&lt;(CapEx!$F$19*12)+$AC$15,CapEx!$F$19&gt;1),SLN(CapEx!$C$19,CapEx!$G$19,CapEx!$F$19)/12,0)</f>
        <v>0</v>
      </c>
      <c r="BM15" s="295">
        <f>IF(AND(BM$3&gt;=$AC15,BM$3&lt;(CapEx!$F$19*12)+$AC$15,CapEx!$F$19&gt;1),SLN(CapEx!$C$19,CapEx!$G$19,CapEx!$F$19)/12,0)</f>
        <v>0</v>
      </c>
      <c r="BN15" s="295">
        <f>IF(AND(BN$3&gt;=$AC15,BN$3&lt;(CapEx!$F$19*12)+$AC$15,CapEx!$F$19&gt;1),SLN(CapEx!$C$19,CapEx!$G$19,CapEx!$F$19)/12,0)</f>
        <v>0</v>
      </c>
      <c r="BO15" s="295">
        <f>IF(AND(BO$3&gt;=$AC15,BO$3&lt;(CapEx!$F$19*12)+$AC$15,CapEx!$F$19&gt;1),SLN(CapEx!$C$19,CapEx!$G$19,CapEx!$F$19)/12,0)</f>
        <v>0</v>
      </c>
      <c r="BP15" s="295">
        <f>IF(AND(BP$3&gt;=$AC15,BP$3&lt;(CapEx!$F$19*12)+$AC$15,CapEx!$F$19&gt;1),SLN(CapEx!$C$19,CapEx!$G$19,CapEx!$F$19)/12,0)</f>
        <v>0</v>
      </c>
      <c r="BQ15" s="295">
        <f>IF(AND(BQ$3&gt;=$AC15,BQ$3&lt;(CapEx!$F$19*12)+$AC$15,CapEx!$F$19&gt;1),SLN(CapEx!$C$19,CapEx!$G$19,CapEx!$F$19)/12,0)</f>
        <v>0</v>
      </c>
      <c r="BR15" s="295">
        <f>IF(AND(BR$3&gt;=$AC15,BR$3&lt;(CapEx!$F$19*12)+$AC$15,CapEx!$F$19&gt;1),SLN(CapEx!$C$19,CapEx!$G$19,CapEx!$F$19)/12,0)</f>
        <v>0</v>
      </c>
      <c r="BS15" s="295">
        <f>IF(AND(BS$3&gt;=$AC15,BS$3&lt;(CapEx!$F$19*12)+$AC$15,CapEx!$F$19&gt;1),SLN(CapEx!$C$19,CapEx!$G$19,CapEx!$F$19)/12,0)</f>
        <v>0</v>
      </c>
      <c r="BT15" s="295">
        <f>IF(AND(BT$3&gt;=$AC15,BT$3&lt;(CapEx!$F$19*12)+$AC$15,CapEx!$F$19&gt;1),SLN(CapEx!$C$19,CapEx!$G$19,CapEx!$F$19)/12,0)</f>
        <v>0</v>
      </c>
      <c r="BU15" s="295">
        <f>IF(AND(BU$3&gt;=$AC15,BU$3&lt;(CapEx!$F$19*12)+$AC$15,CapEx!$F$19&gt;1),SLN(CapEx!$C$19,CapEx!$G$19,CapEx!$F$19)/12,0)</f>
        <v>0</v>
      </c>
      <c r="BV15" s="295">
        <f>IF(AND(BV$3&gt;=$AC15,BV$3&lt;(CapEx!$F$19*12)+$AC$15,CapEx!$F$19&gt;1),SLN(CapEx!$C$19,CapEx!$G$19,CapEx!$F$19)/12,0)</f>
        <v>0</v>
      </c>
      <c r="BW15" s="295">
        <f>IF(AND(BW$3&gt;=$AC15,BW$3&lt;(CapEx!$F$19*12)+$AC$15,CapEx!$F$19&gt;1),SLN(CapEx!$C$19,CapEx!$G$19,CapEx!$F$19)/12,0)</f>
        <v>0</v>
      </c>
      <c r="BX15" s="295">
        <f>IF(AND(BX$3&gt;=$AC15,BX$3&lt;(CapEx!$F$19*12)+$AC$15,CapEx!$F$19&gt;1),SLN(CapEx!$C$19,CapEx!$G$19,CapEx!$F$19)/12,0)</f>
        <v>0</v>
      </c>
      <c r="BY15" s="295">
        <f>IF(AND(BY$3&gt;=$AC15,BY$3&lt;(CapEx!$F$19*12)+$AC$15,CapEx!$F$19&gt;1),SLN(CapEx!$C$19,CapEx!$G$19,CapEx!$F$19)/12,0)</f>
        <v>0</v>
      </c>
      <c r="BZ15" s="295">
        <f>IF(AND(BZ$3&gt;=$AC15,BZ$3&lt;(CapEx!$F$19*12)+$AC$15,CapEx!$F$19&gt;1),SLN(CapEx!$C$19,CapEx!$G$19,CapEx!$F$19)/12,0)</f>
        <v>0</v>
      </c>
      <c r="CA15" s="295">
        <f>IF(AND(CA$3&gt;=$AC15,CA$3&lt;(CapEx!$F$19*12)+$AC$15,CapEx!$F$19&gt;1),SLN(CapEx!$C$19,CapEx!$G$19,CapEx!$F$19)/12,0)</f>
        <v>0</v>
      </c>
      <c r="CB15" s="295">
        <f>IF(AND(CB$3&gt;=$AC15,CB$3&lt;(CapEx!$F$19*12)+$AC$15,CapEx!$F$19&gt;1),SLN(CapEx!$C$19,CapEx!$G$19,CapEx!$F$19)/12,0)</f>
        <v>0</v>
      </c>
      <c r="CC15" s="295">
        <f>IF(AND(CC$3&gt;=$AC15,CC$3&lt;(CapEx!$F$19*12)+$AC$15,CapEx!$F$19&gt;1),SLN(CapEx!$C$19,CapEx!$G$19,CapEx!$F$19)/12,0)</f>
        <v>0</v>
      </c>
      <c r="CD15" s="295">
        <f>IF(AND(CD$3&gt;=$AC15,CD$3&lt;(CapEx!$F$19*12)+$AC$15,CapEx!$F$19&gt;1),SLN(CapEx!$C$19,CapEx!$G$19,CapEx!$F$19)/12,0)</f>
        <v>0</v>
      </c>
      <c r="CE15" s="295">
        <f>IF(AND(CE$3&gt;=$AC15,CE$3&lt;(CapEx!$F$19*12)+$AC$15,CapEx!$F$19&gt;1),SLN(CapEx!$C$19,CapEx!$G$19,CapEx!$F$19)/12,0)</f>
        <v>0</v>
      </c>
      <c r="CF15" s="295">
        <f>IF(AND(CF$3&gt;=$AC15,CF$3&lt;(CapEx!$F$19*12)+$AC$15,CapEx!$F$19&gt;1),SLN(CapEx!$C$19,CapEx!$G$19,CapEx!$F$19)/12,0)</f>
        <v>0</v>
      </c>
      <c r="CG15" s="295">
        <f>IF(AND(CG$3&gt;=$AC15,CG$3&lt;(CapEx!$F$19*12)+$AC$15,CapEx!$F$19&gt;1),SLN(CapEx!$C$19,CapEx!$G$19,CapEx!$F$19)/12,0)</f>
        <v>0</v>
      </c>
      <c r="CH15" s="295">
        <f>IF(AND(CH$3&gt;=$AC15,CH$3&lt;(CapEx!$F$19*12)+$AC$15,CapEx!$F$19&gt;1),SLN(CapEx!$C$19,CapEx!$G$19,CapEx!$F$19)/12,0)</f>
        <v>0</v>
      </c>
      <c r="CI15" s="295">
        <f>IF(AND(CI$3&gt;=$AC15,CI$3&lt;(CapEx!$F$19*12)+$AC$15,CapEx!$F$19&gt;1),SLN(CapEx!$C$19,CapEx!$G$19,CapEx!$F$19)/12,0)</f>
        <v>0</v>
      </c>
      <c r="CJ15" s="295">
        <f>IF(AND(CJ$3&gt;=$AC15,CJ$3&lt;(CapEx!$F$19*12)+$AC$15,CapEx!$F$19&gt;1),SLN(CapEx!$C$19,CapEx!$G$19,CapEx!$F$19)/12,0)</f>
        <v>0</v>
      </c>
      <c r="CK15" s="295">
        <f>IF(AND(CK$3&gt;=$AC15,CK$3&lt;(CapEx!$F$19*12)+$AC$15,CapEx!$F$19&gt;1),SLN(CapEx!$C$19,CapEx!$G$19,CapEx!$F$19)/12,0)</f>
        <v>0</v>
      </c>
    </row>
    <row r="16" spans="1:101">
      <c r="A16" s="145" t="s">
        <v>188</v>
      </c>
      <c r="D16" s="276" t="s">
        <v>199</v>
      </c>
      <c r="E16" s="277">
        <f>1-E17</f>
        <v>0</v>
      </c>
      <c r="F16" s="88">
        <f>E16*CreditSales</f>
        <v>0</v>
      </c>
      <c r="K16" s="825"/>
      <c r="Y16" s="79">
        <f>CapEx!F20</f>
        <v>1</v>
      </c>
      <c r="Z16" s="145" t="s">
        <v>245</v>
      </c>
      <c r="AA16" s="297">
        <v>13</v>
      </c>
      <c r="AB16">
        <f>CapEx!C20</f>
        <v>0</v>
      </c>
      <c r="AC16" s="79">
        <f>IF(AB16=0,1,DATEDIF($K$12,DATEVALUE("01-"&amp;CapEx!$D20&amp;"-"&amp;CapEx!$E20),"m")+1)</f>
        <v>1</v>
      </c>
      <c r="AD16" s="295">
        <f>IF(AND(AD$3&gt;=$AC16,AD$3&lt;(CapEx!$F$20*12)+$AC$16,CapEx!$F$20&gt;1),SLN(CapEx!$C$20,CapEx!$G$20,CapEx!$F$20)/12,0)</f>
        <v>0</v>
      </c>
      <c r="AE16" s="295">
        <f>IF(AND(AE$3&gt;=$AC16,AE$3&lt;(CapEx!$F$20*12)+$AC$16,CapEx!$F$20&gt;1),SLN(CapEx!$C$20,CapEx!$G$20,CapEx!$F$20)/12,0)</f>
        <v>0</v>
      </c>
      <c r="AF16" s="295">
        <f>IF(AND(AF$3&gt;=$AC16,AF$3&lt;(CapEx!$F$20*12)+$AC$16,CapEx!$F$20&gt;1),SLN(CapEx!$C$20,CapEx!$G$20,CapEx!$F$20)/12,0)</f>
        <v>0</v>
      </c>
      <c r="AG16" s="295">
        <f>IF(AND(AG$3&gt;=$AC16,AG$3&lt;(CapEx!$F$20*12)+$AC$16,CapEx!$F$20&gt;1),SLN(CapEx!$C$20,CapEx!$G$20,CapEx!$F$20)/12,0)</f>
        <v>0</v>
      </c>
      <c r="AH16" s="295">
        <f>IF(AND(AH$3&gt;=$AC16,AH$3&lt;(CapEx!$F$20*12)+$AC$16,CapEx!$F$20&gt;1),SLN(CapEx!$C$20,CapEx!$G$20,CapEx!$F$20)/12,0)</f>
        <v>0</v>
      </c>
      <c r="AI16" s="295">
        <f>IF(AND(AI$3&gt;=$AC16,AI$3&lt;(CapEx!$F$20*12)+$AC$16,CapEx!$F$20&gt;1),SLN(CapEx!$C$20,CapEx!$G$20,CapEx!$F$20)/12,0)</f>
        <v>0</v>
      </c>
      <c r="AJ16" s="295">
        <f>IF(AND(AJ$3&gt;=$AC16,AJ$3&lt;(CapEx!$F$20*12)+$AC$16,CapEx!$F$20&gt;1),SLN(CapEx!$C$20,CapEx!$G$20,CapEx!$F$20)/12,0)</f>
        <v>0</v>
      </c>
      <c r="AK16" s="295">
        <f>IF(AND(AK$3&gt;=$AC16,AK$3&lt;(CapEx!$F$20*12)+$AC$16,CapEx!$F$20&gt;1),SLN(CapEx!$C$20,CapEx!$G$20,CapEx!$F$20)/12,0)</f>
        <v>0</v>
      </c>
      <c r="AL16" s="295">
        <f>IF(AND(AL$3&gt;=$AC16,AL$3&lt;(CapEx!$F$20*12)+$AC$16,CapEx!$F$20&gt;1),SLN(CapEx!$C$20,CapEx!$G$20,CapEx!$F$20)/12,0)</f>
        <v>0</v>
      </c>
      <c r="AM16" s="295">
        <f>IF(AND(AM$3&gt;=$AC16,AM$3&lt;(CapEx!$F$20*12)+$AC$16,CapEx!$F$20&gt;1),SLN(CapEx!$C$20,CapEx!$G$20,CapEx!$F$20)/12,0)</f>
        <v>0</v>
      </c>
      <c r="AN16" s="295">
        <f>IF(AND(AN$3&gt;=$AC16,AN$3&lt;(CapEx!$F$20*12)+$AC$16,CapEx!$F$20&gt;1),SLN(CapEx!$C$20,CapEx!$G$20,CapEx!$F$20)/12,0)</f>
        <v>0</v>
      </c>
      <c r="AO16" s="295">
        <f>IF(AND(AO$3&gt;=$AC16,AO$3&lt;(CapEx!$F$20*12)+$AC$16,CapEx!$F$20&gt;1),SLN(CapEx!$C$20,CapEx!$G$20,CapEx!$F$20)/12,0)</f>
        <v>0</v>
      </c>
      <c r="AP16" s="295">
        <f>IF(AND(AP$3&gt;=$AC16,AP$3&lt;(CapEx!$F$20*12)+$AC$16,CapEx!$F$20&gt;1),SLN(CapEx!$C$20,CapEx!$G$20,CapEx!$F$20)/12,0)</f>
        <v>0</v>
      </c>
      <c r="AQ16" s="295">
        <f>IF(AND(AQ$3&gt;=$AC16,AQ$3&lt;(CapEx!$F$20*12)+$AC$16,CapEx!$F$20&gt;1),SLN(CapEx!$C$20,CapEx!$G$20,CapEx!$F$20)/12,0)</f>
        <v>0</v>
      </c>
      <c r="AR16" s="295">
        <f>IF(AND(AR$3&gt;=$AC16,AR$3&lt;(CapEx!$F$20*12)+$AC$16,CapEx!$F$20&gt;1),SLN(CapEx!$C$20,CapEx!$G$20,CapEx!$F$20)/12,0)</f>
        <v>0</v>
      </c>
      <c r="AS16" s="295">
        <f>IF(AND(AS$3&gt;=$AC16,AS$3&lt;(CapEx!$F$20*12)+$AC$16,CapEx!$F$20&gt;1),SLN(CapEx!$C$20,CapEx!$G$20,CapEx!$F$20)/12,0)</f>
        <v>0</v>
      </c>
      <c r="AT16" s="295">
        <f>IF(AND(AT$3&gt;=$AC16,AT$3&lt;(CapEx!$F$20*12)+$AC$16,CapEx!$F$20&gt;1),SLN(CapEx!$C$20,CapEx!$G$20,CapEx!$F$20)/12,0)</f>
        <v>0</v>
      </c>
      <c r="AU16" s="295">
        <f>IF(AND(AU$3&gt;=$AC16,AU$3&lt;(CapEx!$F$20*12)+$AC$16,CapEx!$F$20&gt;1),SLN(CapEx!$C$20,CapEx!$G$20,CapEx!$F$20)/12,0)</f>
        <v>0</v>
      </c>
      <c r="AV16" s="295">
        <f>IF(AND(AV$3&gt;=$AC16,AV$3&lt;(CapEx!$F$20*12)+$AC$16,CapEx!$F$20&gt;1),SLN(CapEx!$C$20,CapEx!$G$20,CapEx!$F$20)/12,0)</f>
        <v>0</v>
      </c>
      <c r="AW16" s="295">
        <f>IF(AND(AW$3&gt;=$AC16,AW$3&lt;(CapEx!$F$20*12)+$AC$16,CapEx!$F$20&gt;1),SLN(CapEx!$C$20,CapEx!$G$20,CapEx!$F$20)/12,0)</f>
        <v>0</v>
      </c>
      <c r="AX16" s="295">
        <f>IF(AND(AX$3&gt;=$AC16,AX$3&lt;(CapEx!$F$20*12)+$AC$16,CapEx!$F$20&gt;1),SLN(CapEx!$C$20,CapEx!$G$20,CapEx!$F$20)/12,0)</f>
        <v>0</v>
      </c>
      <c r="AY16" s="295">
        <f>IF(AND(AY$3&gt;=$AC16,AY$3&lt;(CapEx!$F$20*12)+$AC$16,CapEx!$F$20&gt;1),SLN(CapEx!$C$20,CapEx!$G$20,CapEx!$F$20)/12,0)</f>
        <v>0</v>
      </c>
      <c r="AZ16" s="295">
        <f>IF(AND(AZ$3&gt;=$AC16,AZ$3&lt;(CapEx!$F$20*12)+$AC$16,CapEx!$F$20&gt;1),SLN(CapEx!$C$20,CapEx!$G$20,CapEx!$F$20)/12,0)</f>
        <v>0</v>
      </c>
      <c r="BA16" s="295">
        <f>IF(AND(BA$3&gt;=$AC16,BA$3&lt;(CapEx!$F$20*12)+$AC$16,CapEx!$F$20&gt;1),SLN(CapEx!$C$20,CapEx!$G$20,CapEx!$F$20)/12,0)</f>
        <v>0</v>
      </c>
      <c r="BB16" s="295">
        <f>IF(AND(BB$3&gt;=$AC16,BB$3&lt;(CapEx!$F$20*12)+$AC$16,CapEx!$F$20&gt;1),SLN(CapEx!$C$20,CapEx!$G$20,CapEx!$F$20)/12,0)</f>
        <v>0</v>
      </c>
      <c r="BC16" s="295">
        <f>IF(AND(BC$3&gt;=$AC16,BC$3&lt;(CapEx!$F$20*12)+$AC$16,CapEx!$F$20&gt;1),SLN(CapEx!$C$20,CapEx!$G$20,CapEx!$F$20)/12,0)</f>
        <v>0</v>
      </c>
      <c r="BD16" s="295">
        <f>IF(AND(BD$3&gt;=$AC16,BD$3&lt;(CapEx!$F$20*12)+$AC$16,CapEx!$F$20&gt;1),SLN(CapEx!$C$20,CapEx!$G$20,CapEx!$F$20)/12,0)</f>
        <v>0</v>
      </c>
      <c r="BE16" s="295">
        <f>IF(AND(BE$3&gt;=$AC16,BE$3&lt;(CapEx!$F$20*12)+$AC$16,CapEx!$F$20&gt;1),SLN(CapEx!$C$20,CapEx!$G$20,CapEx!$F$20)/12,0)</f>
        <v>0</v>
      </c>
      <c r="BF16" s="295">
        <f>IF(AND(BF$3&gt;=$AC16,BF$3&lt;(CapEx!$F$20*12)+$AC$16,CapEx!$F$20&gt;1),SLN(CapEx!$C$20,CapEx!$G$20,CapEx!$F$20)/12,0)</f>
        <v>0</v>
      </c>
      <c r="BG16" s="295">
        <f>IF(AND(BG$3&gt;=$AC16,BG$3&lt;(CapEx!$F$20*12)+$AC$16,CapEx!$F$20&gt;1),SLN(CapEx!$C$20,CapEx!$G$20,CapEx!$F$20)/12,0)</f>
        <v>0</v>
      </c>
      <c r="BH16" s="295">
        <f>IF(AND(BH$3&gt;=$AC16,BH$3&lt;(CapEx!$F$20*12)+$AC$16,CapEx!$F$20&gt;1),SLN(CapEx!$C$20,CapEx!$G$20,CapEx!$F$20)/12,0)</f>
        <v>0</v>
      </c>
      <c r="BI16" s="295">
        <f>IF(AND(BI$3&gt;=$AC16,BI$3&lt;(CapEx!$F$20*12)+$AC$16,CapEx!$F$20&gt;1),SLN(CapEx!$C$20,CapEx!$G$20,CapEx!$F$20)/12,0)</f>
        <v>0</v>
      </c>
      <c r="BJ16" s="295">
        <f>IF(AND(BJ$3&gt;=$AC16,BJ$3&lt;(CapEx!$F$20*12)+$AC$16,CapEx!$F$20&gt;1),SLN(CapEx!$C$20,CapEx!$G$20,CapEx!$F$20)/12,0)</f>
        <v>0</v>
      </c>
      <c r="BK16" s="295">
        <f>IF(AND(BK$3&gt;=$AC16,BK$3&lt;(CapEx!$F$20*12)+$AC$16,CapEx!$F$20&gt;1),SLN(CapEx!$C$20,CapEx!$G$20,CapEx!$F$20)/12,0)</f>
        <v>0</v>
      </c>
      <c r="BL16" s="295">
        <f>IF(AND(BL$3&gt;=$AC16,BL$3&lt;(CapEx!$F$20*12)+$AC$16,CapEx!$F$20&gt;1),SLN(CapEx!$C$20,CapEx!$G$20,CapEx!$F$20)/12,0)</f>
        <v>0</v>
      </c>
      <c r="BM16" s="295">
        <f>IF(AND(BM$3&gt;=$AC16,BM$3&lt;(CapEx!$F$20*12)+$AC$16,CapEx!$F$20&gt;1),SLN(CapEx!$C$20,CapEx!$G$20,CapEx!$F$20)/12,0)</f>
        <v>0</v>
      </c>
      <c r="BN16" s="295">
        <f>IF(AND(BN$3&gt;=$AC16,BN$3&lt;(CapEx!$F$20*12)+$AC$16,CapEx!$F$20&gt;1),SLN(CapEx!$C$20,CapEx!$G$20,CapEx!$F$20)/12,0)</f>
        <v>0</v>
      </c>
      <c r="BO16" s="295">
        <f>IF(AND(BO$3&gt;=$AC16,BO$3&lt;(CapEx!$F$20*12)+$AC$16,CapEx!$F$20&gt;1),SLN(CapEx!$C$20,CapEx!$G$20,CapEx!$F$20)/12,0)</f>
        <v>0</v>
      </c>
      <c r="BP16" s="295">
        <f>IF(AND(BP$3&gt;=$AC16,BP$3&lt;(CapEx!$F$20*12)+$AC$16,CapEx!$F$20&gt;1),SLN(CapEx!$C$20,CapEx!$G$20,CapEx!$F$20)/12,0)</f>
        <v>0</v>
      </c>
      <c r="BQ16" s="295">
        <f>IF(AND(BQ$3&gt;=$AC16,BQ$3&lt;(CapEx!$F$20*12)+$AC$16,CapEx!$F$20&gt;1),SLN(CapEx!$C$20,CapEx!$G$20,CapEx!$F$20)/12,0)</f>
        <v>0</v>
      </c>
      <c r="BR16" s="295">
        <f>IF(AND(BR$3&gt;=$AC16,BR$3&lt;(CapEx!$F$20*12)+$AC$16,CapEx!$F$20&gt;1),SLN(CapEx!$C$20,CapEx!$G$20,CapEx!$F$20)/12,0)</f>
        <v>0</v>
      </c>
      <c r="BS16" s="295">
        <f>IF(AND(BS$3&gt;=$AC16,BS$3&lt;(CapEx!$F$20*12)+$AC$16,CapEx!$F$20&gt;1),SLN(CapEx!$C$20,CapEx!$G$20,CapEx!$F$20)/12,0)</f>
        <v>0</v>
      </c>
      <c r="BT16" s="295">
        <f>IF(AND(BT$3&gt;=$AC16,BT$3&lt;(CapEx!$F$20*12)+$AC$16,CapEx!$F$20&gt;1),SLN(CapEx!$C$20,CapEx!$G$20,CapEx!$F$20)/12,0)</f>
        <v>0</v>
      </c>
      <c r="BU16" s="295">
        <f>IF(AND(BU$3&gt;=$AC16,BU$3&lt;(CapEx!$F$20*12)+$AC$16,CapEx!$F$20&gt;1),SLN(CapEx!$C$20,CapEx!$G$20,CapEx!$F$20)/12,0)</f>
        <v>0</v>
      </c>
      <c r="BV16" s="295">
        <f>IF(AND(BV$3&gt;=$AC16,BV$3&lt;(CapEx!$F$20*12)+$AC$16,CapEx!$F$20&gt;1),SLN(CapEx!$C$20,CapEx!$G$20,CapEx!$F$20)/12,0)</f>
        <v>0</v>
      </c>
      <c r="BW16" s="295">
        <f>IF(AND(BW$3&gt;=$AC16,BW$3&lt;(CapEx!$F$20*12)+$AC$16,CapEx!$F$20&gt;1),SLN(CapEx!$C$20,CapEx!$G$20,CapEx!$F$20)/12,0)</f>
        <v>0</v>
      </c>
      <c r="BX16" s="295">
        <f>IF(AND(BX$3&gt;=$AC16,BX$3&lt;(CapEx!$F$20*12)+$AC$16,CapEx!$F$20&gt;1),SLN(CapEx!$C$20,CapEx!$G$20,CapEx!$F$20)/12,0)</f>
        <v>0</v>
      </c>
      <c r="BY16" s="295">
        <f>IF(AND(BY$3&gt;=$AC16,BY$3&lt;(CapEx!$F$20*12)+$AC$16,CapEx!$F$20&gt;1),SLN(CapEx!$C$20,CapEx!$G$20,CapEx!$F$20)/12,0)</f>
        <v>0</v>
      </c>
      <c r="BZ16" s="295">
        <f>IF(AND(BZ$3&gt;=$AC16,BZ$3&lt;(CapEx!$F$20*12)+$AC$16,CapEx!$F$20&gt;1),SLN(CapEx!$C$20,CapEx!$G$20,CapEx!$F$20)/12,0)</f>
        <v>0</v>
      </c>
      <c r="CA16" s="295">
        <f>IF(AND(CA$3&gt;=$AC16,CA$3&lt;(CapEx!$F$20*12)+$AC$16,CapEx!$F$20&gt;1),SLN(CapEx!$C$20,CapEx!$G$20,CapEx!$F$20)/12,0)</f>
        <v>0</v>
      </c>
      <c r="CB16" s="295">
        <f>IF(AND(CB$3&gt;=$AC16,CB$3&lt;(CapEx!$F$20*12)+$AC$16,CapEx!$F$20&gt;1),SLN(CapEx!$C$20,CapEx!$G$20,CapEx!$F$20)/12,0)</f>
        <v>0</v>
      </c>
      <c r="CC16" s="295">
        <f>IF(AND(CC$3&gt;=$AC16,CC$3&lt;(CapEx!$F$20*12)+$AC$16,CapEx!$F$20&gt;1),SLN(CapEx!$C$20,CapEx!$G$20,CapEx!$F$20)/12,0)</f>
        <v>0</v>
      </c>
      <c r="CD16" s="295">
        <f>IF(AND(CD$3&gt;=$AC16,CD$3&lt;(CapEx!$F$20*12)+$AC$16,CapEx!$F$20&gt;1),SLN(CapEx!$C$20,CapEx!$G$20,CapEx!$F$20)/12,0)</f>
        <v>0</v>
      </c>
      <c r="CE16" s="295">
        <f>IF(AND(CE$3&gt;=$AC16,CE$3&lt;(CapEx!$F$20*12)+$AC$16,CapEx!$F$20&gt;1),SLN(CapEx!$C$20,CapEx!$G$20,CapEx!$F$20)/12,0)</f>
        <v>0</v>
      </c>
      <c r="CF16" s="295">
        <f>IF(AND(CF$3&gt;=$AC16,CF$3&lt;(CapEx!$F$20*12)+$AC$16,CapEx!$F$20&gt;1),SLN(CapEx!$C$20,CapEx!$G$20,CapEx!$F$20)/12,0)</f>
        <v>0</v>
      </c>
      <c r="CG16" s="295">
        <f>IF(AND(CG$3&gt;=$AC16,CG$3&lt;(CapEx!$F$20*12)+$AC$16,CapEx!$F$20&gt;1),SLN(CapEx!$C$20,CapEx!$G$20,CapEx!$F$20)/12,0)</f>
        <v>0</v>
      </c>
      <c r="CH16" s="295">
        <f>IF(AND(CH$3&gt;=$AC16,CH$3&lt;(CapEx!$F$20*12)+$AC$16,CapEx!$F$20&gt;1),SLN(CapEx!$C$20,CapEx!$G$20,CapEx!$F$20)/12,0)</f>
        <v>0</v>
      </c>
      <c r="CI16" s="295">
        <f>IF(AND(CI$3&gt;=$AC16,CI$3&lt;(CapEx!$F$20*12)+$AC$16,CapEx!$F$20&gt;1),SLN(CapEx!$C$20,CapEx!$G$20,CapEx!$F$20)/12,0)</f>
        <v>0</v>
      </c>
      <c r="CJ16" s="295">
        <f>IF(AND(CJ$3&gt;=$AC16,CJ$3&lt;(CapEx!$F$20*12)+$AC$16,CapEx!$F$20&gt;1),SLN(CapEx!$C$20,CapEx!$G$20,CapEx!$F$20)/12,0)</f>
        <v>0</v>
      </c>
      <c r="CK16" s="295">
        <f>IF(AND(CK$3&gt;=$AC16,CK$3&lt;(CapEx!$F$20*12)+$AC$16,CapEx!$F$20&gt;1),SLN(CapEx!$C$20,CapEx!$G$20,CapEx!$F$20)/12,0)</f>
        <v>0</v>
      </c>
    </row>
    <row r="17" spans="1:89">
      <c r="A17" s="145" t="s">
        <v>189</v>
      </c>
      <c r="D17" t="s">
        <v>200</v>
      </c>
      <c r="E17" s="277">
        <f>IF(CreditTerms&lt;=30,CreditTerms/30,IF(AND(CreditTerms&gt;30,CreditTerms&lt;=60),(CreditTerms-30)/30,IF(AND(CreditTerms&gt;60,CreditTerms&lt;=90),(CreditTerms-60)/30,IF(AND(CreditTerms&gt;90,CreditTerms&lt;=120),(CreditTerms-90)/30,"Error"))))</f>
        <v>1</v>
      </c>
      <c r="F17" s="88">
        <f>E17*CreditSales</f>
        <v>0.25</v>
      </c>
      <c r="K17" s="667"/>
      <c r="Y17" s="79">
        <f>CapEx!F21</f>
        <v>1</v>
      </c>
      <c r="Z17" s="145" t="s">
        <v>245</v>
      </c>
      <c r="AA17" s="297">
        <v>14</v>
      </c>
      <c r="AB17">
        <f>CapEx!C21</f>
        <v>0</v>
      </c>
      <c r="AC17" s="79">
        <f>IF(AB17=0,1,DATEDIF($K$12,DATEVALUE("01-"&amp;CapEx!$D21&amp;"-"&amp;CapEx!$E21),"m")+1)</f>
        <v>1</v>
      </c>
      <c r="AD17" s="295">
        <f>IF(AND(AD$3&gt;=$AC17,AD$3&lt;(CapEx!$F$21*12)+$AC$17,CapEx!$F$21&gt;1),SLN(CapEx!$C$21,CapEx!$G$21,CapEx!$F$21)/12,0)</f>
        <v>0</v>
      </c>
      <c r="AE17" s="295">
        <f>IF(AND(AE$3&gt;=$AC17,AE$3&lt;(CapEx!$F$21*12)+$AC$17,CapEx!$F$21&gt;1),SLN(CapEx!$C$21,CapEx!$G$21,CapEx!$F$21)/12,0)</f>
        <v>0</v>
      </c>
      <c r="AF17" s="295">
        <f>IF(AND(AF$3&gt;=$AC17,AF$3&lt;(CapEx!$F$21*12)+$AC$17,CapEx!$F$21&gt;1),SLN(CapEx!$C$21,CapEx!$G$21,CapEx!$F$21)/12,0)</f>
        <v>0</v>
      </c>
      <c r="AG17" s="295">
        <f>IF(AND(AG$3&gt;=$AC17,AG$3&lt;(CapEx!$F$21*12)+$AC$17,CapEx!$F$21&gt;1),SLN(CapEx!$C$21,CapEx!$G$21,CapEx!$F$21)/12,0)</f>
        <v>0</v>
      </c>
      <c r="AH17" s="295">
        <f>IF(AND(AH$3&gt;=$AC17,AH$3&lt;(CapEx!$F$21*12)+$AC$17,CapEx!$F$21&gt;1),SLN(CapEx!$C$21,CapEx!$G$21,CapEx!$F$21)/12,0)</f>
        <v>0</v>
      </c>
      <c r="AI17" s="295">
        <f>IF(AND(AI$3&gt;=$AC17,AI$3&lt;(CapEx!$F$21*12)+$AC$17,CapEx!$F$21&gt;1),SLN(CapEx!$C$21,CapEx!$G$21,CapEx!$F$21)/12,0)</f>
        <v>0</v>
      </c>
      <c r="AJ17" s="295">
        <f>IF(AND(AJ$3&gt;=$AC17,AJ$3&lt;(CapEx!$F$21*12)+$AC$17,CapEx!$F$21&gt;1),SLN(CapEx!$C$21,CapEx!$G$21,CapEx!$F$21)/12,0)</f>
        <v>0</v>
      </c>
      <c r="AK17" s="295">
        <f>IF(AND(AK$3&gt;=$AC17,AK$3&lt;(CapEx!$F$21*12)+$AC$17,CapEx!$F$21&gt;1),SLN(CapEx!$C$21,CapEx!$G$21,CapEx!$F$21)/12,0)</f>
        <v>0</v>
      </c>
      <c r="AL17" s="295">
        <f>IF(AND(AL$3&gt;=$AC17,AL$3&lt;(CapEx!$F$21*12)+$AC$17,CapEx!$F$21&gt;1),SLN(CapEx!$C$21,CapEx!$G$21,CapEx!$F$21)/12,0)</f>
        <v>0</v>
      </c>
      <c r="AM17" s="295">
        <f>IF(AND(AM$3&gt;=$AC17,AM$3&lt;(CapEx!$F$21*12)+$AC$17,CapEx!$F$21&gt;1),SLN(CapEx!$C$21,CapEx!$G$21,CapEx!$F$21)/12,0)</f>
        <v>0</v>
      </c>
      <c r="AN17" s="295">
        <f>IF(AND(AN$3&gt;=$AC17,AN$3&lt;(CapEx!$F$21*12)+$AC$17,CapEx!$F$21&gt;1),SLN(CapEx!$C$21,CapEx!$G$21,CapEx!$F$21)/12,0)</f>
        <v>0</v>
      </c>
      <c r="AO17" s="295">
        <f>IF(AND(AO$3&gt;=$AC17,AO$3&lt;(CapEx!$F$21*12)+$AC$17,CapEx!$F$21&gt;1),SLN(CapEx!$C$21,CapEx!$G$21,CapEx!$F$21)/12,0)</f>
        <v>0</v>
      </c>
      <c r="AP17" s="295">
        <f>IF(AND(AP$3&gt;=$AC17,AP$3&lt;(CapEx!$F$21*12)+$AC$17,CapEx!$F$21&gt;1),SLN(CapEx!$C$21,CapEx!$G$21,CapEx!$F$21)/12,0)</f>
        <v>0</v>
      </c>
      <c r="AQ17" s="295">
        <f>IF(AND(AQ$3&gt;=$AC17,AQ$3&lt;(CapEx!$F$21*12)+$AC$17,CapEx!$F$21&gt;1),SLN(CapEx!$C$21,CapEx!$G$21,CapEx!$F$21)/12,0)</f>
        <v>0</v>
      </c>
      <c r="AR17" s="295">
        <f>IF(AND(AR$3&gt;=$AC17,AR$3&lt;(CapEx!$F$21*12)+$AC$17,CapEx!$F$21&gt;1),SLN(CapEx!$C$21,CapEx!$G$21,CapEx!$F$21)/12,0)</f>
        <v>0</v>
      </c>
      <c r="AS17" s="295">
        <f>IF(AND(AS$3&gt;=$AC17,AS$3&lt;(CapEx!$F$21*12)+$AC$17,CapEx!$F$21&gt;1),SLN(CapEx!$C$21,CapEx!$G$21,CapEx!$F$21)/12,0)</f>
        <v>0</v>
      </c>
      <c r="AT17" s="295">
        <f>IF(AND(AT$3&gt;=$AC17,AT$3&lt;(CapEx!$F$21*12)+$AC$17,CapEx!$F$21&gt;1),SLN(CapEx!$C$21,CapEx!$G$21,CapEx!$F$21)/12,0)</f>
        <v>0</v>
      </c>
      <c r="AU17" s="295">
        <f>IF(AND(AU$3&gt;=$AC17,AU$3&lt;(CapEx!$F$21*12)+$AC$17,CapEx!$F$21&gt;1),SLN(CapEx!$C$21,CapEx!$G$21,CapEx!$F$21)/12,0)</f>
        <v>0</v>
      </c>
      <c r="AV17" s="295">
        <f>IF(AND(AV$3&gt;=$AC17,AV$3&lt;(CapEx!$F$21*12)+$AC$17,CapEx!$F$21&gt;1),SLN(CapEx!$C$21,CapEx!$G$21,CapEx!$F$21)/12,0)</f>
        <v>0</v>
      </c>
      <c r="AW17" s="295">
        <f>IF(AND(AW$3&gt;=$AC17,AW$3&lt;(CapEx!$F$21*12)+$AC$17,CapEx!$F$21&gt;1),SLN(CapEx!$C$21,CapEx!$G$21,CapEx!$F$21)/12,0)</f>
        <v>0</v>
      </c>
      <c r="AX17" s="295">
        <f>IF(AND(AX$3&gt;=$AC17,AX$3&lt;(CapEx!$F$21*12)+$AC$17,CapEx!$F$21&gt;1),SLN(CapEx!$C$21,CapEx!$G$21,CapEx!$F$21)/12,0)</f>
        <v>0</v>
      </c>
      <c r="AY17" s="295">
        <f>IF(AND(AY$3&gt;=$AC17,AY$3&lt;(CapEx!$F$21*12)+$AC$17,CapEx!$F$21&gt;1),SLN(CapEx!$C$21,CapEx!$G$21,CapEx!$F$21)/12,0)</f>
        <v>0</v>
      </c>
      <c r="AZ17" s="295">
        <f>IF(AND(AZ$3&gt;=$AC17,AZ$3&lt;(CapEx!$F$21*12)+$AC$17,CapEx!$F$21&gt;1),SLN(CapEx!$C$21,CapEx!$G$21,CapEx!$F$21)/12,0)</f>
        <v>0</v>
      </c>
      <c r="BA17" s="295">
        <f>IF(AND(BA$3&gt;=$AC17,BA$3&lt;(CapEx!$F$21*12)+$AC$17,CapEx!$F$21&gt;1),SLN(CapEx!$C$21,CapEx!$G$21,CapEx!$F$21)/12,0)</f>
        <v>0</v>
      </c>
      <c r="BB17" s="295">
        <f>IF(AND(BB$3&gt;=$AC17,BB$3&lt;(CapEx!$F$21*12)+$AC$17,CapEx!$F$21&gt;1),SLN(CapEx!$C$21,CapEx!$G$21,CapEx!$F$21)/12,0)</f>
        <v>0</v>
      </c>
      <c r="BC17" s="295">
        <f>IF(AND(BC$3&gt;=$AC17,BC$3&lt;(CapEx!$F$21*12)+$AC$17,CapEx!$F$21&gt;1),SLN(CapEx!$C$21,CapEx!$G$21,CapEx!$F$21)/12,0)</f>
        <v>0</v>
      </c>
      <c r="BD17" s="295">
        <f>IF(AND(BD$3&gt;=$AC17,BD$3&lt;(CapEx!$F$21*12)+$AC$17,CapEx!$F$21&gt;1),SLN(CapEx!$C$21,CapEx!$G$21,CapEx!$F$21)/12,0)</f>
        <v>0</v>
      </c>
      <c r="BE17" s="295">
        <f>IF(AND(BE$3&gt;=$AC17,BE$3&lt;(CapEx!$F$21*12)+$AC$17,CapEx!$F$21&gt;1),SLN(CapEx!$C$21,CapEx!$G$21,CapEx!$F$21)/12,0)</f>
        <v>0</v>
      </c>
      <c r="BF17" s="295">
        <f>IF(AND(BF$3&gt;=$AC17,BF$3&lt;(CapEx!$F$21*12)+$AC$17,CapEx!$F$21&gt;1),SLN(CapEx!$C$21,CapEx!$G$21,CapEx!$F$21)/12,0)</f>
        <v>0</v>
      </c>
      <c r="BG17" s="295">
        <f>IF(AND(BG$3&gt;=$AC17,BG$3&lt;(CapEx!$F$21*12)+$AC$17,CapEx!$F$21&gt;1),SLN(CapEx!$C$21,CapEx!$G$21,CapEx!$F$21)/12,0)</f>
        <v>0</v>
      </c>
      <c r="BH17" s="295">
        <f>IF(AND(BH$3&gt;=$AC17,BH$3&lt;(CapEx!$F$21*12)+$AC$17,CapEx!$F$21&gt;1),SLN(CapEx!$C$21,CapEx!$G$21,CapEx!$F$21)/12,0)</f>
        <v>0</v>
      </c>
      <c r="BI17" s="295">
        <f>IF(AND(BI$3&gt;=$AC17,BI$3&lt;(CapEx!$F$21*12)+$AC$17,CapEx!$F$21&gt;1),SLN(CapEx!$C$21,CapEx!$G$21,CapEx!$F$21)/12,0)</f>
        <v>0</v>
      </c>
      <c r="BJ17" s="295">
        <f>IF(AND(BJ$3&gt;=$AC17,BJ$3&lt;(CapEx!$F$21*12)+$AC$17,CapEx!$F$21&gt;1),SLN(CapEx!$C$21,CapEx!$G$21,CapEx!$F$21)/12,0)</f>
        <v>0</v>
      </c>
      <c r="BK17" s="295">
        <f>IF(AND(BK$3&gt;=$AC17,BK$3&lt;(CapEx!$F$21*12)+$AC$17,CapEx!$F$21&gt;1),SLN(CapEx!$C$21,CapEx!$G$21,CapEx!$F$21)/12,0)</f>
        <v>0</v>
      </c>
      <c r="BL17" s="295">
        <f>IF(AND(BL$3&gt;=$AC17,BL$3&lt;(CapEx!$F$21*12)+$AC$17,CapEx!$F$21&gt;1),SLN(CapEx!$C$21,CapEx!$G$21,CapEx!$F$21)/12,0)</f>
        <v>0</v>
      </c>
      <c r="BM17" s="295">
        <f>IF(AND(BM$3&gt;=$AC17,BM$3&lt;(CapEx!$F$21*12)+$AC$17,CapEx!$F$21&gt;1),SLN(CapEx!$C$21,CapEx!$G$21,CapEx!$F$21)/12,0)</f>
        <v>0</v>
      </c>
      <c r="BN17" s="295">
        <f>IF(AND(BN$3&gt;=$AC17,BN$3&lt;(CapEx!$F$21*12)+$AC$17,CapEx!$F$21&gt;1),SLN(CapEx!$C$21,CapEx!$G$21,CapEx!$F$21)/12,0)</f>
        <v>0</v>
      </c>
      <c r="BO17" s="295">
        <f>IF(AND(BO$3&gt;=$AC17,BO$3&lt;(CapEx!$F$21*12)+$AC$17,CapEx!$F$21&gt;1),SLN(CapEx!$C$21,CapEx!$G$21,CapEx!$F$21)/12,0)</f>
        <v>0</v>
      </c>
      <c r="BP17" s="295">
        <f>IF(AND(BP$3&gt;=$AC17,BP$3&lt;(CapEx!$F$21*12)+$AC$17,CapEx!$F$21&gt;1),SLN(CapEx!$C$21,CapEx!$G$21,CapEx!$F$21)/12,0)</f>
        <v>0</v>
      </c>
      <c r="BQ17" s="295">
        <f>IF(AND(BQ$3&gt;=$AC17,BQ$3&lt;(CapEx!$F$21*12)+$AC$17,CapEx!$F$21&gt;1),SLN(CapEx!$C$21,CapEx!$G$21,CapEx!$F$21)/12,0)</f>
        <v>0</v>
      </c>
      <c r="BR17" s="295">
        <f>IF(AND(BR$3&gt;=$AC17,BR$3&lt;(CapEx!$F$21*12)+$AC$17,CapEx!$F$21&gt;1),SLN(CapEx!$C$21,CapEx!$G$21,CapEx!$F$21)/12,0)</f>
        <v>0</v>
      </c>
      <c r="BS17" s="295">
        <f>IF(AND(BS$3&gt;=$AC17,BS$3&lt;(CapEx!$F$21*12)+$AC$17,CapEx!$F$21&gt;1),SLN(CapEx!$C$21,CapEx!$G$21,CapEx!$F$21)/12,0)</f>
        <v>0</v>
      </c>
      <c r="BT17" s="295">
        <f>IF(AND(BT$3&gt;=$AC17,BT$3&lt;(CapEx!$F$21*12)+$AC$17,CapEx!$F$21&gt;1),SLN(CapEx!$C$21,CapEx!$G$21,CapEx!$F$21)/12,0)</f>
        <v>0</v>
      </c>
      <c r="BU17" s="295">
        <f>IF(AND(BU$3&gt;=$AC17,BU$3&lt;(CapEx!$F$21*12)+$AC$17,CapEx!$F$21&gt;1),SLN(CapEx!$C$21,CapEx!$G$21,CapEx!$F$21)/12,0)</f>
        <v>0</v>
      </c>
      <c r="BV17" s="295">
        <f>IF(AND(BV$3&gt;=$AC17,BV$3&lt;(CapEx!$F$21*12)+$AC$17,CapEx!$F$21&gt;1),SLN(CapEx!$C$21,CapEx!$G$21,CapEx!$F$21)/12,0)</f>
        <v>0</v>
      </c>
      <c r="BW17" s="295">
        <f>IF(AND(BW$3&gt;=$AC17,BW$3&lt;(CapEx!$F$21*12)+$AC$17,CapEx!$F$21&gt;1),SLN(CapEx!$C$21,CapEx!$G$21,CapEx!$F$21)/12,0)</f>
        <v>0</v>
      </c>
      <c r="BX17" s="295">
        <f>IF(AND(BX$3&gt;=$AC17,BX$3&lt;(CapEx!$F$21*12)+$AC$17,CapEx!$F$21&gt;1),SLN(CapEx!$C$21,CapEx!$G$21,CapEx!$F$21)/12,0)</f>
        <v>0</v>
      </c>
      <c r="BY17" s="295">
        <f>IF(AND(BY$3&gt;=$AC17,BY$3&lt;(CapEx!$F$21*12)+$AC$17,CapEx!$F$21&gt;1),SLN(CapEx!$C$21,CapEx!$G$21,CapEx!$F$21)/12,0)</f>
        <v>0</v>
      </c>
      <c r="BZ17" s="295">
        <f>IF(AND(BZ$3&gt;=$AC17,BZ$3&lt;(CapEx!$F$21*12)+$AC$17,CapEx!$F$21&gt;1),SLN(CapEx!$C$21,CapEx!$G$21,CapEx!$F$21)/12,0)</f>
        <v>0</v>
      </c>
      <c r="CA17" s="295">
        <f>IF(AND(CA$3&gt;=$AC17,CA$3&lt;(CapEx!$F$21*12)+$AC$17,CapEx!$F$21&gt;1),SLN(CapEx!$C$21,CapEx!$G$21,CapEx!$F$21)/12,0)</f>
        <v>0</v>
      </c>
      <c r="CB17" s="295">
        <f>IF(AND(CB$3&gt;=$AC17,CB$3&lt;(CapEx!$F$21*12)+$AC$17,CapEx!$F$21&gt;1),SLN(CapEx!$C$21,CapEx!$G$21,CapEx!$F$21)/12,0)</f>
        <v>0</v>
      </c>
      <c r="CC17" s="295">
        <f>IF(AND(CC$3&gt;=$AC17,CC$3&lt;(CapEx!$F$21*12)+$AC$17,CapEx!$F$21&gt;1),SLN(CapEx!$C$21,CapEx!$G$21,CapEx!$F$21)/12,0)</f>
        <v>0</v>
      </c>
      <c r="CD17" s="295">
        <f>IF(AND(CD$3&gt;=$AC17,CD$3&lt;(CapEx!$F$21*12)+$AC$17,CapEx!$F$21&gt;1),SLN(CapEx!$C$21,CapEx!$G$21,CapEx!$F$21)/12,0)</f>
        <v>0</v>
      </c>
      <c r="CE17" s="295">
        <f>IF(AND(CE$3&gt;=$AC17,CE$3&lt;(CapEx!$F$21*12)+$AC$17,CapEx!$F$21&gt;1),SLN(CapEx!$C$21,CapEx!$G$21,CapEx!$F$21)/12,0)</f>
        <v>0</v>
      </c>
      <c r="CF17" s="295">
        <f>IF(AND(CF$3&gt;=$AC17,CF$3&lt;(CapEx!$F$21*12)+$AC$17,CapEx!$F$21&gt;1),SLN(CapEx!$C$21,CapEx!$G$21,CapEx!$F$21)/12,0)</f>
        <v>0</v>
      </c>
      <c r="CG17" s="295">
        <f>IF(AND(CG$3&gt;=$AC17,CG$3&lt;(CapEx!$F$21*12)+$AC$17,CapEx!$F$21&gt;1),SLN(CapEx!$C$21,CapEx!$G$21,CapEx!$F$21)/12,0)</f>
        <v>0</v>
      </c>
      <c r="CH17" s="295">
        <f>IF(AND(CH$3&gt;=$AC17,CH$3&lt;(CapEx!$F$21*12)+$AC$17,CapEx!$F$21&gt;1),SLN(CapEx!$C$21,CapEx!$G$21,CapEx!$F$21)/12,0)</f>
        <v>0</v>
      </c>
      <c r="CI17" s="295">
        <f>IF(AND(CI$3&gt;=$AC17,CI$3&lt;(CapEx!$F$21*12)+$AC$17,CapEx!$F$21&gt;1),SLN(CapEx!$C$21,CapEx!$G$21,CapEx!$F$21)/12,0)</f>
        <v>0</v>
      </c>
      <c r="CJ17" s="295">
        <f>IF(AND(CJ$3&gt;=$AC17,CJ$3&lt;(CapEx!$F$21*12)+$AC$17,CapEx!$F$21&gt;1),SLN(CapEx!$C$21,CapEx!$G$21,CapEx!$F$21)/12,0)</f>
        <v>0</v>
      </c>
      <c r="CK17" s="295">
        <f>IF(AND(CK$3&gt;=$AC17,CK$3&lt;(CapEx!$F$21*12)+$AC$17,CapEx!$F$21&gt;1),SLN(CapEx!$C$21,CapEx!$G$21,CapEx!$F$21)/12,0)</f>
        <v>0</v>
      </c>
    </row>
    <row r="18" spans="1:89">
      <c r="A18" s="145" t="s">
        <v>190</v>
      </c>
      <c r="E18" s="88"/>
      <c r="F18" s="88"/>
      <c r="Y18" s="79">
        <f>CapEx!F22</f>
        <v>1</v>
      </c>
      <c r="Z18" s="145" t="s">
        <v>245</v>
      </c>
      <c r="AA18" s="297">
        <v>15</v>
      </c>
      <c r="AB18">
        <f>CapEx!C22</f>
        <v>0</v>
      </c>
      <c r="AC18" s="79">
        <f>IF(AB18=0,1,DATEDIF($K$12,DATEVALUE("01-"&amp;CapEx!$D22&amp;"-"&amp;CapEx!$E22),"m")+1)</f>
        <v>1</v>
      </c>
      <c r="AD18" s="295">
        <f>IF(AND(AD$3&gt;=$AC18,AD$3&lt;(CapEx!$F$22*12)+$AC$18,CapEx!$F$22&gt;1),SLN(CapEx!$C$22,CapEx!$G$22,CapEx!$F$22)/12,0)</f>
        <v>0</v>
      </c>
      <c r="AE18" s="295">
        <f>IF(AND(AE$3&gt;=$AC18,AE$3&lt;(CapEx!$F$22*12)+$AC$18,CapEx!$F$22&gt;1),SLN(CapEx!$C$22,CapEx!$G$22,CapEx!$F$22)/12,0)</f>
        <v>0</v>
      </c>
      <c r="AF18" s="295">
        <f>IF(AND(AF$3&gt;=$AC18,AF$3&lt;(CapEx!$F$22*12)+$AC$18,CapEx!$F$22&gt;1),SLN(CapEx!$C$22,CapEx!$G$22,CapEx!$F$22)/12,0)</f>
        <v>0</v>
      </c>
      <c r="AG18" s="295">
        <f>IF(AND(AG$3&gt;=$AC18,AG$3&lt;(CapEx!$F$22*12)+$AC$18,CapEx!$F$22&gt;1),SLN(CapEx!$C$22,CapEx!$G$22,CapEx!$F$22)/12,0)</f>
        <v>0</v>
      </c>
      <c r="AH18" s="295">
        <f>IF(AND(AH$3&gt;=$AC18,AH$3&lt;(CapEx!$F$22*12)+$AC$18,CapEx!$F$22&gt;1),SLN(CapEx!$C$22,CapEx!$G$22,CapEx!$F$22)/12,0)</f>
        <v>0</v>
      </c>
      <c r="AI18" s="295">
        <f>IF(AND(AI$3&gt;=$AC18,AI$3&lt;(CapEx!$F$22*12)+$AC$18,CapEx!$F$22&gt;1),SLN(CapEx!$C$22,CapEx!$G$22,CapEx!$F$22)/12,0)</f>
        <v>0</v>
      </c>
      <c r="AJ18" s="295">
        <f>IF(AND(AJ$3&gt;=$AC18,AJ$3&lt;(CapEx!$F$22*12)+$AC$18,CapEx!$F$22&gt;1),SLN(CapEx!$C$22,CapEx!$G$22,CapEx!$F$22)/12,0)</f>
        <v>0</v>
      </c>
      <c r="AK18" s="295">
        <f>IF(AND(AK$3&gt;=$AC18,AK$3&lt;(CapEx!$F$22*12)+$AC$18,CapEx!$F$22&gt;1),SLN(CapEx!$C$22,CapEx!$G$22,CapEx!$F$22)/12,0)</f>
        <v>0</v>
      </c>
      <c r="AL18" s="295">
        <f>IF(AND(AL$3&gt;=$AC18,AL$3&lt;(CapEx!$F$22*12)+$AC$18,CapEx!$F$22&gt;1),SLN(CapEx!$C$22,CapEx!$G$22,CapEx!$F$22)/12,0)</f>
        <v>0</v>
      </c>
      <c r="AM18" s="295">
        <f>IF(AND(AM$3&gt;=$AC18,AM$3&lt;(CapEx!$F$22*12)+$AC$18,CapEx!$F$22&gt;1),SLN(CapEx!$C$22,CapEx!$G$22,CapEx!$F$22)/12,0)</f>
        <v>0</v>
      </c>
      <c r="AN18" s="295">
        <f>IF(AND(AN$3&gt;=$AC18,AN$3&lt;(CapEx!$F$22*12)+$AC$18,CapEx!$F$22&gt;1),SLN(CapEx!$C$22,CapEx!$G$22,CapEx!$F$22)/12,0)</f>
        <v>0</v>
      </c>
      <c r="AO18" s="295">
        <f>IF(AND(AO$3&gt;=$AC18,AO$3&lt;(CapEx!$F$22*12)+$AC$18,CapEx!$F$22&gt;1),SLN(CapEx!$C$22,CapEx!$G$22,CapEx!$F$22)/12,0)</f>
        <v>0</v>
      </c>
      <c r="AP18" s="295">
        <f>IF(AND(AP$3&gt;=$AC18,AP$3&lt;(CapEx!$F$22*12)+$AC$18,CapEx!$F$22&gt;1),SLN(CapEx!$C$22,CapEx!$G$22,CapEx!$F$22)/12,0)</f>
        <v>0</v>
      </c>
      <c r="AQ18" s="295">
        <f>IF(AND(AQ$3&gt;=$AC18,AQ$3&lt;(CapEx!$F$22*12)+$AC$18,CapEx!$F$22&gt;1),SLN(CapEx!$C$22,CapEx!$G$22,CapEx!$F$22)/12,0)</f>
        <v>0</v>
      </c>
      <c r="AR18" s="295">
        <f>IF(AND(AR$3&gt;=$AC18,AR$3&lt;(CapEx!$F$22*12)+$AC$18,CapEx!$F$22&gt;1),SLN(CapEx!$C$22,CapEx!$G$22,CapEx!$F$22)/12,0)</f>
        <v>0</v>
      </c>
      <c r="AS18" s="295">
        <f>IF(AND(AS$3&gt;=$AC18,AS$3&lt;(CapEx!$F$22*12)+$AC$18,CapEx!$F$22&gt;1),SLN(CapEx!$C$22,CapEx!$G$22,CapEx!$F$22)/12,0)</f>
        <v>0</v>
      </c>
      <c r="AT18" s="295">
        <f>IF(AND(AT$3&gt;=$AC18,AT$3&lt;(CapEx!$F$22*12)+$AC$18,CapEx!$F$22&gt;1),SLN(CapEx!$C$22,CapEx!$G$22,CapEx!$F$22)/12,0)</f>
        <v>0</v>
      </c>
      <c r="AU18" s="295">
        <f>IF(AND(AU$3&gt;=$AC18,AU$3&lt;(CapEx!$F$22*12)+$AC$18,CapEx!$F$22&gt;1),SLN(CapEx!$C$22,CapEx!$G$22,CapEx!$F$22)/12,0)</f>
        <v>0</v>
      </c>
      <c r="AV18" s="295">
        <f>IF(AND(AV$3&gt;=$AC18,AV$3&lt;(CapEx!$F$22*12)+$AC$18,CapEx!$F$22&gt;1),SLN(CapEx!$C$22,CapEx!$G$22,CapEx!$F$22)/12,0)</f>
        <v>0</v>
      </c>
      <c r="AW18" s="295">
        <f>IF(AND(AW$3&gt;=$AC18,AW$3&lt;(CapEx!$F$22*12)+$AC$18,CapEx!$F$22&gt;1),SLN(CapEx!$C$22,CapEx!$G$22,CapEx!$F$22)/12,0)</f>
        <v>0</v>
      </c>
      <c r="AX18" s="295">
        <f>IF(AND(AX$3&gt;=$AC18,AX$3&lt;(CapEx!$F$22*12)+$AC$18,CapEx!$F$22&gt;1),SLN(CapEx!$C$22,CapEx!$G$22,CapEx!$F$22)/12,0)</f>
        <v>0</v>
      </c>
      <c r="AY18" s="295">
        <f>IF(AND(AY$3&gt;=$AC18,AY$3&lt;(CapEx!$F$22*12)+$AC$18,CapEx!$F$22&gt;1),SLN(CapEx!$C$22,CapEx!$G$22,CapEx!$F$22)/12,0)</f>
        <v>0</v>
      </c>
      <c r="AZ18" s="295">
        <f>IF(AND(AZ$3&gt;=$AC18,AZ$3&lt;(CapEx!$F$22*12)+$AC$18,CapEx!$F$22&gt;1),SLN(CapEx!$C$22,CapEx!$G$22,CapEx!$F$22)/12,0)</f>
        <v>0</v>
      </c>
      <c r="BA18" s="295">
        <f>IF(AND(BA$3&gt;=$AC18,BA$3&lt;(CapEx!$F$22*12)+$AC$18,CapEx!$F$22&gt;1),SLN(CapEx!$C$22,CapEx!$G$22,CapEx!$F$22)/12,0)</f>
        <v>0</v>
      </c>
      <c r="BB18" s="295">
        <f>IF(AND(BB$3&gt;=$AC18,BB$3&lt;(CapEx!$F$22*12)+$AC$18,CapEx!$F$22&gt;1),SLN(CapEx!$C$22,CapEx!$G$22,CapEx!$F$22)/12,0)</f>
        <v>0</v>
      </c>
      <c r="BC18" s="295">
        <f>IF(AND(BC$3&gt;=$AC18,BC$3&lt;(CapEx!$F$22*12)+$AC$18,CapEx!$F$22&gt;1),SLN(CapEx!$C$22,CapEx!$G$22,CapEx!$F$22)/12,0)</f>
        <v>0</v>
      </c>
      <c r="BD18" s="295">
        <f>IF(AND(BD$3&gt;=$AC18,BD$3&lt;(CapEx!$F$22*12)+$AC$18,CapEx!$F$22&gt;1),SLN(CapEx!$C$22,CapEx!$G$22,CapEx!$F$22)/12,0)</f>
        <v>0</v>
      </c>
      <c r="BE18" s="295">
        <f>IF(AND(BE$3&gt;=$AC18,BE$3&lt;(CapEx!$F$22*12)+$AC$18,CapEx!$F$22&gt;1),SLN(CapEx!$C$22,CapEx!$G$22,CapEx!$F$22)/12,0)</f>
        <v>0</v>
      </c>
      <c r="BF18" s="295">
        <f>IF(AND(BF$3&gt;=$AC18,BF$3&lt;(CapEx!$F$22*12)+$AC$18,CapEx!$F$22&gt;1),SLN(CapEx!$C$22,CapEx!$G$22,CapEx!$F$22)/12,0)</f>
        <v>0</v>
      </c>
      <c r="BG18" s="295">
        <f>IF(AND(BG$3&gt;=$AC18,BG$3&lt;(CapEx!$F$22*12)+$AC$18,CapEx!$F$22&gt;1),SLN(CapEx!$C$22,CapEx!$G$22,CapEx!$F$22)/12,0)</f>
        <v>0</v>
      </c>
      <c r="BH18" s="295">
        <f>IF(AND(BH$3&gt;=$AC18,BH$3&lt;(CapEx!$F$22*12)+$AC$18,CapEx!$F$22&gt;1),SLN(CapEx!$C$22,CapEx!$G$22,CapEx!$F$22)/12,0)</f>
        <v>0</v>
      </c>
      <c r="BI18" s="295">
        <f>IF(AND(BI$3&gt;=$AC18,BI$3&lt;(CapEx!$F$22*12)+$AC$18,CapEx!$F$22&gt;1),SLN(CapEx!$C$22,CapEx!$G$22,CapEx!$F$22)/12,0)</f>
        <v>0</v>
      </c>
      <c r="BJ18" s="295">
        <f>IF(AND(BJ$3&gt;=$AC18,BJ$3&lt;(CapEx!$F$22*12)+$AC$18,CapEx!$F$22&gt;1),SLN(CapEx!$C$22,CapEx!$G$22,CapEx!$F$22)/12,0)</f>
        <v>0</v>
      </c>
      <c r="BK18" s="295">
        <f>IF(AND(BK$3&gt;=$AC18,BK$3&lt;(CapEx!$F$22*12)+$AC$18,CapEx!$F$22&gt;1),SLN(CapEx!$C$22,CapEx!$G$22,CapEx!$F$22)/12,0)</f>
        <v>0</v>
      </c>
      <c r="BL18" s="295">
        <f>IF(AND(BL$3&gt;=$AC18,BL$3&lt;(CapEx!$F$22*12)+$AC$18,CapEx!$F$22&gt;1),SLN(CapEx!$C$22,CapEx!$G$22,CapEx!$F$22)/12,0)</f>
        <v>0</v>
      </c>
      <c r="BM18" s="295">
        <f>IF(AND(BM$3&gt;=$AC18,BM$3&lt;(CapEx!$F$22*12)+$AC$18,CapEx!$F$22&gt;1),SLN(CapEx!$C$22,CapEx!$G$22,CapEx!$F$22)/12,0)</f>
        <v>0</v>
      </c>
      <c r="BN18" s="295">
        <f>IF(AND(BN$3&gt;=$AC18,BN$3&lt;(CapEx!$F$22*12)+$AC$18,CapEx!$F$22&gt;1),SLN(CapEx!$C$22,CapEx!$G$22,CapEx!$F$22)/12,0)</f>
        <v>0</v>
      </c>
      <c r="BO18" s="295">
        <f>IF(AND(BO$3&gt;=$AC18,BO$3&lt;(CapEx!$F$22*12)+$AC$18,CapEx!$F$22&gt;1),SLN(CapEx!$C$22,CapEx!$G$22,CapEx!$F$22)/12,0)</f>
        <v>0</v>
      </c>
      <c r="BP18" s="295">
        <f>IF(AND(BP$3&gt;=$AC18,BP$3&lt;(CapEx!$F$22*12)+$AC$18,CapEx!$F$22&gt;1),SLN(CapEx!$C$22,CapEx!$G$22,CapEx!$F$22)/12,0)</f>
        <v>0</v>
      </c>
      <c r="BQ18" s="295">
        <f>IF(AND(BQ$3&gt;=$AC18,BQ$3&lt;(CapEx!$F$22*12)+$AC$18,CapEx!$F$22&gt;1),SLN(CapEx!$C$22,CapEx!$G$22,CapEx!$F$22)/12,0)</f>
        <v>0</v>
      </c>
      <c r="BR18" s="295">
        <f>IF(AND(BR$3&gt;=$AC18,BR$3&lt;(CapEx!$F$22*12)+$AC$18,CapEx!$F$22&gt;1),SLN(CapEx!$C$22,CapEx!$G$22,CapEx!$F$22)/12,0)</f>
        <v>0</v>
      </c>
      <c r="BS18" s="295">
        <f>IF(AND(BS$3&gt;=$AC18,BS$3&lt;(CapEx!$F$22*12)+$AC$18,CapEx!$F$22&gt;1),SLN(CapEx!$C$22,CapEx!$G$22,CapEx!$F$22)/12,0)</f>
        <v>0</v>
      </c>
      <c r="BT18" s="295">
        <f>IF(AND(BT$3&gt;=$AC18,BT$3&lt;(CapEx!$F$22*12)+$AC$18,CapEx!$F$22&gt;1),SLN(CapEx!$C$22,CapEx!$G$22,CapEx!$F$22)/12,0)</f>
        <v>0</v>
      </c>
      <c r="BU18" s="295">
        <f>IF(AND(BU$3&gt;=$AC18,BU$3&lt;(CapEx!$F$22*12)+$AC$18,CapEx!$F$22&gt;1),SLN(CapEx!$C$22,CapEx!$G$22,CapEx!$F$22)/12,0)</f>
        <v>0</v>
      </c>
      <c r="BV18" s="295">
        <f>IF(AND(BV$3&gt;=$AC18,BV$3&lt;(CapEx!$F$22*12)+$AC$18,CapEx!$F$22&gt;1),SLN(CapEx!$C$22,CapEx!$G$22,CapEx!$F$22)/12,0)</f>
        <v>0</v>
      </c>
      <c r="BW18" s="295">
        <f>IF(AND(BW$3&gt;=$AC18,BW$3&lt;(CapEx!$F$22*12)+$AC$18,CapEx!$F$22&gt;1),SLN(CapEx!$C$22,CapEx!$G$22,CapEx!$F$22)/12,0)</f>
        <v>0</v>
      </c>
      <c r="BX18" s="295">
        <f>IF(AND(BX$3&gt;=$AC18,BX$3&lt;(CapEx!$F$22*12)+$AC$18,CapEx!$F$22&gt;1),SLN(CapEx!$C$22,CapEx!$G$22,CapEx!$F$22)/12,0)</f>
        <v>0</v>
      </c>
      <c r="BY18" s="295">
        <f>IF(AND(BY$3&gt;=$AC18,BY$3&lt;(CapEx!$F$22*12)+$AC$18,CapEx!$F$22&gt;1),SLN(CapEx!$C$22,CapEx!$G$22,CapEx!$F$22)/12,0)</f>
        <v>0</v>
      </c>
      <c r="BZ18" s="295">
        <f>IF(AND(BZ$3&gt;=$AC18,BZ$3&lt;(CapEx!$F$22*12)+$AC$18,CapEx!$F$22&gt;1),SLN(CapEx!$C$22,CapEx!$G$22,CapEx!$F$22)/12,0)</f>
        <v>0</v>
      </c>
      <c r="CA18" s="295">
        <f>IF(AND(CA$3&gt;=$AC18,CA$3&lt;(CapEx!$F$22*12)+$AC$18,CapEx!$F$22&gt;1),SLN(CapEx!$C$22,CapEx!$G$22,CapEx!$F$22)/12,0)</f>
        <v>0</v>
      </c>
      <c r="CB18" s="295">
        <f>IF(AND(CB$3&gt;=$AC18,CB$3&lt;(CapEx!$F$22*12)+$AC$18,CapEx!$F$22&gt;1),SLN(CapEx!$C$22,CapEx!$G$22,CapEx!$F$22)/12,0)</f>
        <v>0</v>
      </c>
      <c r="CC18" s="295">
        <f>IF(AND(CC$3&gt;=$AC18,CC$3&lt;(CapEx!$F$22*12)+$AC$18,CapEx!$F$22&gt;1),SLN(CapEx!$C$22,CapEx!$G$22,CapEx!$F$22)/12,0)</f>
        <v>0</v>
      </c>
      <c r="CD18" s="295">
        <f>IF(AND(CD$3&gt;=$AC18,CD$3&lt;(CapEx!$F$22*12)+$AC$18,CapEx!$F$22&gt;1),SLN(CapEx!$C$22,CapEx!$G$22,CapEx!$F$22)/12,0)</f>
        <v>0</v>
      </c>
      <c r="CE18" s="295">
        <f>IF(AND(CE$3&gt;=$AC18,CE$3&lt;(CapEx!$F$22*12)+$AC$18,CapEx!$F$22&gt;1),SLN(CapEx!$C$22,CapEx!$G$22,CapEx!$F$22)/12,0)</f>
        <v>0</v>
      </c>
      <c r="CF18" s="295">
        <f>IF(AND(CF$3&gt;=$AC18,CF$3&lt;(CapEx!$F$22*12)+$AC$18,CapEx!$F$22&gt;1),SLN(CapEx!$C$22,CapEx!$G$22,CapEx!$F$22)/12,0)</f>
        <v>0</v>
      </c>
      <c r="CG18" s="295">
        <f>IF(AND(CG$3&gt;=$AC18,CG$3&lt;(CapEx!$F$22*12)+$AC$18,CapEx!$F$22&gt;1),SLN(CapEx!$C$22,CapEx!$G$22,CapEx!$F$22)/12,0)</f>
        <v>0</v>
      </c>
      <c r="CH18" s="295">
        <f>IF(AND(CH$3&gt;=$AC18,CH$3&lt;(CapEx!$F$22*12)+$AC$18,CapEx!$F$22&gt;1),SLN(CapEx!$C$22,CapEx!$G$22,CapEx!$F$22)/12,0)</f>
        <v>0</v>
      </c>
      <c r="CI18" s="295">
        <f>IF(AND(CI$3&gt;=$AC18,CI$3&lt;(CapEx!$F$22*12)+$AC$18,CapEx!$F$22&gt;1),SLN(CapEx!$C$22,CapEx!$G$22,CapEx!$F$22)/12,0)</f>
        <v>0</v>
      </c>
      <c r="CJ18" s="295">
        <f>IF(AND(CJ$3&gt;=$AC18,CJ$3&lt;(CapEx!$F$22*12)+$AC$18,CapEx!$F$22&gt;1),SLN(CapEx!$C$22,CapEx!$G$22,CapEx!$F$22)/12,0)</f>
        <v>0</v>
      </c>
      <c r="CK18" s="295">
        <f>IF(AND(CK$3&gt;=$AC18,CK$3&lt;(CapEx!$F$22*12)+$AC$18,CapEx!$F$22&gt;1),SLN(CapEx!$C$22,CapEx!$G$22,CapEx!$F$22)/12,0)</f>
        <v>0</v>
      </c>
    </row>
    <row r="19" spans="1:89">
      <c r="A19" s="145" t="s">
        <v>191</v>
      </c>
      <c r="E19" s="88"/>
      <c r="F19" s="88"/>
      <c r="Y19" s="79">
        <f>CapEx!F23</f>
        <v>1</v>
      </c>
      <c r="Z19" s="145" t="s">
        <v>245</v>
      </c>
      <c r="AA19" s="297">
        <v>16</v>
      </c>
      <c r="AB19">
        <f>CapEx!C23</f>
        <v>0</v>
      </c>
      <c r="AC19" s="79">
        <f>IF(AB19=0,1,DATEDIF($K$12,DATEVALUE("01-"&amp;CapEx!$D23&amp;"-"&amp;CapEx!$E23),"m")+1)</f>
        <v>1</v>
      </c>
      <c r="AD19" s="295">
        <f>IF(AND(AD$3&gt;=$AC19,AD$3&lt;(CapEx!$F$23*12)+$AC$19,CapEx!$F$23&gt;1),SLN(CapEx!$C$23,CapEx!$G$23,CapEx!$F$23)/12,0)</f>
        <v>0</v>
      </c>
      <c r="AE19" s="295">
        <f>IF(AND(AE$3&gt;=$AC19,AE$3&lt;(CapEx!$F$23*12)+$AC$19,CapEx!$F$23&gt;1),SLN(CapEx!$C$23,CapEx!$G$23,CapEx!$F$23)/12,0)</f>
        <v>0</v>
      </c>
      <c r="AF19" s="295">
        <f>IF(AND(AF$3&gt;=$AC19,AF$3&lt;(CapEx!$F$23*12)+$AC$19,CapEx!$F$23&gt;1),SLN(CapEx!$C$23,CapEx!$G$23,CapEx!$F$23)/12,0)</f>
        <v>0</v>
      </c>
      <c r="AG19" s="295">
        <f>IF(AND(AG$3&gt;=$AC19,AG$3&lt;(CapEx!$F$23*12)+$AC$19,CapEx!$F$23&gt;1),SLN(CapEx!$C$23,CapEx!$G$23,CapEx!$F$23)/12,0)</f>
        <v>0</v>
      </c>
      <c r="AH19" s="295">
        <f>IF(AND(AH$3&gt;=$AC19,AH$3&lt;(CapEx!$F$23*12)+$AC$19,CapEx!$F$23&gt;1),SLN(CapEx!$C$23,CapEx!$G$23,CapEx!$F$23)/12,0)</f>
        <v>0</v>
      </c>
      <c r="AI19" s="295">
        <f>IF(AND(AI$3&gt;=$AC19,AI$3&lt;(CapEx!$F$23*12)+$AC$19,CapEx!$F$23&gt;1),SLN(CapEx!$C$23,CapEx!$G$23,CapEx!$F$23)/12,0)</f>
        <v>0</v>
      </c>
      <c r="AJ19" s="295">
        <f>IF(AND(AJ$3&gt;=$AC19,AJ$3&lt;(CapEx!$F$23*12)+$AC$19,CapEx!$F$23&gt;1),SLN(CapEx!$C$23,CapEx!$G$23,CapEx!$F$23)/12,0)</f>
        <v>0</v>
      </c>
      <c r="AK19" s="295">
        <f>IF(AND(AK$3&gt;=$AC19,AK$3&lt;(CapEx!$F$23*12)+$AC$19,CapEx!$F$23&gt;1),SLN(CapEx!$C$23,CapEx!$G$23,CapEx!$F$23)/12,0)</f>
        <v>0</v>
      </c>
      <c r="AL19" s="295">
        <f>IF(AND(AL$3&gt;=$AC19,AL$3&lt;(CapEx!$F$23*12)+$AC$19,CapEx!$F$23&gt;1),SLN(CapEx!$C$23,CapEx!$G$23,CapEx!$F$23)/12,0)</f>
        <v>0</v>
      </c>
      <c r="AM19" s="295">
        <f>IF(AND(AM$3&gt;=$AC19,AM$3&lt;(CapEx!$F$23*12)+$AC$19,CapEx!$F$23&gt;1),SLN(CapEx!$C$23,CapEx!$G$23,CapEx!$F$23)/12,0)</f>
        <v>0</v>
      </c>
      <c r="AN19" s="295">
        <f>IF(AND(AN$3&gt;=$AC19,AN$3&lt;(CapEx!$F$23*12)+$AC$19,CapEx!$F$23&gt;1),SLN(CapEx!$C$23,CapEx!$G$23,CapEx!$F$23)/12,0)</f>
        <v>0</v>
      </c>
      <c r="AO19" s="295">
        <f>IF(AND(AO$3&gt;=$AC19,AO$3&lt;(CapEx!$F$23*12)+$AC$19,CapEx!$F$23&gt;1),SLN(CapEx!$C$23,CapEx!$G$23,CapEx!$F$23)/12,0)</f>
        <v>0</v>
      </c>
      <c r="AP19" s="295">
        <f>IF(AND(AP$3&gt;=$AC19,AP$3&lt;(CapEx!$F$23*12)+$AC$19,CapEx!$F$23&gt;1),SLN(CapEx!$C$23,CapEx!$G$23,CapEx!$F$23)/12,0)</f>
        <v>0</v>
      </c>
      <c r="AQ19" s="295">
        <f>IF(AND(AQ$3&gt;=$AC19,AQ$3&lt;(CapEx!$F$23*12)+$AC$19,CapEx!$F$23&gt;1),SLN(CapEx!$C$23,CapEx!$G$23,CapEx!$F$23)/12,0)</f>
        <v>0</v>
      </c>
      <c r="AR19" s="295">
        <f>IF(AND(AR$3&gt;=$AC19,AR$3&lt;(CapEx!$F$23*12)+$AC$19,CapEx!$F$23&gt;1),SLN(CapEx!$C$23,CapEx!$G$23,CapEx!$F$23)/12,0)</f>
        <v>0</v>
      </c>
      <c r="AS19" s="295">
        <f>IF(AND(AS$3&gt;=$AC19,AS$3&lt;(CapEx!$F$23*12)+$AC$19,CapEx!$F$23&gt;1),SLN(CapEx!$C$23,CapEx!$G$23,CapEx!$F$23)/12,0)</f>
        <v>0</v>
      </c>
      <c r="AT19" s="295">
        <f>IF(AND(AT$3&gt;=$AC19,AT$3&lt;(CapEx!$F$23*12)+$AC$19,CapEx!$F$23&gt;1),SLN(CapEx!$C$23,CapEx!$G$23,CapEx!$F$23)/12,0)</f>
        <v>0</v>
      </c>
      <c r="AU19" s="295">
        <f>IF(AND(AU$3&gt;=$AC19,AU$3&lt;(CapEx!$F$23*12)+$AC$19,CapEx!$F$23&gt;1),SLN(CapEx!$C$23,CapEx!$G$23,CapEx!$F$23)/12,0)</f>
        <v>0</v>
      </c>
      <c r="AV19" s="295">
        <f>IF(AND(AV$3&gt;=$AC19,AV$3&lt;(CapEx!$F$23*12)+$AC$19,CapEx!$F$23&gt;1),SLN(CapEx!$C$23,CapEx!$G$23,CapEx!$F$23)/12,0)</f>
        <v>0</v>
      </c>
      <c r="AW19" s="295">
        <f>IF(AND(AW$3&gt;=$AC19,AW$3&lt;(CapEx!$F$23*12)+$AC$19,CapEx!$F$23&gt;1),SLN(CapEx!$C$23,CapEx!$G$23,CapEx!$F$23)/12,0)</f>
        <v>0</v>
      </c>
      <c r="AX19" s="295">
        <f>IF(AND(AX$3&gt;=$AC19,AX$3&lt;(CapEx!$F$23*12)+$AC$19,CapEx!$F$23&gt;1),SLN(CapEx!$C$23,CapEx!$G$23,CapEx!$F$23)/12,0)</f>
        <v>0</v>
      </c>
      <c r="AY19" s="295">
        <f>IF(AND(AY$3&gt;=$AC19,AY$3&lt;(CapEx!$F$23*12)+$AC$19,CapEx!$F$23&gt;1),SLN(CapEx!$C$23,CapEx!$G$23,CapEx!$F$23)/12,0)</f>
        <v>0</v>
      </c>
      <c r="AZ19" s="295">
        <f>IF(AND(AZ$3&gt;=$AC19,AZ$3&lt;(CapEx!$F$23*12)+$AC$19,CapEx!$F$23&gt;1),SLN(CapEx!$C$23,CapEx!$G$23,CapEx!$F$23)/12,0)</f>
        <v>0</v>
      </c>
      <c r="BA19" s="295">
        <f>IF(AND(BA$3&gt;=$AC19,BA$3&lt;(CapEx!$F$23*12)+$AC$19,CapEx!$F$23&gt;1),SLN(CapEx!$C$23,CapEx!$G$23,CapEx!$F$23)/12,0)</f>
        <v>0</v>
      </c>
      <c r="BB19" s="295">
        <f>IF(AND(BB$3&gt;=$AC19,BB$3&lt;(CapEx!$F$23*12)+$AC$19,CapEx!$F$23&gt;1),SLN(CapEx!$C$23,CapEx!$G$23,CapEx!$F$23)/12,0)</f>
        <v>0</v>
      </c>
      <c r="BC19" s="295">
        <f>IF(AND(BC$3&gt;=$AC19,BC$3&lt;(CapEx!$F$23*12)+$AC$19,CapEx!$F$23&gt;1),SLN(CapEx!$C$23,CapEx!$G$23,CapEx!$F$23)/12,0)</f>
        <v>0</v>
      </c>
      <c r="BD19" s="295">
        <f>IF(AND(BD$3&gt;=$AC19,BD$3&lt;(CapEx!$F$23*12)+$AC$19,CapEx!$F$23&gt;1),SLN(CapEx!$C$23,CapEx!$G$23,CapEx!$F$23)/12,0)</f>
        <v>0</v>
      </c>
      <c r="BE19" s="295">
        <f>IF(AND(BE$3&gt;=$AC19,BE$3&lt;(CapEx!$F$23*12)+$AC$19,CapEx!$F$23&gt;1),SLN(CapEx!$C$23,CapEx!$G$23,CapEx!$F$23)/12,0)</f>
        <v>0</v>
      </c>
      <c r="BF19" s="295">
        <f>IF(AND(BF$3&gt;=$AC19,BF$3&lt;(CapEx!$F$23*12)+$AC$19,CapEx!$F$23&gt;1),SLN(CapEx!$C$23,CapEx!$G$23,CapEx!$F$23)/12,0)</f>
        <v>0</v>
      </c>
      <c r="BG19" s="295">
        <f>IF(AND(BG$3&gt;=$AC19,BG$3&lt;(CapEx!$F$23*12)+$AC$19,CapEx!$F$23&gt;1),SLN(CapEx!$C$23,CapEx!$G$23,CapEx!$F$23)/12,0)</f>
        <v>0</v>
      </c>
      <c r="BH19" s="295">
        <f>IF(AND(BH$3&gt;=$AC19,BH$3&lt;(CapEx!$F$23*12)+$AC$19,CapEx!$F$23&gt;1),SLN(CapEx!$C$23,CapEx!$G$23,CapEx!$F$23)/12,0)</f>
        <v>0</v>
      </c>
      <c r="BI19" s="295">
        <f>IF(AND(BI$3&gt;=$AC19,BI$3&lt;(CapEx!$F$23*12)+$AC$19,CapEx!$F$23&gt;1),SLN(CapEx!$C$23,CapEx!$G$23,CapEx!$F$23)/12,0)</f>
        <v>0</v>
      </c>
      <c r="BJ19" s="295">
        <f>IF(AND(BJ$3&gt;=$AC19,BJ$3&lt;(CapEx!$F$23*12)+$AC$19,CapEx!$F$23&gt;1),SLN(CapEx!$C$23,CapEx!$G$23,CapEx!$F$23)/12,0)</f>
        <v>0</v>
      </c>
      <c r="BK19" s="295">
        <f>IF(AND(BK$3&gt;=$AC19,BK$3&lt;(CapEx!$F$23*12)+$AC$19,CapEx!$F$23&gt;1),SLN(CapEx!$C$23,CapEx!$G$23,CapEx!$F$23)/12,0)</f>
        <v>0</v>
      </c>
      <c r="BL19" s="295">
        <f>IF(AND(BL$3&gt;=$AC19,BL$3&lt;(CapEx!$F$23*12)+$AC$19,CapEx!$F$23&gt;1),SLN(CapEx!$C$23,CapEx!$G$23,CapEx!$F$23)/12,0)</f>
        <v>0</v>
      </c>
      <c r="BM19" s="295">
        <f>IF(AND(BM$3&gt;=$AC19,BM$3&lt;(CapEx!$F$23*12)+$AC$19,CapEx!$F$23&gt;1),SLN(CapEx!$C$23,CapEx!$G$23,CapEx!$F$23)/12,0)</f>
        <v>0</v>
      </c>
      <c r="BN19" s="295">
        <f>IF(AND(BN$3&gt;=$AC19,BN$3&lt;(CapEx!$F$23*12)+$AC$19,CapEx!$F$23&gt;1),SLN(CapEx!$C$23,CapEx!$G$23,CapEx!$F$23)/12,0)</f>
        <v>0</v>
      </c>
      <c r="BO19" s="295">
        <f>IF(AND(BO$3&gt;=$AC19,BO$3&lt;(CapEx!$F$23*12)+$AC$19,CapEx!$F$23&gt;1),SLN(CapEx!$C$23,CapEx!$G$23,CapEx!$F$23)/12,0)</f>
        <v>0</v>
      </c>
      <c r="BP19" s="295">
        <f>IF(AND(BP$3&gt;=$AC19,BP$3&lt;(CapEx!$F$23*12)+$AC$19,CapEx!$F$23&gt;1),SLN(CapEx!$C$23,CapEx!$G$23,CapEx!$F$23)/12,0)</f>
        <v>0</v>
      </c>
      <c r="BQ19" s="295">
        <f>IF(AND(BQ$3&gt;=$AC19,BQ$3&lt;(CapEx!$F$23*12)+$AC$19,CapEx!$F$23&gt;1),SLN(CapEx!$C$23,CapEx!$G$23,CapEx!$F$23)/12,0)</f>
        <v>0</v>
      </c>
      <c r="BR19" s="295">
        <f>IF(AND(BR$3&gt;=$AC19,BR$3&lt;(CapEx!$F$23*12)+$AC$19,CapEx!$F$23&gt;1),SLN(CapEx!$C$23,CapEx!$G$23,CapEx!$F$23)/12,0)</f>
        <v>0</v>
      </c>
      <c r="BS19" s="295">
        <f>IF(AND(BS$3&gt;=$AC19,BS$3&lt;(CapEx!$F$23*12)+$AC$19,CapEx!$F$23&gt;1),SLN(CapEx!$C$23,CapEx!$G$23,CapEx!$F$23)/12,0)</f>
        <v>0</v>
      </c>
      <c r="BT19" s="295">
        <f>IF(AND(BT$3&gt;=$AC19,BT$3&lt;(CapEx!$F$23*12)+$AC$19,CapEx!$F$23&gt;1),SLN(CapEx!$C$23,CapEx!$G$23,CapEx!$F$23)/12,0)</f>
        <v>0</v>
      </c>
      <c r="BU19" s="295">
        <f>IF(AND(BU$3&gt;=$AC19,BU$3&lt;(CapEx!$F$23*12)+$AC$19,CapEx!$F$23&gt;1),SLN(CapEx!$C$23,CapEx!$G$23,CapEx!$F$23)/12,0)</f>
        <v>0</v>
      </c>
      <c r="BV19" s="295">
        <f>IF(AND(BV$3&gt;=$AC19,BV$3&lt;(CapEx!$F$23*12)+$AC$19,CapEx!$F$23&gt;1),SLN(CapEx!$C$23,CapEx!$G$23,CapEx!$F$23)/12,0)</f>
        <v>0</v>
      </c>
      <c r="BW19" s="295">
        <f>IF(AND(BW$3&gt;=$AC19,BW$3&lt;(CapEx!$F$23*12)+$AC$19,CapEx!$F$23&gt;1),SLN(CapEx!$C$23,CapEx!$G$23,CapEx!$F$23)/12,0)</f>
        <v>0</v>
      </c>
      <c r="BX19" s="295">
        <f>IF(AND(BX$3&gt;=$AC19,BX$3&lt;(CapEx!$F$23*12)+$AC$19,CapEx!$F$23&gt;1),SLN(CapEx!$C$23,CapEx!$G$23,CapEx!$F$23)/12,0)</f>
        <v>0</v>
      </c>
      <c r="BY19" s="295">
        <f>IF(AND(BY$3&gt;=$AC19,BY$3&lt;(CapEx!$F$23*12)+$AC$19,CapEx!$F$23&gt;1),SLN(CapEx!$C$23,CapEx!$G$23,CapEx!$F$23)/12,0)</f>
        <v>0</v>
      </c>
      <c r="BZ19" s="295">
        <f>IF(AND(BZ$3&gt;=$AC19,BZ$3&lt;(CapEx!$F$23*12)+$AC$19,CapEx!$F$23&gt;1),SLN(CapEx!$C$23,CapEx!$G$23,CapEx!$F$23)/12,0)</f>
        <v>0</v>
      </c>
      <c r="CA19" s="295">
        <f>IF(AND(CA$3&gt;=$AC19,CA$3&lt;(CapEx!$F$23*12)+$AC$19,CapEx!$F$23&gt;1),SLN(CapEx!$C$23,CapEx!$G$23,CapEx!$F$23)/12,0)</f>
        <v>0</v>
      </c>
      <c r="CB19" s="295">
        <f>IF(AND(CB$3&gt;=$AC19,CB$3&lt;(CapEx!$F$23*12)+$AC$19,CapEx!$F$23&gt;1),SLN(CapEx!$C$23,CapEx!$G$23,CapEx!$F$23)/12,0)</f>
        <v>0</v>
      </c>
      <c r="CC19" s="295">
        <f>IF(AND(CC$3&gt;=$AC19,CC$3&lt;(CapEx!$F$23*12)+$AC$19,CapEx!$F$23&gt;1),SLN(CapEx!$C$23,CapEx!$G$23,CapEx!$F$23)/12,0)</f>
        <v>0</v>
      </c>
      <c r="CD19" s="295">
        <f>IF(AND(CD$3&gt;=$AC19,CD$3&lt;(CapEx!$F$23*12)+$AC$19,CapEx!$F$23&gt;1),SLN(CapEx!$C$23,CapEx!$G$23,CapEx!$F$23)/12,0)</f>
        <v>0</v>
      </c>
      <c r="CE19" s="295">
        <f>IF(AND(CE$3&gt;=$AC19,CE$3&lt;(CapEx!$F$23*12)+$AC$19,CapEx!$F$23&gt;1),SLN(CapEx!$C$23,CapEx!$G$23,CapEx!$F$23)/12,0)</f>
        <v>0</v>
      </c>
      <c r="CF19" s="295">
        <f>IF(AND(CF$3&gt;=$AC19,CF$3&lt;(CapEx!$F$23*12)+$AC$19,CapEx!$F$23&gt;1),SLN(CapEx!$C$23,CapEx!$G$23,CapEx!$F$23)/12,0)</f>
        <v>0</v>
      </c>
      <c r="CG19" s="295">
        <f>IF(AND(CG$3&gt;=$AC19,CG$3&lt;(CapEx!$F$23*12)+$AC$19,CapEx!$F$23&gt;1),SLN(CapEx!$C$23,CapEx!$G$23,CapEx!$F$23)/12,0)</f>
        <v>0</v>
      </c>
      <c r="CH19" s="295">
        <f>IF(AND(CH$3&gt;=$AC19,CH$3&lt;(CapEx!$F$23*12)+$AC$19,CapEx!$F$23&gt;1),SLN(CapEx!$C$23,CapEx!$G$23,CapEx!$F$23)/12,0)</f>
        <v>0</v>
      </c>
      <c r="CI19" s="295">
        <f>IF(AND(CI$3&gt;=$AC19,CI$3&lt;(CapEx!$F$23*12)+$AC$19,CapEx!$F$23&gt;1),SLN(CapEx!$C$23,CapEx!$G$23,CapEx!$F$23)/12,0)</f>
        <v>0</v>
      </c>
      <c r="CJ19" s="295">
        <f>IF(AND(CJ$3&gt;=$AC19,CJ$3&lt;(CapEx!$F$23*12)+$AC$19,CapEx!$F$23&gt;1),SLN(CapEx!$C$23,CapEx!$G$23,CapEx!$F$23)/12,0)</f>
        <v>0</v>
      </c>
      <c r="CK19" s="295">
        <f>IF(AND(CK$3&gt;=$AC19,CK$3&lt;(CapEx!$F$23*12)+$AC$19,CapEx!$F$23&gt;1),SLN(CapEx!$C$23,CapEx!$G$23,CapEx!$F$23)/12,0)</f>
        <v>0</v>
      </c>
    </row>
    <row r="20" spans="1:89">
      <c r="A20" s="145" t="s">
        <v>192</v>
      </c>
      <c r="Y20" s="79">
        <f>CapEx!F24</f>
        <v>1</v>
      </c>
      <c r="Z20" s="145" t="s">
        <v>245</v>
      </c>
      <c r="AA20" s="297">
        <v>17</v>
      </c>
      <c r="AB20">
        <f>CapEx!C24</f>
        <v>0</v>
      </c>
      <c r="AC20" s="79">
        <f>IF(AB20=0,1,DATEDIF($K$12,DATEVALUE("01-"&amp;CapEx!$D24&amp;"-"&amp;CapEx!$E24),"m")+1)</f>
        <v>1</v>
      </c>
      <c r="AD20" s="295">
        <f>IF(AND(AD$3&gt;=$AC20,AD$3&lt;(CapEx!$F$24*12)+$AC$20,CapEx!$F$24&gt;1),SLN(CapEx!$C$24,CapEx!$G$24,CapEx!$F$24)/12,0)</f>
        <v>0</v>
      </c>
      <c r="AE20" s="295">
        <f>IF(AND(AE$3&gt;=$AC20,AE$3&lt;(CapEx!$F$24*12)+$AC$20,CapEx!$F$24&gt;1),SLN(CapEx!$C$24,CapEx!$G$24,CapEx!$F$24)/12,0)</f>
        <v>0</v>
      </c>
      <c r="AF20" s="295">
        <f>IF(AND(AF$3&gt;=$AC20,AF$3&lt;(CapEx!$F$24*12)+$AC$20,CapEx!$F$24&gt;1),SLN(CapEx!$C$24,CapEx!$G$24,CapEx!$F$24)/12,0)</f>
        <v>0</v>
      </c>
      <c r="AG20" s="295">
        <f>IF(AND(AG$3&gt;=$AC20,AG$3&lt;(CapEx!$F$24*12)+$AC$20,CapEx!$F$24&gt;1),SLN(CapEx!$C$24,CapEx!$G$24,CapEx!$F$24)/12,0)</f>
        <v>0</v>
      </c>
      <c r="AH20" s="295">
        <f>IF(AND(AH$3&gt;=$AC20,AH$3&lt;(CapEx!$F$24*12)+$AC$20,CapEx!$F$24&gt;1),SLN(CapEx!$C$24,CapEx!$G$24,CapEx!$F$24)/12,0)</f>
        <v>0</v>
      </c>
      <c r="AI20" s="295">
        <f>IF(AND(AI$3&gt;=$AC20,AI$3&lt;(CapEx!$F$24*12)+$AC$20,CapEx!$F$24&gt;1),SLN(CapEx!$C$24,CapEx!$G$24,CapEx!$F$24)/12,0)</f>
        <v>0</v>
      </c>
      <c r="AJ20" s="295">
        <f>IF(AND(AJ$3&gt;=$AC20,AJ$3&lt;(CapEx!$F$24*12)+$AC$20,CapEx!$F$24&gt;1),SLN(CapEx!$C$24,CapEx!$G$24,CapEx!$F$24)/12,0)</f>
        <v>0</v>
      </c>
      <c r="AK20" s="295">
        <f>IF(AND(AK$3&gt;=$AC20,AK$3&lt;(CapEx!$F$24*12)+$AC$20,CapEx!$F$24&gt;1),SLN(CapEx!$C$24,CapEx!$G$24,CapEx!$F$24)/12,0)</f>
        <v>0</v>
      </c>
      <c r="AL20" s="295">
        <f>IF(AND(AL$3&gt;=$AC20,AL$3&lt;(CapEx!$F$24*12)+$AC$20,CapEx!$F$24&gt;1),SLN(CapEx!$C$24,CapEx!$G$24,CapEx!$F$24)/12,0)</f>
        <v>0</v>
      </c>
      <c r="AM20" s="295">
        <f>IF(AND(AM$3&gt;=$AC20,AM$3&lt;(CapEx!$F$24*12)+$AC$20,CapEx!$F$24&gt;1),SLN(CapEx!$C$24,CapEx!$G$24,CapEx!$F$24)/12,0)</f>
        <v>0</v>
      </c>
      <c r="AN20" s="295">
        <f>IF(AND(AN$3&gt;=$AC20,AN$3&lt;(CapEx!$F$24*12)+$AC$20,CapEx!$F$24&gt;1),SLN(CapEx!$C$24,CapEx!$G$24,CapEx!$F$24)/12,0)</f>
        <v>0</v>
      </c>
      <c r="AO20" s="295">
        <f>IF(AND(AO$3&gt;=$AC20,AO$3&lt;(CapEx!$F$24*12)+$AC$20,CapEx!$F$24&gt;1),SLN(CapEx!$C$24,CapEx!$G$24,CapEx!$F$24)/12,0)</f>
        <v>0</v>
      </c>
      <c r="AP20" s="295">
        <f>IF(AND(AP$3&gt;=$AC20,AP$3&lt;(CapEx!$F$24*12)+$AC$20,CapEx!$F$24&gt;1),SLN(CapEx!$C$24,CapEx!$G$24,CapEx!$F$24)/12,0)</f>
        <v>0</v>
      </c>
      <c r="AQ20" s="295">
        <f>IF(AND(AQ$3&gt;=$AC20,AQ$3&lt;(CapEx!$F$24*12)+$AC$20,CapEx!$F$24&gt;1),SLN(CapEx!$C$24,CapEx!$G$24,CapEx!$F$24)/12,0)</f>
        <v>0</v>
      </c>
      <c r="AR20" s="295">
        <f>IF(AND(AR$3&gt;=$AC20,AR$3&lt;(CapEx!$F$24*12)+$AC$20,CapEx!$F$24&gt;1),SLN(CapEx!$C$24,CapEx!$G$24,CapEx!$F$24)/12,0)</f>
        <v>0</v>
      </c>
      <c r="AS20" s="295">
        <f>IF(AND(AS$3&gt;=$AC20,AS$3&lt;(CapEx!$F$24*12)+$AC$20,CapEx!$F$24&gt;1),SLN(CapEx!$C$24,CapEx!$G$24,CapEx!$F$24)/12,0)</f>
        <v>0</v>
      </c>
      <c r="AT20" s="295">
        <f>IF(AND(AT$3&gt;=$AC20,AT$3&lt;(CapEx!$F$24*12)+$AC$20,CapEx!$F$24&gt;1),SLN(CapEx!$C$24,CapEx!$G$24,CapEx!$F$24)/12,0)</f>
        <v>0</v>
      </c>
      <c r="AU20" s="295">
        <f>IF(AND(AU$3&gt;=$AC20,AU$3&lt;(CapEx!$F$24*12)+$AC$20,CapEx!$F$24&gt;1),SLN(CapEx!$C$24,CapEx!$G$24,CapEx!$F$24)/12,0)</f>
        <v>0</v>
      </c>
      <c r="AV20" s="295">
        <f>IF(AND(AV$3&gt;=$AC20,AV$3&lt;(CapEx!$F$24*12)+$AC$20,CapEx!$F$24&gt;1),SLN(CapEx!$C$24,CapEx!$G$24,CapEx!$F$24)/12,0)</f>
        <v>0</v>
      </c>
      <c r="AW20" s="295">
        <f>IF(AND(AW$3&gt;=$AC20,AW$3&lt;(CapEx!$F$24*12)+$AC$20,CapEx!$F$24&gt;1),SLN(CapEx!$C$24,CapEx!$G$24,CapEx!$F$24)/12,0)</f>
        <v>0</v>
      </c>
      <c r="AX20" s="295">
        <f>IF(AND(AX$3&gt;=$AC20,AX$3&lt;(CapEx!$F$24*12)+$AC$20,CapEx!$F$24&gt;1),SLN(CapEx!$C$24,CapEx!$G$24,CapEx!$F$24)/12,0)</f>
        <v>0</v>
      </c>
      <c r="AY20" s="295">
        <f>IF(AND(AY$3&gt;=$AC20,AY$3&lt;(CapEx!$F$24*12)+$AC$20,CapEx!$F$24&gt;1),SLN(CapEx!$C$24,CapEx!$G$24,CapEx!$F$24)/12,0)</f>
        <v>0</v>
      </c>
      <c r="AZ20" s="295">
        <f>IF(AND(AZ$3&gt;=$AC20,AZ$3&lt;(CapEx!$F$24*12)+$AC$20,CapEx!$F$24&gt;1),SLN(CapEx!$C$24,CapEx!$G$24,CapEx!$F$24)/12,0)</f>
        <v>0</v>
      </c>
      <c r="BA20" s="295">
        <f>IF(AND(BA$3&gt;=$AC20,BA$3&lt;(CapEx!$F$24*12)+$AC$20,CapEx!$F$24&gt;1),SLN(CapEx!$C$24,CapEx!$G$24,CapEx!$F$24)/12,0)</f>
        <v>0</v>
      </c>
      <c r="BB20" s="295">
        <f>IF(AND(BB$3&gt;=$AC20,BB$3&lt;(CapEx!$F$24*12)+$AC$20,CapEx!$F$24&gt;1),SLN(CapEx!$C$24,CapEx!$G$24,CapEx!$F$24)/12,0)</f>
        <v>0</v>
      </c>
      <c r="BC20" s="295">
        <f>IF(AND(BC$3&gt;=$AC20,BC$3&lt;(CapEx!$F$24*12)+$AC$20,CapEx!$F$24&gt;1),SLN(CapEx!$C$24,CapEx!$G$24,CapEx!$F$24)/12,0)</f>
        <v>0</v>
      </c>
      <c r="BD20" s="295">
        <f>IF(AND(BD$3&gt;=$AC20,BD$3&lt;(CapEx!$F$24*12)+$AC$20,CapEx!$F$24&gt;1),SLN(CapEx!$C$24,CapEx!$G$24,CapEx!$F$24)/12,0)</f>
        <v>0</v>
      </c>
      <c r="BE20" s="295">
        <f>IF(AND(BE$3&gt;=$AC20,BE$3&lt;(CapEx!$F$24*12)+$AC$20,CapEx!$F$24&gt;1),SLN(CapEx!$C$24,CapEx!$G$24,CapEx!$F$24)/12,0)</f>
        <v>0</v>
      </c>
      <c r="BF20" s="295">
        <f>IF(AND(BF$3&gt;=$AC20,BF$3&lt;(CapEx!$F$24*12)+$AC$20,CapEx!$F$24&gt;1),SLN(CapEx!$C$24,CapEx!$G$24,CapEx!$F$24)/12,0)</f>
        <v>0</v>
      </c>
      <c r="BG20" s="295">
        <f>IF(AND(BG$3&gt;=$AC20,BG$3&lt;(CapEx!$F$24*12)+$AC$20,CapEx!$F$24&gt;1),SLN(CapEx!$C$24,CapEx!$G$24,CapEx!$F$24)/12,0)</f>
        <v>0</v>
      </c>
      <c r="BH20" s="295">
        <f>IF(AND(BH$3&gt;=$AC20,BH$3&lt;(CapEx!$F$24*12)+$AC$20,CapEx!$F$24&gt;1),SLN(CapEx!$C$24,CapEx!$G$24,CapEx!$F$24)/12,0)</f>
        <v>0</v>
      </c>
      <c r="BI20" s="295">
        <f>IF(AND(BI$3&gt;=$AC20,BI$3&lt;(CapEx!$F$24*12)+$AC$20,CapEx!$F$24&gt;1),SLN(CapEx!$C$24,CapEx!$G$24,CapEx!$F$24)/12,0)</f>
        <v>0</v>
      </c>
      <c r="BJ20" s="295">
        <f>IF(AND(BJ$3&gt;=$AC20,BJ$3&lt;(CapEx!$F$24*12)+$AC$20,CapEx!$F$24&gt;1),SLN(CapEx!$C$24,CapEx!$G$24,CapEx!$F$24)/12,0)</f>
        <v>0</v>
      </c>
      <c r="BK20" s="295">
        <f>IF(AND(BK$3&gt;=$AC20,BK$3&lt;(CapEx!$F$24*12)+$AC$20,CapEx!$F$24&gt;1),SLN(CapEx!$C$24,CapEx!$G$24,CapEx!$F$24)/12,0)</f>
        <v>0</v>
      </c>
      <c r="BL20" s="295">
        <f>IF(AND(BL$3&gt;=$AC20,BL$3&lt;(CapEx!$F$24*12)+$AC$20,CapEx!$F$24&gt;1),SLN(CapEx!$C$24,CapEx!$G$24,CapEx!$F$24)/12,0)</f>
        <v>0</v>
      </c>
      <c r="BM20" s="295">
        <f>IF(AND(BM$3&gt;=$AC20,BM$3&lt;(CapEx!$F$24*12)+$AC$20,CapEx!$F$24&gt;1),SLN(CapEx!$C$24,CapEx!$G$24,CapEx!$F$24)/12,0)</f>
        <v>0</v>
      </c>
      <c r="BN20" s="295">
        <f>IF(AND(BN$3&gt;=$AC20,BN$3&lt;(CapEx!$F$24*12)+$AC$20,CapEx!$F$24&gt;1),SLN(CapEx!$C$24,CapEx!$G$24,CapEx!$F$24)/12,0)</f>
        <v>0</v>
      </c>
      <c r="BO20" s="295">
        <f>IF(AND(BO$3&gt;=$AC20,BO$3&lt;(CapEx!$F$24*12)+$AC$20,CapEx!$F$24&gt;1),SLN(CapEx!$C$24,CapEx!$G$24,CapEx!$F$24)/12,0)</f>
        <v>0</v>
      </c>
      <c r="BP20" s="295">
        <f>IF(AND(BP$3&gt;=$AC20,BP$3&lt;(CapEx!$F$24*12)+$AC$20,CapEx!$F$24&gt;1),SLN(CapEx!$C$24,CapEx!$G$24,CapEx!$F$24)/12,0)</f>
        <v>0</v>
      </c>
      <c r="BQ20" s="295">
        <f>IF(AND(BQ$3&gt;=$AC20,BQ$3&lt;(CapEx!$F$24*12)+$AC$20,CapEx!$F$24&gt;1),SLN(CapEx!$C$24,CapEx!$G$24,CapEx!$F$24)/12,0)</f>
        <v>0</v>
      </c>
      <c r="BR20" s="295">
        <f>IF(AND(BR$3&gt;=$AC20,BR$3&lt;(CapEx!$F$24*12)+$AC$20,CapEx!$F$24&gt;1),SLN(CapEx!$C$24,CapEx!$G$24,CapEx!$F$24)/12,0)</f>
        <v>0</v>
      </c>
      <c r="BS20" s="295">
        <f>IF(AND(BS$3&gt;=$AC20,BS$3&lt;(CapEx!$F$24*12)+$AC$20,CapEx!$F$24&gt;1),SLN(CapEx!$C$24,CapEx!$G$24,CapEx!$F$24)/12,0)</f>
        <v>0</v>
      </c>
      <c r="BT20" s="295">
        <f>IF(AND(BT$3&gt;=$AC20,BT$3&lt;(CapEx!$F$24*12)+$AC$20,CapEx!$F$24&gt;1),SLN(CapEx!$C$24,CapEx!$G$24,CapEx!$F$24)/12,0)</f>
        <v>0</v>
      </c>
      <c r="BU20" s="295">
        <f>IF(AND(BU$3&gt;=$AC20,BU$3&lt;(CapEx!$F$24*12)+$AC$20,CapEx!$F$24&gt;1),SLN(CapEx!$C$24,CapEx!$G$24,CapEx!$F$24)/12,0)</f>
        <v>0</v>
      </c>
      <c r="BV20" s="295">
        <f>IF(AND(BV$3&gt;=$AC20,BV$3&lt;(CapEx!$F$24*12)+$AC$20,CapEx!$F$24&gt;1),SLN(CapEx!$C$24,CapEx!$G$24,CapEx!$F$24)/12,0)</f>
        <v>0</v>
      </c>
      <c r="BW20" s="295">
        <f>IF(AND(BW$3&gt;=$AC20,BW$3&lt;(CapEx!$F$24*12)+$AC$20,CapEx!$F$24&gt;1),SLN(CapEx!$C$24,CapEx!$G$24,CapEx!$F$24)/12,0)</f>
        <v>0</v>
      </c>
      <c r="BX20" s="295">
        <f>IF(AND(BX$3&gt;=$AC20,BX$3&lt;(CapEx!$F$24*12)+$AC$20,CapEx!$F$24&gt;1),SLN(CapEx!$C$24,CapEx!$G$24,CapEx!$F$24)/12,0)</f>
        <v>0</v>
      </c>
      <c r="BY20" s="295">
        <f>IF(AND(BY$3&gt;=$AC20,BY$3&lt;(CapEx!$F$24*12)+$AC$20,CapEx!$F$24&gt;1),SLN(CapEx!$C$24,CapEx!$G$24,CapEx!$F$24)/12,0)</f>
        <v>0</v>
      </c>
      <c r="BZ20" s="295">
        <f>IF(AND(BZ$3&gt;=$AC20,BZ$3&lt;(CapEx!$F$24*12)+$AC$20,CapEx!$F$24&gt;1),SLN(CapEx!$C$24,CapEx!$G$24,CapEx!$F$24)/12,0)</f>
        <v>0</v>
      </c>
      <c r="CA20" s="295">
        <f>IF(AND(CA$3&gt;=$AC20,CA$3&lt;(CapEx!$F$24*12)+$AC$20,CapEx!$F$24&gt;1),SLN(CapEx!$C$24,CapEx!$G$24,CapEx!$F$24)/12,0)</f>
        <v>0</v>
      </c>
      <c r="CB20" s="295">
        <f>IF(AND(CB$3&gt;=$AC20,CB$3&lt;(CapEx!$F$24*12)+$AC$20,CapEx!$F$24&gt;1),SLN(CapEx!$C$24,CapEx!$G$24,CapEx!$F$24)/12,0)</f>
        <v>0</v>
      </c>
      <c r="CC20" s="295">
        <f>IF(AND(CC$3&gt;=$AC20,CC$3&lt;(CapEx!$F$24*12)+$AC$20,CapEx!$F$24&gt;1),SLN(CapEx!$C$24,CapEx!$G$24,CapEx!$F$24)/12,0)</f>
        <v>0</v>
      </c>
      <c r="CD20" s="295">
        <f>IF(AND(CD$3&gt;=$AC20,CD$3&lt;(CapEx!$F$24*12)+$AC$20,CapEx!$F$24&gt;1),SLN(CapEx!$C$24,CapEx!$G$24,CapEx!$F$24)/12,0)</f>
        <v>0</v>
      </c>
      <c r="CE20" s="295">
        <f>IF(AND(CE$3&gt;=$AC20,CE$3&lt;(CapEx!$F$24*12)+$AC$20,CapEx!$F$24&gt;1),SLN(CapEx!$C$24,CapEx!$G$24,CapEx!$F$24)/12,0)</f>
        <v>0</v>
      </c>
      <c r="CF20" s="295">
        <f>IF(AND(CF$3&gt;=$AC20,CF$3&lt;(CapEx!$F$24*12)+$AC$20,CapEx!$F$24&gt;1),SLN(CapEx!$C$24,CapEx!$G$24,CapEx!$F$24)/12,0)</f>
        <v>0</v>
      </c>
      <c r="CG20" s="295">
        <f>IF(AND(CG$3&gt;=$AC20,CG$3&lt;(CapEx!$F$24*12)+$AC$20,CapEx!$F$24&gt;1),SLN(CapEx!$C$24,CapEx!$G$24,CapEx!$F$24)/12,0)</f>
        <v>0</v>
      </c>
      <c r="CH20" s="295">
        <f>IF(AND(CH$3&gt;=$AC20,CH$3&lt;(CapEx!$F$24*12)+$AC$20,CapEx!$F$24&gt;1),SLN(CapEx!$C$24,CapEx!$G$24,CapEx!$F$24)/12,0)</f>
        <v>0</v>
      </c>
      <c r="CI20" s="295">
        <f>IF(AND(CI$3&gt;=$AC20,CI$3&lt;(CapEx!$F$24*12)+$AC$20,CapEx!$F$24&gt;1),SLN(CapEx!$C$24,CapEx!$G$24,CapEx!$F$24)/12,0)</f>
        <v>0</v>
      </c>
      <c r="CJ20" s="295">
        <f>IF(AND(CJ$3&gt;=$AC20,CJ$3&lt;(CapEx!$F$24*12)+$AC$20,CapEx!$F$24&gt;1),SLN(CapEx!$C$24,CapEx!$G$24,CapEx!$F$24)/12,0)</f>
        <v>0</v>
      </c>
      <c r="CK20" s="295">
        <f>IF(AND(CK$3&gt;=$AC20,CK$3&lt;(CapEx!$F$24*12)+$AC$20,CapEx!$F$24&gt;1),SLN(CapEx!$C$24,CapEx!$G$24,CapEx!$F$24)/12,0)</f>
        <v>0</v>
      </c>
    </row>
    <row r="21" spans="1:89">
      <c r="A21" s="145" t="s">
        <v>193</v>
      </c>
      <c r="D21" s="71" t="s">
        <v>285</v>
      </c>
      <c r="Y21" s="79">
        <f>CapEx!F25</f>
        <v>1</v>
      </c>
      <c r="Z21" s="145" t="s">
        <v>245</v>
      </c>
      <c r="AA21" s="297">
        <v>18</v>
      </c>
      <c r="AB21">
        <f>CapEx!C25</f>
        <v>0</v>
      </c>
      <c r="AC21" s="79">
        <f>IF(AB21=0,1,DATEDIF($K$12,DATEVALUE("01-"&amp;CapEx!$D25&amp;"-"&amp;CapEx!$E25),"m")+1)</f>
        <v>1</v>
      </c>
      <c r="AD21" s="295">
        <f>IF(AND(AD$3&gt;=$AC21,AD$3&lt;(CapEx!$F$25*12)+$AC$21,CapEx!$F$25&gt;1),SLN(CapEx!$C$25,CapEx!$G$25,CapEx!$F$25)/12,0)</f>
        <v>0</v>
      </c>
      <c r="AE21" s="295">
        <f>IF(AND(AE$3&gt;=$AC21,AE$3&lt;(CapEx!$F$25*12)+$AC$21,CapEx!$F$25&gt;1),SLN(CapEx!$C$25,CapEx!$G$25,CapEx!$F$25)/12,0)</f>
        <v>0</v>
      </c>
      <c r="AF21" s="295">
        <f>IF(AND(AF$3&gt;=$AC21,AF$3&lt;(CapEx!$F$25*12)+$AC$21,CapEx!$F$25&gt;1),SLN(CapEx!$C$25,CapEx!$G$25,CapEx!$F$25)/12,0)</f>
        <v>0</v>
      </c>
      <c r="AG21" s="295">
        <f>IF(AND(AG$3&gt;=$AC21,AG$3&lt;(CapEx!$F$25*12)+$AC$21,CapEx!$F$25&gt;1),SLN(CapEx!$C$25,CapEx!$G$25,CapEx!$F$25)/12,0)</f>
        <v>0</v>
      </c>
      <c r="AH21" s="295">
        <f>IF(AND(AH$3&gt;=$AC21,AH$3&lt;(CapEx!$F$25*12)+$AC$21,CapEx!$F$25&gt;1),SLN(CapEx!$C$25,CapEx!$G$25,CapEx!$F$25)/12,0)</f>
        <v>0</v>
      </c>
      <c r="AI21" s="295">
        <f>IF(AND(AI$3&gt;=$AC21,AI$3&lt;(CapEx!$F$25*12)+$AC$21,CapEx!$F$25&gt;1),SLN(CapEx!$C$25,CapEx!$G$25,CapEx!$F$25)/12,0)</f>
        <v>0</v>
      </c>
      <c r="AJ21" s="295">
        <f>IF(AND(AJ$3&gt;=$AC21,AJ$3&lt;(CapEx!$F$25*12)+$AC$21,CapEx!$F$25&gt;1),SLN(CapEx!$C$25,CapEx!$G$25,CapEx!$F$25)/12,0)</f>
        <v>0</v>
      </c>
      <c r="AK21" s="295">
        <f>IF(AND(AK$3&gt;=$AC21,AK$3&lt;(CapEx!$F$25*12)+$AC$21,CapEx!$F$25&gt;1),SLN(CapEx!$C$25,CapEx!$G$25,CapEx!$F$25)/12,0)</f>
        <v>0</v>
      </c>
      <c r="AL21" s="295">
        <f>IF(AND(AL$3&gt;=$AC21,AL$3&lt;(CapEx!$F$25*12)+$AC$21,CapEx!$F$25&gt;1),SLN(CapEx!$C$25,CapEx!$G$25,CapEx!$F$25)/12,0)</f>
        <v>0</v>
      </c>
      <c r="AM21" s="295">
        <f>IF(AND(AM$3&gt;=$AC21,AM$3&lt;(CapEx!$F$25*12)+$AC$21,CapEx!$F$25&gt;1),SLN(CapEx!$C$25,CapEx!$G$25,CapEx!$F$25)/12,0)</f>
        <v>0</v>
      </c>
      <c r="AN21" s="295">
        <f>IF(AND(AN$3&gt;=$AC21,AN$3&lt;(CapEx!$F$25*12)+$AC$21,CapEx!$F$25&gt;1),SLN(CapEx!$C$25,CapEx!$G$25,CapEx!$F$25)/12,0)</f>
        <v>0</v>
      </c>
      <c r="AO21" s="295">
        <f>IF(AND(AO$3&gt;=$AC21,AO$3&lt;(CapEx!$F$25*12)+$AC$21,CapEx!$F$25&gt;1),SLN(CapEx!$C$25,CapEx!$G$25,CapEx!$F$25)/12,0)</f>
        <v>0</v>
      </c>
      <c r="AP21" s="295">
        <f>IF(AND(AP$3&gt;=$AC21,AP$3&lt;(CapEx!$F$25*12)+$AC$21,CapEx!$F$25&gt;1),SLN(CapEx!$C$25,CapEx!$G$25,CapEx!$F$25)/12,0)</f>
        <v>0</v>
      </c>
      <c r="AQ21" s="295">
        <f>IF(AND(AQ$3&gt;=$AC21,AQ$3&lt;(CapEx!$F$25*12)+$AC$21,CapEx!$F$25&gt;1),SLN(CapEx!$C$25,CapEx!$G$25,CapEx!$F$25)/12,0)</f>
        <v>0</v>
      </c>
      <c r="AR21" s="295">
        <f>IF(AND(AR$3&gt;=$AC21,AR$3&lt;(CapEx!$F$25*12)+$AC$21,CapEx!$F$25&gt;1),SLN(CapEx!$C$25,CapEx!$G$25,CapEx!$F$25)/12,0)</f>
        <v>0</v>
      </c>
      <c r="AS21" s="295">
        <f>IF(AND(AS$3&gt;=$AC21,AS$3&lt;(CapEx!$F$25*12)+$AC$21,CapEx!$F$25&gt;1),SLN(CapEx!$C$25,CapEx!$G$25,CapEx!$F$25)/12,0)</f>
        <v>0</v>
      </c>
      <c r="AT21" s="295">
        <f>IF(AND(AT$3&gt;=$AC21,AT$3&lt;(CapEx!$F$25*12)+$AC$21,CapEx!$F$25&gt;1),SLN(CapEx!$C$25,CapEx!$G$25,CapEx!$F$25)/12,0)</f>
        <v>0</v>
      </c>
      <c r="AU21" s="295">
        <f>IF(AND(AU$3&gt;=$AC21,AU$3&lt;(CapEx!$F$25*12)+$AC$21,CapEx!$F$25&gt;1),SLN(CapEx!$C$25,CapEx!$G$25,CapEx!$F$25)/12,0)</f>
        <v>0</v>
      </c>
      <c r="AV21" s="295">
        <f>IF(AND(AV$3&gt;=$AC21,AV$3&lt;(CapEx!$F$25*12)+$AC$21,CapEx!$F$25&gt;1),SLN(CapEx!$C$25,CapEx!$G$25,CapEx!$F$25)/12,0)</f>
        <v>0</v>
      </c>
      <c r="AW21" s="295">
        <f>IF(AND(AW$3&gt;=$AC21,AW$3&lt;(CapEx!$F$25*12)+$AC$21,CapEx!$F$25&gt;1),SLN(CapEx!$C$25,CapEx!$G$25,CapEx!$F$25)/12,0)</f>
        <v>0</v>
      </c>
      <c r="AX21" s="295">
        <f>IF(AND(AX$3&gt;=$AC21,AX$3&lt;(CapEx!$F$25*12)+$AC$21,CapEx!$F$25&gt;1),SLN(CapEx!$C$25,CapEx!$G$25,CapEx!$F$25)/12,0)</f>
        <v>0</v>
      </c>
      <c r="AY21" s="295">
        <f>IF(AND(AY$3&gt;=$AC21,AY$3&lt;(CapEx!$F$25*12)+$AC$21,CapEx!$F$25&gt;1),SLN(CapEx!$C$25,CapEx!$G$25,CapEx!$F$25)/12,0)</f>
        <v>0</v>
      </c>
      <c r="AZ21" s="295">
        <f>IF(AND(AZ$3&gt;=$AC21,AZ$3&lt;(CapEx!$F$25*12)+$AC$21,CapEx!$F$25&gt;1),SLN(CapEx!$C$25,CapEx!$G$25,CapEx!$F$25)/12,0)</f>
        <v>0</v>
      </c>
      <c r="BA21" s="295">
        <f>IF(AND(BA$3&gt;=$AC21,BA$3&lt;(CapEx!$F$25*12)+$AC$21,CapEx!$F$25&gt;1),SLN(CapEx!$C$25,CapEx!$G$25,CapEx!$F$25)/12,0)</f>
        <v>0</v>
      </c>
      <c r="BB21" s="295">
        <f>IF(AND(BB$3&gt;=$AC21,BB$3&lt;(CapEx!$F$25*12)+$AC$21,CapEx!$F$25&gt;1),SLN(CapEx!$C$25,CapEx!$G$25,CapEx!$F$25)/12,0)</f>
        <v>0</v>
      </c>
      <c r="BC21" s="295">
        <f>IF(AND(BC$3&gt;=$AC21,BC$3&lt;(CapEx!$F$25*12)+$AC$21,CapEx!$F$25&gt;1),SLN(CapEx!$C$25,CapEx!$G$25,CapEx!$F$25)/12,0)</f>
        <v>0</v>
      </c>
      <c r="BD21" s="295">
        <f>IF(AND(BD$3&gt;=$AC21,BD$3&lt;(CapEx!$F$25*12)+$AC$21,CapEx!$F$25&gt;1),SLN(CapEx!$C$25,CapEx!$G$25,CapEx!$F$25)/12,0)</f>
        <v>0</v>
      </c>
      <c r="BE21" s="295">
        <f>IF(AND(BE$3&gt;=$AC21,BE$3&lt;(CapEx!$F$25*12)+$AC$21,CapEx!$F$25&gt;1),SLN(CapEx!$C$25,CapEx!$G$25,CapEx!$F$25)/12,0)</f>
        <v>0</v>
      </c>
      <c r="BF21" s="295">
        <f>IF(AND(BF$3&gt;=$AC21,BF$3&lt;(CapEx!$F$25*12)+$AC$21,CapEx!$F$25&gt;1),SLN(CapEx!$C$25,CapEx!$G$25,CapEx!$F$25)/12,0)</f>
        <v>0</v>
      </c>
      <c r="BG21" s="295">
        <f>IF(AND(BG$3&gt;=$AC21,BG$3&lt;(CapEx!$F$25*12)+$AC$21,CapEx!$F$25&gt;1),SLN(CapEx!$C$25,CapEx!$G$25,CapEx!$F$25)/12,0)</f>
        <v>0</v>
      </c>
      <c r="BH21" s="295">
        <f>IF(AND(BH$3&gt;=$AC21,BH$3&lt;(CapEx!$F$25*12)+$AC$21,CapEx!$F$25&gt;1),SLN(CapEx!$C$25,CapEx!$G$25,CapEx!$F$25)/12,0)</f>
        <v>0</v>
      </c>
      <c r="BI21" s="295">
        <f>IF(AND(BI$3&gt;=$AC21,BI$3&lt;(CapEx!$F$25*12)+$AC$21,CapEx!$F$25&gt;1),SLN(CapEx!$C$25,CapEx!$G$25,CapEx!$F$25)/12,0)</f>
        <v>0</v>
      </c>
      <c r="BJ21" s="295">
        <f>IF(AND(BJ$3&gt;=$AC21,BJ$3&lt;(CapEx!$F$25*12)+$AC$21,CapEx!$F$25&gt;1),SLN(CapEx!$C$25,CapEx!$G$25,CapEx!$F$25)/12,0)</f>
        <v>0</v>
      </c>
      <c r="BK21" s="295">
        <f>IF(AND(BK$3&gt;=$AC21,BK$3&lt;(CapEx!$F$25*12)+$AC$21,CapEx!$F$25&gt;1),SLN(CapEx!$C$25,CapEx!$G$25,CapEx!$F$25)/12,0)</f>
        <v>0</v>
      </c>
      <c r="BL21" s="295">
        <f>IF(AND(BL$3&gt;=$AC21,BL$3&lt;(CapEx!$F$25*12)+$AC$21,CapEx!$F$25&gt;1),SLN(CapEx!$C$25,CapEx!$G$25,CapEx!$F$25)/12,0)</f>
        <v>0</v>
      </c>
      <c r="BM21" s="295">
        <f>IF(AND(BM$3&gt;=$AC21,BM$3&lt;(CapEx!$F$25*12)+$AC$21,CapEx!$F$25&gt;1),SLN(CapEx!$C$25,CapEx!$G$25,CapEx!$F$25)/12,0)</f>
        <v>0</v>
      </c>
      <c r="BN21" s="295">
        <f>IF(AND(BN$3&gt;=$AC21,BN$3&lt;(CapEx!$F$25*12)+$AC$21,CapEx!$F$25&gt;1),SLN(CapEx!$C$25,CapEx!$G$25,CapEx!$F$25)/12,0)</f>
        <v>0</v>
      </c>
      <c r="BO21" s="295">
        <f>IF(AND(BO$3&gt;=$AC21,BO$3&lt;(CapEx!$F$25*12)+$AC$21,CapEx!$F$25&gt;1),SLN(CapEx!$C$25,CapEx!$G$25,CapEx!$F$25)/12,0)</f>
        <v>0</v>
      </c>
      <c r="BP21" s="295">
        <f>IF(AND(BP$3&gt;=$AC21,BP$3&lt;(CapEx!$F$25*12)+$AC$21,CapEx!$F$25&gt;1),SLN(CapEx!$C$25,CapEx!$G$25,CapEx!$F$25)/12,0)</f>
        <v>0</v>
      </c>
      <c r="BQ21" s="295">
        <f>IF(AND(BQ$3&gt;=$AC21,BQ$3&lt;(CapEx!$F$25*12)+$AC$21,CapEx!$F$25&gt;1),SLN(CapEx!$C$25,CapEx!$G$25,CapEx!$F$25)/12,0)</f>
        <v>0</v>
      </c>
      <c r="BR21" s="295">
        <f>IF(AND(BR$3&gt;=$AC21,BR$3&lt;(CapEx!$F$25*12)+$AC$21,CapEx!$F$25&gt;1),SLN(CapEx!$C$25,CapEx!$G$25,CapEx!$F$25)/12,0)</f>
        <v>0</v>
      </c>
      <c r="BS21" s="295">
        <f>IF(AND(BS$3&gt;=$AC21,BS$3&lt;(CapEx!$F$25*12)+$AC$21,CapEx!$F$25&gt;1),SLN(CapEx!$C$25,CapEx!$G$25,CapEx!$F$25)/12,0)</f>
        <v>0</v>
      </c>
      <c r="BT21" s="295">
        <f>IF(AND(BT$3&gt;=$AC21,BT$3&lt;(CapEx!$F$25*12)+$AC$21,CapEx!$F$25&gt;1),SLN(CapEx!$C$25,CapEx!$G$25,CapEx!$F$25)/12,0)</f>
        <v>0</v>
      </c>
      <c r="BU21" s="295">
        <f>IF(AND(BU$3&gt;=$AC21,BU$3&lt;(CapEx!$F$25*12)+$AC$21,CapEx!$F$25&gt;1),SLN(CapEx!$C$25,CapEx!$G$25,CapEx!$F$25)/12,0)</f>
        <v>0</v>
      </c>
      <c r="BV21" s="295">
        <f>IF(AND(BV$3&gt;=$AC21,BV$3&lt;(CapEx!$F$25*12)+$AC$21,CapEx!$F$25&gt;1),SLN(CapEx!$C$25,CapEx!$G$25,CapEx!$F$25)/12,0)</f>
        <v>0</v>
      </c>
      <c r="BW21" s="295">
        <f>IF(AND(BW$3&gt;=$AC21,BW$3&lt;(CapEx!$F$25*12)+$AC$21,CapEx!$F$25&gt;1),SLN(CapEx!$C$25,CapEx!$G$25,CapEx!$F$25)/12,0)</f>
        <v>0</v>
      </c>
      <c r="BX21" s="295">
        <f>IF(AND(BX$3&gt;=$AC21,BX$3&lt;(CapEx!$F$25*12)+$AC$21,CapEx!$F$25&gt;1),SLN(CapEx!$C$25,CapEx!$G$25,CapEx!$F$25)/12,0)</f>
        <v>0</v>
      </c>
      <c r="BY21" s="295">
        <f>IF(AND(BY$3&gt;=$AC21,BY$3&lt;(CapEx!$F$25*12)+$AC$21,CapEx!$F$25&gt;1),SLN(CapEx!$C$25,CapEx!$G$25,CapEx!$F$25)/12,0)</f>
        <v>0</v>
      </c>
      <c r="BZ21" s="295">
        <f>IF(AND(BZ$3&gt;=$AC21,BZ$3&lt;(CapEx!$F$25*12)+$AC$21,CapEx!$F$25&gt;1),SLN(CapEx!$C$25,CapEx!$G$25,CapEx!$F$25)/12,0)</f>
        <v>0</v>
      </c>
      <c r="CA21" s="295">
        <f>IF(AND(CA$3&gt;=$AC21,CA$3&lt;(CapEx!$F$25*12)+$AC$21,CapEx!$F$25&gt;1),SLN(CapEx!$C$25,CapEx!$G$25,CapEx!$F$25)/12,0)</f>
        <v>0</v>
      </c>
      <c r="CB21" s="295">
        <f>IF(AND(CB$3&gt;=$AC21,CB$3&lt;(CapEx!$F$25*12)+$AC$21,CapEx!$F$25&gt;1),SLN(CapEx!$C$25,CapEx!$G$25,CapEx!$F$25)/12,0)</f>
        <v>0</v>
      </c>
      <c r="CC21" s="295">
        <f>IF(AND(CC$3&gt;=$AC21,CC$3&lt;(CapEx!$F$25*12)+$AC$21,CapEx!$F$25&gt;1),SLN(CapEx!$C$25,CapEx!$G$25,CapEx!$F$25)/12,0)</f>
        <v>0</v>
      </c>
      <c r="CD21" s="295">
        <f>IF(AND(CD$3&gt;=$AC21,CD$3&lt;(CapEx!$F$25*12)+$AC$21,CapEx!$F$25&gt;1),SLN(CapEx!$C$25,CapEx!$G$25,CapEx!$F$25)/12,0)</f>
        <v>0</v>
      </c>
      <c r="CE21" s="295">
        <f>IF(AND(CE$3&gt;=$AC21,CE$3&lt;(CapEx!$F$25*12)+$AC$21,CapEx!$F$25&gt;1),SLN(CapEx!$C$25,CapEx!$G$25,CapEx!$F$25)/12,0)</f>
        <v>0</v>
      </c>
      <c r="CF21" s="295">
        <f>IF(AND(CF$3&gt;=$AC21,CF$3&lt;(CapEx!$F$25*12)+$AC$21,CapEx!$F$25&gt;1),SLN(CapEx!$C$25,CapEx!$G$25,CapEx!$F$25)/12,0)</f>
        <v>0</v>
      </c>
      <c r="CG21" s="295">
        <f>IF(AND(CG$3&gt;=$AC21,CG$3&lt;(CapEx!$F$25*12)+$AC$21,CapEx!$F$25&gt;1),SLN(CapEx!$C$25,CapEx!$G$25,CapEx!$F$25)/12,0)</f>
        <v>0</v>
      </c>
      <c r="CH21" s="295">
        <f>IF(AND(CH$3&gt;=$AC21,CH$3&lt;(CapEx!$F$25*12)+$AC$21,CapEx!$F$25&gt;1),SLN(CapEx!$C$25,CapEx!$G$25,CapEx!$F$25)/12,0)</f>
        <v>0</v>
      </c>
      <c r="CI21" s="295">
        <f>IF(AND(CI$3&gt;=$AC21,CI$3&lt;(CapEx!$F$25*12)+$AC$21,CapEx!$F$25&gt;1),SLN(CapEx!$C$25,CapEx!$G$25,CapEx!$F$25)/12,0)</f>
        <v>0</v>
      </c>
      <c r="CJ21" s="295">
        <f>IF(AND(CJ$3&gt;=$AC21,CJ$3&lt;(CapEx!$F$25*12)+$AC$21,CapEx!$F$25&gt;1),SLN(CapEx!$C$25,CapEx!$G$25,CapEx!$F$25)/12,0)</f>
        <v>0</v>
      </c>
      <c r="CK21" s="295">
        <f>IF(AND(CK$3&gt;=$AC21,CK$3&lt;(CapEx!$F$25*12)+$AC$21,CapEx!$F$25&gt;1),SLN(CapEx!$C$25,CapEx!$G$25,CapEx!$F$25)/12,0)</f>
        <v>0</v>
      </c>
    </row>
    <row r="22" spans="1:89">
      <c r="A22" s="145" t="s">
        <v>194</v>
      </c>
      <c r="D22" s="71" t="s">
        <v>286</v>
      </c>
      <c r="E22" s="409">
        <f>BalSht!D14-BalSht!D31</f>
        <v>5012.5104195601853</v>
      </c>
      <c r="Y22" s="79">
        <f>CapEx!F26</f>
        <v>1</v>
      </c>
      <c r="Z22" s="145" t="s">
        <v>245</v>
      </c>
      <c r="AA22" s="297">
        <v>19</v>
      </c>
      <c r="AB22">
        <f>CapEx!C26</f>
        <v>0</v>
      </c>
      <c r="AC22" s="79">
        <f>IF(AB22=0,1,DATEDIF($K$12,DATEVALUE("01-"&amp;CapEx!$D26&amp;"-"&amp;CapEx!$E26),"m")+1)</f>
        <v>1</v>
      </c>
      <c r="AD22" s="295">
        <f>IF(AND(AD$3&gt;=$AC22,AD$3&lt;(CapEx!$F$26*12)+$AC$22,CapEx!$F$26&gt;1),SLN(CapEx!$C$26,CapEx!$G$26,CapEx!$F$26)/12,0)</f>
        <v>0</v>
      </c>
      <c r="AE22" s="295">
        <f>IF(AND(AE$3&gt;=$AC22,AE$3&lt;(CapEx!$F$26*12)+$AC$22,CapEx!$F$26&gt;1),SLN(CapEx!$C$26,CapEx!$G$26,CapEx!$F$26)/12,0)</f>
        <v>0</v>
      </c>
      <c r="AF22" s="295">
        <f>IF(AND(AF$3&gt;=$AC22,AF$3&lt;(CapEx!$F$26*12)+$AC$22,CapEx!$F$26&gt;1),SLN(CapEx!$C$26,CapEx!$G$26,CapEx!$F$26)/12,0)</f>
        <v>0</v>
      </c>
      <c r="AG22" s="295">
        <f>IF(AND(AG$3&gt;=$AC22,AG$3&lt;(CapEx!$F$26*12)+$AC$22,CapEx!$F$26&gt;1),SLN(CapEx!$C$26,CapEx!$G$26,CapEx!$F$26)/12,0)</f>
        <v>0</v>
      </c>
      <c r="AH22" s="295">
        <f>IF(AND(AH$3&gt;=$AC22,AH$3&lt;(CapEx!$F$26*12)+$AC$22,CapEx!$F$26&gt;1),SLN(CapEx!$C$26,CapEx!$G$26,CapEx!$F$26)/12,0)</f>
        <v>0</v>
      </c>
      <c r="AI22" s="295">
        <f>IF(AND(AI$3&gt;=$AC22,AI$3&lt;(CapEx!$F$26*12)+$AC$22,CapEx!$F$26&gt;1),SLN(CapEx!$C$26,CapEx!$G$26,CapEx!$F$26)/12,0)</f>
        <v>0</v>
      </c>
      <c r="AJ22" s="295">
        <f>IF(AND(AJ$3&gt;=$AC22,AJ$3&lt;(CapEx!$F$26*12)+$AC$22,CapEx!$F$26&gt;1),SLN(CapEx!$C$26,CapEx!$G$26,CapEx!$F$26)/12,0)</f>
        <v>0</v>
      </c>
      <c r="AK22" s="295">
        <f>IF(AND(AK$3&gt;=$AC22,AK$3&lt;(CapEx!$F$26*12)+$AC$22,CapEx!$F$26&gt;1),SLN(CapEx!$C$26,CapEx!$G$26,CapEx!$F$26)/12,0)</f>
        <v>0</v>
      </c>
      <c r="AL22" s="295">
        <f>IF(AND(AL$3&gt;=$AC22,AL$3&lt;(CapEx!$F$26*12)+$AC$22,CapEx!$F$26&gt;1),SLN(CapEx!$C$26,CapEx!$G$26,CapEx!$F$26)/12,0)</f>
        <v>0</v>
      </c>
      <c r="AM22" s="295">
        <f>IF(AND(AM$3&gt;=$AC22,AM$3&lt;(CapEx!$F$26*12)+$AC$22,CapEx!$F$26&gt;1),SLN(CapEx!$C$26,CapEx!$G$26,CapEx!$F$26)/12,0)</f>
        <v>0</v>
      </c>
      <c r="AN22" s="295">
        <f>IF(AND(AN$3&gt;=$AC22,AN$3&lt;(CapEx!$F$26*12)+$AC$22,CapEx!$F$26&gt;1),SLN(CapEx!$C$26,CapEx!$G$26,CapEx!$F$26)/12,0)</f>
        <v>0</v>
      </c>
      <c r="AO22" s="295">
        <f>IF(AND(AO$3&gt;=$AC22,AO$3&lt;(CapEx!$F$26*12)+$AC$22,CapEx!$F$26&gt;1),SLN(CapEx!$C$26,CapEx!$G$26,CapEx!$F$26)/12,0)</f>
        <v>0</v>
      </c>
      <c r="AP22" s="295">
        <f>IF(AND(AP$3&gt;=$AC22,AP$3&lt;(CapEx!$F$26*12)+$AC$22,CapEx!$F$26&gt;1),SLN(CapEx!$C$26,CapEx!$G$26,CapEx!$F$26)/12,0)</f>
        <v>0</v>
      </c>
      <c r="AQ22" s="295">
        <f>IF(AND(AQ$3&gt;=$AC22,AQ$3&lt;(CapEx!$F$26*12)+$AC$22,CapEx!$F$26&gt;1),SLN(CapEx!$C$26,CapEx!$G$26,CapEx!$F$26)/12,0)</f>
        <v>0</v>
      </c>
      <c r="AR22" s="295">
        <f>IF(AND(AR$3&gt;=$AC22,AR$3&lt;(CapEx!$F$26*12)+$AC$22,CapEx!$F$26&gt;1),SLN(CapEx!$C$26,CapEx!$G$26,CapEx!$F$26)/12,0)</f>
        <v>0</v>
      </c>
      <c r="AS22" s="295">
        <f>IF(AND(AS$3&gt;=$AC22,AS$3&lt;(CapEx!$F$26*12)+$AC$22,CapEx!$F$26&gt;1),SLN(CapEx!$C$26,CapEx!$G$26,CapEx!$F$26)/12,0)</f>
        <v>0</v>
      </c>
      <c r="AT22" s="295">
        <f>IF(AND(AT$3&gt;=$AC22,AT$3&lt;(CapEx!$F$26*12)+$AC$22,CapEx!$F$26&gt;1),SLN(CapEx!$C$26,CapEx!$G$26,CapEx!$F$26)/12,0)</f>
        <v>0</v>
      </c>
      <c r="AU22" s="295">
        <f>IF(AND(AU$3&gt;=$AC22,AU$3&lt;(CapEx!$F$26*12)+$AC$22,CapEx!$F$26&gt;1),SLN(CapEx!$C$26,CapEx!$G$26,CapEx!$F$26)/12,0)</f>
        <v>0</v>
      </c>
      <c r="AV22" s="295">
        <f>IF(AND(AV$3&gt;=$AC22,AV$3&lt;(CapEx!$F$26*12)+$AC$22,CapEx!$F$26&gt;1),SLN(CapEx!$C$26,CapEx!$G$26,CapEx!$F$26)/12,0)</f>
        <v>0</v>
      </c>
      <c r="AW22" s="295">
        <f>IF(AND(AW$3&gt;=$AC22,AW$3&lt;(CapEx!$F$26*12)+$AC$22,CapEx!$F$26&gt;1),SLN(CapEx!$C$26,CapEx!$G$26,CapEx!$F$26)/12,0)</f>
        <v>0</v>
      </c>
      <c r="AX22" s="295">
        <f>IF(AND(AX$3&gt;=$AC22,AX$3&lt;(CapEx!$F$26*12)+$AC$22,CapEx!$F$26&gt;1),SLN(CapEx!$C$26,CapEx!$G$26,CapEx!$F$26)/12,0)</f>
        <v>0</v>
      </c>
      <c r="AY22" s="295">
        <f>IF(AND(AY$3&gt;=$AC22,AY$3&lt;(CapEx!$F$26*12)+$AC$22,CapEx!$F$26&gt;1),SLN(CapEx!$C$26,CapEx!$G$26,CapEx!$F$26)/12,0)</f>
        <v>0</v>
      </c>
      <c r="AZ22" s="295">
        <f>IF(AND(AZ$3&gt;=$AC22,AZ$3&lt;(CapEx!$F$26*12)+$AC$22,CapEx!$F$26&gt;1),SLN(CapEx!$C$26,CapEx!$G$26,CapEx!$F$26)/12,0)</f>
        <v>0</v>
      </c>
      <c r="BA22" s="295">
        <f>IF(AND(BA$3&gt;=$AC22,BA$3&lt;(CapEx!$F$26*12)+$AC$22,CapEx!$F$26&gt;1),SLN(CapEx!$C$26,CapEx!$G$26,CapEx!$F$26)/12,0)</f>
        <v>0</v>
      </c>
      <c r="BB22" s="295">
        <f>IF(AND(BB$3&gt;=$AC22,BB$3&lt;(CapEx!$F$26*12)+$AC$22,CapEx!$F$26&gt;1),SLN(CapEx!$C$26,CapEx!$G$26,CapEx!$F$26)/12,0)</f>
        <v>0</v>
      </c>
      <c r="BC22" s="295">
        <f>IF(AND(BC$3&gt;=$AC22,BC$3&lt;(CapEx!$F$26*12)+$AC$22,CapEx!$F$26&gt;1),SLN(CapEx!$C$26,CapEx!$G$26,CapEx!$F$26)/12,0)</f>
        <v>0</v>
      </c>
      <c r="BD22" s="295">
        <f>IF(AND(BD$3&gt;=$AC22,BD$3&lt;(CapEx!$F$26*12)+$AC$22,CapEx!$F$26&gt;1),SLN(CapEx!$C$26,CapEx!$G$26,CapEx!$F$26)/12,0)</f>
        <v>0</v>
      </c>
      <c r="BE22" s="295">
        <f>IF(AND(BE$3&gt;=$AC22,BE$3&lt;(CapEx!$F$26*12)+$AC$22,CapEx!$F$26&gt;1),SLN(CapEx!$C$26,CapEx!$G$26,CapEx!$F$26)/12,0)</f>
        <v>0</v>
      </c>
      <c r="BF22" s="295">
        <f>IF(AND(BF$3&gt;=$AC22,BF$3&lt;(CapEx!$F$26*12)+$AC$22,CapEx!$F$26&gt;1),SLN(CapEx!$C$26,CapEx!$G$26,CapEx!$F$26)/12,0)</f>
        <v>0</v>
      </c>
      <c r="BG22" s="295">
        <f>IF(AND(BG$3&gt;=$AC22,BG$3&lt;(CapEx!$F$26*12)+$AC$22,CapEx!$F$26&gt;1),SLN(CapEx!$C$26,CapEx!$G$26,CapEx!$F$26)/12,0)</f>
        <v>0</v>
      </c>
      <c r="BH22" s="295">
        <f>IF(AND(BH$3&gt;=$AC22,BH$3&lt;(CapEx!$F$26*12)+$AC$22,CapEx!$F$26&gt;1),SLN(CapEx!$C$26,CapEx!$G$26,CapEx!$F$26)/12,0)</f>
        <v>0</v>
      </c>
      <c r="BI22" s="295">
        <f>IF(AND(BI$3&gt;=$AC22,BI$3&lt;(CapEx!$F$26*12)+$AC$22,CapEx!$F$26&gt;1),SLN(CapEx!$C$26,CapEx!$G$26,CapEx!$F$26)/12,0)</f>
        <v>0</v>
      </c>
      <c r="BJ22" s="295">
        <f>IF(AND(BJ$3&gt;=$AC22,BJ$3&lt;(CapEx!$F$26*12)+$AC$22,CapEx!$F$26&gt;1),SLN(CapEx!$C$26,CapEx!$G$26,CapEx!$F$26)/12,0)</f>
        <v>0</v>
      </c>
      <c r="BK22" s="295">
        <f>IF(AND(BK$3&gt;=$AC22,BK$3&lt;(CapEx!$F$26*12)+$AC$22,CapEx!$F$26&gt;1),SLN(CapEx!$C$26,CapEx!$G$26,CapEx!$F$26)/12,0)</f>
        <v>0</v>
      </c>
      <c r="BL22" s="295">
        <f>IF(AND(BL$3&gt;=$AC22,BL$3&lt;(CapEx!$F$26*12)+$AC$22,CapEx!$F$26&gt;1),SLN(CapEx!$C$26,CapEx!$G$26,CapEx!$F$26)/12,0)</f>
        <v>0</v>
      </c>
      <c r="BM22" s="295">
        <f>IF(AND(BM$3&gt;=$AC22,BM$3&lt;(CapEx!$F$26*12)+$AC$22,CapEx!$F$26&gt;1),SLN(CapEx!$C$26,CapEx!$G$26,CapEx!$F$26)/12,0)</f>
        <v>0</v>
      </c>
      <c r="BN22" s="295">
        <f>IF(AND(BN$3&gt;=$AC22,BN$3&lt;(CapEx!$F$26*12)+$AC$22,CapEx!$F$26&gt;1),SLN(CapEx!$C$26,CapEx!$G$26,CapEx!$F$26)/12,0)</f>
        <v>0</v>
      </c>
      <c r="BO22" s="295">
        <f>IF(AND(BO$3&gt;=$AC22,BO$3&lt;(CapEx!$F$26*12)+$AC$22,CapEx!$F$26&gt;1),SLN(CapEx!$C$26,CapEx!$G$26,CapEx!$F$26)/12,0)</f>
        <v>0</v>
      </c>
      <c r="BP22" s="295">
        <f>IF(AND(BP$3&gt;=$AC22,BP$3&lt;(CapEx!$F$26*12)+$AC$22,CapEx!$F$26&gt;1),SLN(CapEx!$C$26,CapEx!$G$26,CapEx!$F$26)/12,0)</f>
        <v>0</v>
      </c>
      <c r="BQ22" s="295">
        <f>IF(AND(BQ$3&gt;=$AC22,BQ$3&lt;(CapEx!$F$26*12)+$AC$22,CapEx!$F$26&gt;1),SLN(CapEx!$C$26,CapEx!$G$26,CapEx!$F$26)/12,0)</f>
        <v>0</v>
      </c>
      <c r="BR22" s="295">
        <f>IF(AND(BR$3&gt;=$AC22,BR$3&lt;(CapEx!$F$26*12)+$AC$22,CapEx!$F$26&gt;1),SLN(CapEx!$C$26,CapEx!$G$26,CapEx!$F$26)/12,0)</f>
        <v>0</v>
      </c>
      <c r="BS22" s="295">
        <f>IF(AND(BS$3&gt;=$AC22,BS$3&lt;(CapEx!$F$26*12)+$AC$22,CapEx!$F$26&gt;1),SLN(CapEx!$C$26,CapEx!$G$26,CapEx!$F$26)/12,0)</f>
        <v>0</v>
      </c>
      <c r="BT22" s="295">
        <f>IF(AND(BT$3&gt;=$AC22,BT$3&lt;(CapEx!$F$26*12)+$AC$22,CapEx!$F$26&gt;1),SLN(CapEx!$C$26,CapEx!$G$26,CapEx!$F$26)/12,0)</f>
        <v>0</v>
      </c>
      <c r="BU22" s="295">
        <f>IF(AND(BU$3&gt;=$AC22,BU$3&lt;(CapEx!$F$26*12)+$AC$22,CapEx!$F$26&gt;1),SLN(CapEx!$C$26,CapEx!$G$26,CapEx!$F$26)/12,0)</f>
        <v>0</v>
      </c>
      <c r="BV22" s="295">
        <f>IF(AND(BV$3&gt;=$AC22,BV$3&lt;(CapEx!$F$26*12)+$AC$22,CapEx!$F$26&gt;1),SLN(CapEx!$C$26,CapEx!$G$26,CapEx!$F$26)/12,0)</f>
        <v>0</v>
      </c>
      <c r="BW22" s="295">
        <f>IF(AND(BW$3&gt;=$AC22,BW$3&lt;(CapEx!$F$26*12)+$AC$22,CapEx!$F$26&gt;1),SLN(CapEx!$C$26,CapEx!$G$26,CapEx!$F$26)/12,0)</f>
        <v>0</v>
      </c>
      <c r="BX22" s="295">
        <f>IF(AND(BX$3&gt;=$AC22,BX$3&lt;(CapEx!$F$26*12)+$AC$22,CapEx!$F$26&gt;1),SLN(CapEx!$C$26,CapEx!$G$26,CapEx!$F$26)/12,0)</f>
        <v>0</v>
      </c>
      <c r="BY22" s="295">
        <f>IF(AND(BY$3&gt;=$AC22,BY$3&lt;(CapEx!$F$26*12)+$AC$22,CapEx!$F$26&gt;1),SLN(CapEx!$C$26,CapEx!$G$26,CapEx!$F$26)/12,0)</f>
        <v>0</v>
      </c>
      <c r="BZ22" s="295">
        <f>IF(AND(BZ$3&gt;=$AC22,BZ$3&lt;(CapEx!$F$26*12)+$AC$22,CapEx!$F$26&gt;1),SLN(CapEx!$C$26,CapEx!$G$26,CapEx!$F$26)/12,0)</f>
        <v>0</v>
      </c>
      <c r="CA22" s="295">
        <f>IF(AND(CA$3&gt;=$AC22,CA$3&lt;(CapEx!$F$26*12)+$AC$22,CapEx!$F$26&gt;1),SLN(CapEx!$C$26,CapEx!$G$26,CapEx!$F$26)/12,0)</f>
        <v>0</v>
      </c>
      <c r="CB22" s="295">
        <f>IF(AND(CB$3&gt;=$AC22,CB$3&lt;(CapEx!$F$26*12)+$AC$22,CapEx!$F$26&gt;1),SLN(CapEx!$C$26,CapEx!$G$26,CapEx!$F$26)/12,0)</f>
        <v>0</v>
      </c>
      <c r="CC22" s="295">
        <f>IF(AND(CC$3&gt;=$AC22,CC$3&lt;(CapEx!$F$26*12)+$AC$22,CapEx!$F$26&gt;1),SLN(CapEx!$C$26,CapEx!$G$26,CapEx!$F$26)/12,0)</f>
        <v>0</v>
      </c>
      <c r="CD22" s="295">
        <f>IF(AND(CD$3&gt;=$AC22,CD$3&lt;(CapEx!$F$26*12)+$AC$22,CapEx!$F$26&gt;1),SLN(CapEx!$C$26,CapEx!$G$26,CapEx!$F$26)/12,0)</f>
        <v>0</v>
      </c>
      <c r="CE22" s="295">
        <f>IF(AND(CE$3&gt;=$AC22,CE$3&lt;(CapEx!$F$26*12)+$AC$22,CapEx!$F$26&gt;1),SLN(CapEx!$C$26,CapEx!$G$26,CapEx!$F$26)/12,0)</f>
        <v>0</v>
      </c>
      <c r="CF22" s="295">
        <f>IF(AND(CF$3&gt;=$AC22,CF$3&lt;(CapEx!$F$26*12)+$AC$22,CapEx!$F$26&gt;1),SLN(CapEx!$C$26,CapEx!$G$26,CapEx!$F$26)/12,0)</f>
        <v>0</v>
      </c>
      <c r="CG22" s="295">
        <f>IF(AND(CG$3&gt;=$AC22,CG$3&lt;(CapEx!$F$26*12)+$AC$22,CapEx!$F$26&gt;1),SLN(CapEx!$C$26,CapEx!$G$26,CapEx!$F$26)/12,0)</f>
        <v>0</v>
      </c>
      <c r="CH22" s="295">
        <f>IF(AND(CH$3&gt;=$AC22,CH$3&lt;(CapEx!$F$26*12)+$AC$22,CapEx!$F$26&gt;1),SLN(CapEx!$C$26,CapEx!$G$26,CapEx!$F$26)/12,0)</f>
        <v>0</v>
      </c>
      <c r="CI22" s="295">
        <f>IF(AND(CI$3&gt;=$AC22,CI$3&lt;(CapEx!$F$26*12)+$AC$22,CapEx!$F$26&gt;1),SLN(CapEx!$C$26,CapEx!$G$26,CapEx!$F$26)/12,0)</f>
        <v>0</v>
      </c>
      <c r="CJ22" s="295">
        <f>IF(AND(CJ$3&gt;=$AC22,CJ$3&lt;(CapEx!$F$26*12)+$AC$22,CapEx!$F$26&gt;1),SLN(CapEx!$C$26,CapEx!$G$26,CapEx!$F$26)/12,0)</f>
        <v>0</v>
      </c>
      <c r="CK22" s="295">
        <f>IF(AND(CK$3&gt;=$AC22,CK$3&lt;(CapEx!$F$26*12)+$AC$22,CapEx!$F$26&gt;1),SLN(CapEx!$C$26,CapEx!$G$26,CapEx!$F$26)/12,0)</f>
        <v>0</v>
      </c>
    </row>
    <row r="23" spans="1:89">
      <c r="A23" s="145" t="s">
        <v>195</v>
      </c>
      <c r="D23" s="71" t="s">
        <v>287</v>
      </c>
      <c r="E23" s="409">
        <f>BalSht!J14-BalSht!J31</f>
        <v>5025.0521412398839</v>
      </c>
      <c r="Y23" s="79">
        <f>CapEx!F27</f>
        <v>1</v>
      </c>
      <c r="Z23" s="145" t="s">
        <v>245</v>
      </c>
      <c r="AA23" s="297">
        <v>20</v>
      </c>
      <c r="AB23">
        <f>CapEx!C27</f>
        <v>0</v>
      </c>
      <c r="AC23" s="79">
        <f>IF(AB23=0,1,DATEDIF($K$12,DATEVALUE("01-"&amp;CapEx!$D27&amp;"-"&amp;CapEx!$E27),"m")+1)</f>
        <v>1</v>
      </c>
      <c r="AD23" s="295">
        <f>IF(AND(AD$3&gt;=$AC23,AD$3&lt;(CapEx!$F$27*12)+$AC$23,CapEx!$F$27&gt;1),SLN(CapEx!$C$27,CapEx!$G$27,CapEx!$F$27)/12,0)</f>
        <v>0</v>
      </c>
      <c r="AE23" s="295">
        <f>IF(AND(AE$3&gt;=$AC23,AE$3&lt;(CapEx!$F$27*12)+$AC$23,CapEx!$F$27&gt;1),SLN(CapEx!$C$27,CapEx!$G$27,CapEx!$F$27)/12,0)</f>
        <v>0</v>
      </c>
      <c r="AF23" s="295">
        <f>IF(AND(AF$3&gt;=$AC23,AF$3&lt;(CapEx!$F$27*12)+$AC$23,CapEx!$F$27&gt;1),SLN(CapEx!$C$27,CapEx!$G$27,CapEx!$F$27)/12,0)</f>
        <v>0</v>
      </c>
      <c r="AG23" s="295">
        <f>IF(AND(AG$3&gt;=$AC23,AG$3&lt;(CapEx!$F$27*12)+$AC$23,CapEx!$F$27&gt;1),SLN(CapEx!$C$27,CapEx!$G$27,CapEx!$F$27)/12,0)</f>
        <v>0</v>
      </c>
      <c r="AH23" s="295">
        <f>IF(AND(AH$3&gt;=$AC23,AH$3&lt;(CapEx!$F$27*12)+$AC$23,CapEx!$F$27&gt;1),SLN(CapEx!$C$27,CapEx!$G$27,CapEx!$F$27)/12,0)</f>
        <v>0</v>
      </c>
      <c r="AI23" s="295">
        <f>IF(AND(AI$3&gt;=$AC23,AI$3&lt;(CapEx!$F$27*12)+$AC$23,CapEx!$F$27&gt;1),SLN(CapEx!$C$27,CapEx!$G$27,CapEx!$F$27)/12,0)</f>
        <v>0</v>
      </c>
      <c r="AJ23" s="295">
        <f>IF(AND(AJ$3&gt;=$AC23,AJ$3&lt;(CapEx!$F$27*12)+$AC$23,CapEx!$F$27&gt;1),SLN(CapEx!$C$27,CapEx!$G$27,CapEx!$F$27)/12,0)</f>
        <v>0</v>
      </c>
      <c r="AK23" s="295">
        <f>IF(AND(AK$3&gt;=$AC23,AK$3&lt;(CapEx!$F$27*12)+$AC$23,CapEx!$F$27&gt;1),SLN(CapEx!$C$27,CapEx!$G$27,CapEx!$F$27)/12,0)</f>
        <v>0</v>
      </c>
      <c r="AL23" s="295">
        <f>IF(AND(AL$3&gt;=$AC23,AL$3&lt;(CapEx!$F$27*12)+$AC$23,CapEx!$F$27&gt;1),SLN(CapEx!$C$27,CapEx!$G$27,CapEx!$F$27)/12,0)</f>
        <v>0</v>
      </c>
      <c r="AM23" s="295">
        <f>IF(AND(AM$3&gt;=$AC23,AM$3&lt;(CapEx!$F$27*12)+$AC$23,CapEx!$F$27&gt;1),SLN(CapEx!$C$27,CapEx!$G$27,CapEx!$F$27)/12,0)</f>
        <v>0</v>
      </c>
      <c r="AN23" s="295">
        <f>IF(AND(AN$3&gt;=$AC23,AN$3&lt;(CapEx!$F$27*12)+$AC$23,CapEx!$F$27&gt;1),SLN(CapEx!$C$27,CapEx!$G$27,CapEx!$F$27)/12,0)</f>
        <v>0</v>
      </c>
      <c r="AO23" s="295">
        <f>IF(AND(AO$3&gt;=$AC23,AO$3&lt;(CapEx!$F$27*12)+$AC$23,CapEx!$F$27&gt;1),SLN(CapEx!$C$27,CapEx!$G$27,CapEx!$F$27)/12,0)</f>
        <v>0</v>
      </c>
      <c r="AP23" s="295">
        <f>IF(AND(AP$3&gt;=$AC23,AP$3&lt;(CapEx!$F$27*12)+$AC$23,CapEx!$F$27&gt;1),SLN(CapEx!$C$27,CapEx!$G$27,CapEx!$F$27)/12,0)</f>
        <v>0</v>
      </c>
      <c r="AQ23" s="295">
        <f>IF(AND(AQ$3&gt;=$AC23,AQ$3&lt;(CapEx!$F$27*12)+$AC$23,CapEx!$F$27&gt;1),SLN(CapEx!$C$27,CapEx!$G$27,CapEx!$F$27)/12,0)</f>
        <v>0</v>
      </c>
      <c r="AR23" s="295">
        <f>IF(AND(AR$3&gt;=$AC23,AR$3&lt;(CapEx!$F$27*12)+$AC$23,CapEx!$F$27&gt;1),SLN(CapEx!$C$27,CapEx!$G$27,CapEx!$F$27)/12,0)</f>
        <v>0</v>
      </c>
      <c r="AS23" s="295">
        <f>IF(AND(AS$3&gt;=$AC23,AS$3&lt;(CapEx!$F$27*12)+$AC$23,CapEx!$F$27&gt;1),SLN(CapEx!$C$27,CapEx!$G$27,CapEx!$F$27)/12,0)</f>
        <v>0</v>
      </c>
      <c r="AT23" s="295">
        <f>IF(AND(AT$3&gt;=$AC23,AT$3&lt;(CapEx!$F$27*12)+$AC$23,CapEx!$F$27&gt;1),SLN(CapEx!$C$27,CapEx!$G$27,CapEx!$F$27)/12,0)</f>
        <v>0</v>
      </c>
      <c r="AU23" s="295">
        <f>IF(AND(AU$3&gt;=$AC23,AU$3&lt;(CapEx!$F$27*12)+$AC$23,CapEx!$F$27&gt;1),SLN(CapEx!$C$27,CapEx!$G$27,CapEx!$F$27)/12,0)</f>
        <v>0</v>
      </c>
      <c r="AV23" s="295">
        <f>IF(AND(AV$3&gt;=$AC23,AV$3&lt;(CapEx!$F$27*12)+$AC$23,CapEx!$F$27&gt;1),SLN(CapEx!$C$27,CapEx!$G$27,CapEx!$F$27)/12,0)</f>
        <v>0</v>
      </c>
      <c r="AW23" s="295">
        <f>IF(AND(AW$3&gt;=$AC23,AW$3&lt;(CapEx!$F$27*12)+$AC$23,CapEx!$F$27&gt;1),SLN(CapEx!$C$27,CapEx!$G$27,CapEx!$F$27)/12,0)</f>
        <v>0</v>
      </c>
      <c r="AX23" s="295">
        <f>IF(AND(AX$3&gt;=$AC23,AX$3&lt;(CapEx!$F$27*12)+$AC$23,CapEx!$F$27&gt;1),SLN(CapEx!$C$27,CapEx!$G$27,CapEx!$F$27)/12,0)</f>
        <v>0</v>
      </c>
      <c r="AY23" s="295">
        <f>IF(AND(AY$3&gt;=$AC23,AY$3&lt;(CapEx!$F$27*12)+$AC$23,CapEx!$F$27&gt;1),SLN(CapEx!$C$27,CapEx!$G$27,CapEx!$F$27)/12,0)</f>
        <v>0</v>
      </c>
      <c r="AZ23" s="295">
        <f>IF(AND(AZ$3&gt;=$AC23,AZ$3&lt;(CapEx!$F$27*12)+$AC$23,CapEx!$F$27&gt;1),SLN(CapEx!$C$27,CapEx!$G$27,CapEx!$F$27)/12,0)</f>
        <v>0</v>
      </c>
      <c r="BA23" s="295">
        <f>IF(AND(BA$3&gt;=$AC23,BA$3&lt;(CapEx!$F$27*12)+$AC$23,CapEx!$F$27&gt;1),SLN(CapEx!$C$27,CapEx!$G$27,CapEx!$F$27)/12,0)</f>
        <v>0</v>
      </c>
      <c r="BB23" s="295">
        <f>IF(AND(BB$3&gt;=$AC23,BB$3&lt;(CapEx!$F$27*12)+$AC$23,CapEx!$F$27&gt;1),SLN(CapEx!$C$27,CapEx!$G$27,CapEx!$F$27)/12,0)</f>
        <v>0</v>
      </c>
      <c r="BC23" s="295">
        <f>IF(AND(BC$3&gt;=$AC23,BC$3&lt;(CapEx!$F$27*12)+$AC$23,CapEx!$F$27&gt;1),SLN(CapEx!$C$27,CapEx!$G$27,CapEx!$F$27)/12,0)</f>
        <v>0</v>
      </c>
      <c r="BD23" s="295">
        <f>IF(AND(BD$3&gt;=$AC23,BD$3&lt;(CapEx!$F$27*12)+$AC$23,CapEx!$F$27&gt;1),SLN(CapEx!$C$27,CapEx!$G$27,CapEx!$F$27)/12,0)</f>
        <v>0</v>
      </c>
      <c r="BE23" s="295">
        <f>IF(AND(BE$3&gt;=$AC23,BE$3&lt;(CapEx!$F$27*12)+$AC$23,CapEx!$F$27&gt;1),SLN(CapEx!$C$27,CapEx!$G$27,CapEx!$F$27)/12,0)</f>
        <v>0</v>
      </c>
      <c r="BF23" s="295">
        <f>IF(AND(BF$3&gt;=$AC23,BF$3&lt;(CapEx!$F$27*12)+$AC$23,CapEx!$F$27&gt;1),SLN(CapEx!$C$27,CapEx!$G$27,CapEx!$F$27)/12,0)</f>
        <v>0</v>
      </c>
      <c r="BG23" s="295">
        <f>IF(AND(BG$3&gt;=$AC23,BG$3&lt;(CapEx!$F$27*12)+$AC$23,CapEx!$F$27&gt;1),SLN(CapEx!$C$27,CapEx!$G$27,CapEx!$F$27)/12,0)</f>
        <v>0</v>
      </c>
      <c r="BH23" s="295">
        <f>IF(AND(BH$3&gt;=$AC23,BH$3&lt;(CapEx!$F$27*12)+$AC$23,CapEx!$F$27&gt;1),SLN(CapEx!$C$27,CapEx!$G$27,CapEx!$F$27)/12,0)</f>
        <v>0</v>
      </c>
      <c r="BI23" s="295">
        <f>IF(AND(BI$3&gt;=$AC23,BI$3&lt;(CapEx!$F$27*12)+$AC$23,CapEx!$F$27&gt;1),SLN(CapEx!$C$27,CapEx!$G$27,CapEx!$F$27)/12,0)</f>
        <v>0</v>
      </c>
      <c r="BJ23" s="295">
        <f>IF(AND(BJ$3&gt;=$AC23,BJ$3&lt;(CapEx!$F$27*12)+$AC$23,CapEx!$F$27&gt;1),SLN(CapEx!$C$27,CapEx!$G$27,CapEx!$F$27)/12,0)</f>
        <v>0</v>
      </c>
      <c r="BK23" s="295">
        <f>IF(AND(BK$3&gt;=$AC23,BK$3&lt;(CapEx!$F$27*12)+$AC$23,CapEx!$F$27&gt;1),SLN(CapEx!$C$27,CapEx!$G$27,CapEx!$F$27)/12,0)</f>
        <v>0</v>
      </c>
      <c r="BL23" s="295">
        <f>IF(AND(BL$3&gt;=$AC23,BL$3&lt;(CapEx!$F$27*12)+$AC$23,CapEx!$F$27&gt;1),SLN(CapEx!$C$27,CapEx!$G$27,CapEx!$F$27)/12,0)</f>
        <v>0</v>
      </c>
      <c r="BM23" s="295">
        <f>IF(AND(BM$3&gt;=$AC23,BM$3&lt;(CapEx!$F$27*12)+$AC$23,CapEx!$F$27&gt;1),SLN(CapEx!$C$27,CapEx!$G$27,CapEx!$F$27)/12,0)</f>
        <v>0</v>
      </c>
      <c r="BN23" s="295">
        <f>IF(AND(BN$3&gt;=$AC23,BN$3&lt;(CapEx!$F$27*12)+$AC$23,CapEx!$F$27&gt;1),SLN(CapEx!$C$27,CapEx!$G$27,CapEx!$F$27)/12,0)</f>
        <v>0</v>
      </c>
      <c r="BO23" s="295">
        <f>IF(AND(BO$3&gt;=$AC23,BO$3&lt;(CapEx!$F$27*12)+$AC$23,CapEx!$F$27&gt;1),SLN(CapEx!$C$27,CapEx!$G$27,CapEx!$F$27)/12,0)</f>
        <v>0</v>
      </c>
      <c r="BP23" s="295">
        <f>IF(AND(BP$3&gt;=$AC23,BP$3&lt;(CapEx!$F$27*12)+$AC$23,CapEx!$F$27&gt;1),SLN(CapEx!$C$27,CapEx!$G$27,CapEx!$F$27)/12,0)</f>
        <v>0</v>
      </c>
      <c r="BQ23" s="295">
        <f>IF(AND(BQ$3&gt;=$AC23,BQ$3&lt;(CapEx!$F$27*12)+$AC$23,CapEx!$F$27&gt;1),SLN(CapEx!$C$27,CapEx!$G$27,CapEx!$F$27)/12,0)</f>
        <v>0</v>
      </c>
      <c r="BR23" s="295">
        <f>IF(AND(BR$3&gt;=$AC23,BR$3&lt;(CapEx!$F$27*12)+$AC$23,CapEx!$F$27&gt;1),SLN(CapEx!$C$27,CapEx!$G$27,CapEx!$F$27)/12,0)</f>
        <v>0</v>
      </c>
      <c r="BS23" s="295">
        <f>IF(AND(BS$3&gt;=$AC23,BS$3&lt;(CapEx!$F$27*12)+$AC$23,CapEx!$F$27&gt;1),SLN(CapEx!$C$27,CapEx!$G$27,CapEx!$F$27)/12,0)</f>
        <v>0</v>
      </c>
      <c r="BT23" s="295">
        <f>IF(AND(BT$3&gt;=$AC23,BT$3&lt;(CapEx!$F$27*12)+$AC$23,CapEx!$F$27&gt;1),SLN(CapEx!$C$27,CapEx!$G$27,CapEx!$F$27)/12,0)</f>
        <v>0</v>
      </c>
      <c r="BU23" s="295">
        <f>IF(AND(BU$3&gt;=$AC23,BU$3&lt;(CapEx!$F$27*12)+$AC$23,CapEx!$F$27&gt;1),SLN(CapEx!$C$27,CapEx!$G$27,CapEx!$F$27)/12,0)</f>
        <v>0</v>
      </c>
      <c r="BV23" s="295">
        <f>IF(AND(BV$3&gt;=$AC23,BV$3&lt;(CapEx!$F$27*12)+$AC$23,CapEx!$F$27&gt;1),SLN(CapEx!$C$27,CapEx!$G$27,CapEx!$F$27)/12,0)</f>
        <v>0</v>
      </c>
      <c r="BW23" s="295">
        <f>IF(AND(BW$3&gt;=$AC23,BW$3&lt;(CapEx!$F$27*12)+$AC$23,CapEx!$F$27&gt;1),SLN(CapEx!$C$27,CapEx!$G$27,CapEx!$F$27)/12,0)</f>
        <v>0</v>
      </c>
      <c r="BX23" s="295">
        <f>IF(AND(BX$3&gt;=$AC23,BX$3&lt;(CapEx!$F$27*12)+$AC$23,CapEx!$F$27&gt;1),SLN(CapEx!$C$27,CapEx!$G$27,CapEx!$F$27)/12,0)</f>
        <v>0</v>
      </c>
      <c r="BY23" s="295">
        <f>IF(AND(BY$3&gt;=$AC23,BY$3&lt;(CapEx!$F$27*12)+$AC$23,CapEx!$F$27&gt;1),SLN(CapEx!$C$27,CapEx!$G$27,CapEx!$F$27)/12,0)</f>
        <v>0</v>
      </c>
      <c r="BZ23" s="295">
        <f>IF(AND(BZ$3&gt;=$AC23,BZ$3&lt;(CapEx!$F$27*12)+$AC$23,CapEx!$F$27&gt;1),SLN(CapEx!$C$27,CapEx!$G$27,CapEx!$F$27)/12,0)</f>
        <v>0</v>
      </c>
      <c r="CA23" s="295">
        <f>IF(AND(CA$3&gt;=$AC23,CA$3&lt;(CapEx!$F$27*12)+$AC$23,CapEx!$F$27&gt;1),SLN(CapEx!$C$27,CapEx!$G$27,CapEx!$F$27)/12,0)</f>
        <v>0</v>
      </c>
      <c r="CB23" s="295">
        <f>IF(AND(CB$3&gt;=$AC23,CB$3&lt;(CapEx!$F$27*12)+$AC$23,CapEx!$F$27&gt;1),SLN(CapEx!$C$27,CapEx!$G$27,CapEx!$F$27)/12,0)</f>
        <v>0</v>
      </c>
      <c r="CC23" s="295">
        <f>IF(AND(CC$3&gt;=$AC23,CC$3&lt;(CapEx!$F$27*12)+$AC$23,CapEx!$F$27&gt;1),SLN(CapEx!$C$27,CapEx!$G$27,CapEx!$F$27)/12,0)</f>
        <v>0</v>
      </c>
      <c r="CD23" s="295">
        <f>IF(AND(CD$3&gt;=$AC23,CD$3&lt;(CapEx!$F$27*12)+$AC$23,CapEx!$F$27&gt;1),SLN(CapEx!$C$27,CapEx!$G$27,CapEx!$F$27)/12,0)</f>
        <v>0</v>
      </c>
      <c r="CE23" s="295">
        <f>IF(AND(CE$3&gt;=$AC23,CE$3&lt;(CapEx!$F$27*12)+$AC$23,CapEx!$F$27&gt;1),SLN(CapEx!$C$27,CapEx!$G$27,CapEx!$F$27)/12,0)</f>
        <v>0</v>
      </c>
      <c r="CF23" s="295">
        <f>IF(AND(CF$3&gt;=$AC23,CF$3&lt;(CapEx!$F$27*12)+$AC$23,CapEx!$F$27&gt;1),SLN(CapEx!$C$27,CapEx!$G$27,CapEx!$F$27)/12,0)</f>
        <v>0</v>
      </c>
      <c r="CG23" s="295">
        <f>IF(AND(CG$3&gt;=$AC23,CG$3&lt;(CapEx!$F$27*12)+$AC$23,CapEx!$F$27&gt;1),SLN(CapEx!$C$27,CapEx!$G$27,CapEx!$F$27)/12,0)</f>
        <v>0</v>
      </c>
      <c r="CH23" s="295">
        <f>IF(AND(CH$3&gt;=$AC23,CH$3&lt;(CapEx!$F$27*12)+$AC$23,CapEx!$F$27&gt;1),SLN(CapEx!$C$27,CapEx!$G$27,CapEx!$F$27)/12,0)</f>
        <v>0</v>
      </c>
      <c r="CI23" s="295">
        <f>IF(AND(CI$3&gt;=$AC23,CI$3&lt;(CapEx!$F$27*12)+$AC$23,CapEx!$F$27&gt;1),SLN(CapEx!$C$27,CapEx!$G$27,CapEx!$F$27)/12,0)</f>
        <v>0</v>
      </c>
      <c r="CJ23" s="295">
        <f>IF(AND(CJ$3&gt;=$AC23,CJ$3&lt;(CapEx!$F$27*12)+$AC$23,CapEx!$F$27&gt;1),SLN(CapEx!$C$27,CapEx!$G$27,CapEx!$F$27)/12,0)</f>
        <v>0</v>
      </c>
      <c r="CK23" s="295">
        <f>IF(AND(CK$3&gt;=$AC23,CK$3&lt;(CapEx!$F$27*12)+$AC$23,CapEx!$F$27&gt;1),SLN(CapEx!$C$27,CapEx!$G$27,CapEx!$F$27)/12,0)</f>
        <v>0</v>
      </c>
    </row>
    <row r="24" spans="1:89">
      <c r="A24" s="145" t="s">
        <v>196</v>
      </c>
      <c r="D24" s="71" t="s">
        <v>288</v>
      </c>
      <c r="E24" s="409">
        <f>BalSht!P14-BalSht!P31</f>
        <v>5037.6252433596273</v>
      </c>
      <c r="Y24" s="79">
        <f>CapEx!F28</f>
        <v>1</v>
      </c>
      <c r="Z24" s="145" t="s">
        <v>245</v>
      </c>
      <c r="AA24" s="297">
        <v>21</v>
      </c>
      <c r="AB24">
        <f>CapEx!C28</f>
        <v>0</v>
      </c>
      <c r="AC24" s="79">
        <f>IF(AB24=0,1,DATEDIF($K$12,DATEVALUE("01-"&amp;CapEx!$D28&amp;"-"&amp;CapEx!$E28),"m")+1)</f>
        <v>1</v>
      </c>
      <c r="AD24" s="295">
        <f>IF(AND(AD$3&gt;=$AC24,AD$3&lt;(CapEx!$F$28*12)+$AC$24,CapEx!$F$28&gt;1),SLN(CapEx!$C$28,CapEx!$G$28,CapEx!$F$28)/12,0)</f>
        <v>0</v>
      </c>
      <c r="AE24" s="295">
        <f>IF(AND(AE$3&gt;=$AC24,AE$3&lt;(CapEx!$F$28*12)+$AC$24,CapEx!$F$28&gt;1),SLN(CapEx!$C$28,CapEx!$G$28,CapEx!$F$28)/12,0)</f>
        <v>0</v>
      </c>
      <c r="AF24" s="295">
        <f>IF(AND(AF$3&gt;=$AC24,AF$3&lt;(CapEx!$F$28*12)+$AC$24,CapEx!$F$28&gt;1),SLN(CapEx!$C$28,CapEx!$G$28,CapEx!$F$28)/12,0)</f>
        <v>0</v>
      </c>
      <c r="AG24" s="295">
        <f>IF(AND(AG$3&gt;=$AC24,AG$3&lt;(CapEx!$F$28*12)+$AC$24,CapEx!$F$28&gt;1),SLN(CapEx!$C$28,CapEx!$G$28,CapEx!$F$28)/12,0)</f>
        <v>0</v>
      </c>
      <c r="AH24" s="295">
        <f>IF(AND(AH$3&gt;=$AC24,AH$3&lt;(CapEx!$F$28*12)+$AC$24,CapEx!$F$28&gt;1),SLN(CapEx!$C$28,CapEx!$G$28,CapEx!$F$28)/12,0)</f>
        <v>0</v>
      </c>
      <c r="AI24" s="295">
        <f>IF(AND(AI$3&gt;=$AC24,AI$3&lt;(CapEx!$F$28*12)+$AC$24,CapEx!$F$28&gt;1),SLN(CapEx!$C$28,CapEx!$G$28,CapEx!$F$28)/12,0)</f>
        <v>0</v>
      </c>
      <c r="AJ24" s="295">
        <f>IF(AND(AJ$3&gt;=$AC24,AJ$3&lt;(CapEx!$F$28*12)+$AC$24,CapEx!$F$28&gt;1),SLN(CapEx!$C$28,CapEx!$G$28,CapEx!$F$28)/12,0)</f>
        <v>0</v>
      </c>
      <c r="AK24" s="295">
        <f>IF(AND(AK$3&gt;=$AC24,AK$3&lt;(CapEx!$F$28*12)+$AC$24,CapEx!$F$28&gt;1),SLN(CapEx!$C$28,CapEx!$G$28,CapEx!$F$28)/12,0)</f>
        <v>0</v>
      </c>
      <c r="AL24" s="295">
        <f>IF(AND(AL$3&gt;=$AC24,AL$3&lt;(CapEx!$F$28*12)+$AC$24,CapEx!$F$28&gt;1),SLN(CapEx!$C$28,CapEx!$G$28,CapEx!$F$28)/12,0)</f>
        <v>0</v>
      </c>
      <c r="AM24" s="295">
        <f>IF(AND(AM$3&gt;=$AC24,AM$3&lt;(CapEx!$F$28*12)+$AC$24,CapEx!$F$28&gt;1),SLN(CapEx!$C$28,CapEx!$G$28,CapEx!$F$28)/12,0)</f>
        <v>0</v>
      </c>
      <c r="AN24" s="295">
        <f>IF(AND(AN$3&gt;=$AC24,AN$3&lt;(CapEx!$F$28*12)+$AC$24,CapEx!$F$28&gt;1),SLN(CapEx!$C$28,CapEx!$G$28,CapEx!$F$28)/12,0)</f>
        <v>0</v>
      </c>
      <c r="AO24" s="295">
        <f>IF(AND(AO$3&gt;=$AC24,AO$3&lt;(CapEx!$F$28*12)+$AC$24,CapEx!$F$28&gt;1),SLN(CapEx!$C$28,CapEx!$G$28,CapEx!$F$28)/12,0)</f>
        <v>0</v>
      </c>
      <c r="AP24" s="295">
        <f>IF(AND(AP$3&gt;=$AC24,AP$3&lt;(CapEx!$F$28*12)+$AC$24,CapEx!$F$28&gt;1),SLN(CapEx!$C$28,CapEx!$G$28,CapEx!$F$28)/12,0)</f>
        <v>0</v>
      </c>
      <c r="AQ24" s="295">
        <f>IF(AND(AQ$3&gt;=$AC24,AQ$3&lt;(CapEx!$F$28*12)+$AC$24,CapEx!$F$28&gt;1),SLN(CapEx!$C$28,CapEx!$G$28,CapEx!$F$28)/12,0)</f>
        <v>0</v>
      </c>
      <c r="AR24" s="295">
        <f>IF(AND(AR$3&gt;=$AC24,AR$3&lt;(CapEx!$F$28*12)+$AC$24,CapEx!$F$28&gt;1),SLN(CapEx!$C$28,CapEx!$G$28,CapEx!$F$28)/12,0)</f>
        <v>0</v>
      </c>
      <c r="AS24" s="295">
        <f>IF(AND(AS$3&gt;=$AC24,AS$3&lt;(CapEx!$F$28*12)+$AC$24,CapEx!$F$28&gt;1),SLN(CapEx!$C$28,CapEx!$G$28,CapEx!$F$28)/12,0)</f>
        <v>0</v>
      </c>
      <c r="AT24" s="295">
        <f>IF(AND(AT$3&gt;=$AC24,AT$3&lt;(CapEx!$F$28*12)+$AC$24,CapEx!$F$28&gt;1),SLN(CapEx!$C$28,CapEx!$G$28,CapEx!$F$28)/12,0)</f>
        <v>0</v>
      </c>
      <c r="AU24" s="295">
        <f>IF(AND(AU$3&gt;=$AC24,AU$3&lt;(CapEx!$F$28*12)+$AC$24,CapEx!$F$28&gt;1),SLN(CapEx!$C$28,CapEx!$G$28,CapEx!$F$28)/12,0)</f>
        <v>0</v>
      </c>
      <c r="AV24" s="295">
        <f>IF(AND(AV$3&gt;=$AC24,AV$3&lt;(CapEx!$F$28*12)+$AC$24,CapEx!$F$28&gt;1),SLN(CapEx!$C$28,CapEx!$G$28,CapEx!$F$28)/12,0)</f>
        <v>0</v>
      </c>
      <c r="AW24" s="295">
        <f>IF(AND(AW$3&gt;=$AC24,AW$3&lt;(CapEx!$F$28*12)+$AC$24,CapEx!$F$28&gt;1),SLN(CapEx!$C$28,CapEx!$G$28,CapEx!$F$28)/12,0)</f>
        <v>0</v>
      </c>
      <c r="AX24" s="295">
        <f>IF(AND(AX$3&gt;=$AC24,AX$3&lt;(CapEx!$F$28*12)+$AC$24,CapEx!$F$28&gt;1),SLN(CapEx!$C$28,CapEx!$G$28,CapEx!$F$28)/12,0)</f>
        <v>0</v>
      </c>
      <c r="AY24" s="295">
        <f>IF(AND(AY$3&gt;=$AC24,AY$3&lt;(CapEx!$F$28*12)+$AC$24,CapEx!$F$28&gt;1),SLN(CapEx!$C$28,CapEx!$G$28,CapEx!$F$28)/12,0)</f>
        <v>0</v>
      </c>
      <c r="AZ24" s="295">
        <f>IF(AND(AZ$3&gt;=$AC24,AZ$3&lt;(CapEx!$F$28*12)+$AC$24,CapEx!$F$28&gt;1),SLN(CapEx!$C$28,CapEx!$G$28,CapEx!$F$28)/12,0)</f>
        <v>0</v>
      </c>
      <c r="BA24" s="295">
        <f>IF(AND(BA$3&gt;=$AC24,BA$3&lt;(CapEx!$F$28*12)+$AC$24,CapEx!$F$28&gt;1),SLN(CapEx!$C$28,CapEx!$G$28,CapEx!$F$28)/12,0)</f>
        <v>0</v>
      </c>
      <c r="BB24" s="295">
        <f>IF(AND(BB$3&gt;=$AC24,BB$3&lt;(CapEx!$F$28*12)+$AC$24,CapEx!$F$28&gt;1),SLN(CapEx!$C$28,CapEx!$G$28,CapEx!$F$28)/12,0)</f>
        <v>0</v>
      </c>
      <c r="BC24" s="295">
        <f>IF(AND(BC$3&gt;=$AC24,BC$3&lt;(CapEx!$F$28*12)+$AC$24,CapEx!$F$28&gt;1),SLN(CapEx!$C$28,CapEx!$G$28,CapEx!$F$28)/12,0)</f>
        <v>0</v>
      </c>
      <c r="BD24" s="295">
        <f>IF(AND(BD$3&gt;=$AC24,BD$3&lt;(CapEx!$F$28*12)+$AC$24,CapEx!$F$28&gt;1),SLN(CapEx!$C$28,CapEx!$G$28,CapEx!$F$28)/12,0)</f>
        <v>0</v>
      </c>
      <c r="BE24" s="295">
        <f>IF(AND(BE$3&gt;=$AC24,BE$3&lt;(CapEx!$F$28*12)+$AC$24,CapEx!$F$28&gt;1),SLN(CapEx!$C$28,CapEx!$G$28,CapEx!$F$28)/12,0)</f>
        <v>0</v>
      </c>
      <c r="BF24" s="295">
        <f>IF(AND(BF$3&gt;=$AC24,BF$3&lt;(CapEx!$F$28*12)+$AC$24,CapEx!$F$28&gt;1),SLN(CapEx!$C$28,CapEx!$G$28,CapEx!$F$28)/12,0)</f>
        <v>0</v>
      </c>
      <c r="BG24" s="295">
        <f>IF(AND(BG$3&gt;=$AC24,BG$3&lt;(CapEx!$F$28*12)+$AC$24,CapEx!$F$28&gt;1),SLN(CapEx!$C$28,CapEx!$G$28,CapEx!$F$28)/12,0)</f>
        <v>0</v>
      </c>
      <c r="BH24" s="295">
        <f>IF(AND(BH$3&gt;=$AC24,BH$3&lt;(CapEx!$F$28*12)+$AC$24,CapEx!$F$28&gt;1),SLN(CapEx!$C$28,CapEx!$G$28,CapEx!$F$28)/12,0)</f>
        <v>0</v>
      </c>
      <c r="BI24" s="295">
        <f>IF(AND(BI$3&gt;=$AC24,BI$3&lt;(CapEx!$F$28*12)+$AC$24,CapEx!$F$28&gt;1),SLN(CapEx!$C$28,CapEx!$G$28,CapEx!$F$28)/12,0)</f>
        <v>0</v>
      </c>
      <c r="BJ24" s="295">
        <f>IF(AND(BJ$3&gt;=$AC24,BJ$3&lt;(CapEx!$F$28*12)+$AC$24,CapEx!$F$28&gt;1),SLN(CapEx!$C$28,CapEx!$G$28,CapEx!$F$28)/12,0)</f>
        <v>0</v>
      </c>
      <c r="BK24" s="295">
        <f>IF(AND(BK$3&gt;=$AC24,BK$3&lt;(CapEx!$F$28*12)+$AC$24,CapEx!$F$28&gt;1),SLN(CapEx!$C$28,CapEx!$G$28,CapEx!$F$28)/12,0)</f>
        <v>0</v>
      </c>
      <c r="BL24" s="295">
        <f>IF(AND(BL$3&gt;=$AC24,BL$3&lt;(CapEx!$F$28*12)+$AC$24,CapEx!$F$28&gt;1),SLN(CapEx!$C$28,CapEx!$G$28,CapEx!$F$28)/12,0)</f>
        <v>0</v>
      </c>
      <c r="BM24" s="295">
        <f>IF(AND(BM$3&gt;=$AC24,BM$3&lt;(CapEx!$F$28*12)+$AC$24,CapEx!$F$28&gt;1),SLN(CapEx!$C$28,CapEx!$G$28,CapEx!$F$28)/12,0)</f>
        <v>0</v>
      </c>
      <c r="BN24" s="295">
        <f>IF(AND(BN$3&gt;=$AC24,BN$3&lt;(CapEx!$F$28*12)+$AC$24,CapEx!$F$28&gt;1),SLN(CapEx!$C$28,CapEx!$G$28,CapEx!$F$28)/12,0)</f>
        <v>0</v>
      </c>
      <c r="BO24" s="295">
        <f>IF(AND(BO$3&gt;=$AC24,BO$3&lt;(CapEx!$F$28*12)+$AC$24,CapEx!$F$28&gt;1),SLN(CapEx!$C$28,CapEx!$G$28,CapEx!$F$28)/12,0)</f>
        <v>0</v>
      </c>
      <c r="BP24" s="295">
        <f>IF(AND(BP$3&gt;=$AC24,BP$3&lt;(CapEx!$F$28*12)+$AC$24,CapEx!$F$28&gt;1),SLN(CapEx!$C$28,CapEx!$G$28,CapEx!$F$28)/12,0)</f>
        <v>0</v>
      </c>
      <c r="BQ24" s="295">
        <f>IF(AND(BQ$3&gt;=$AC24,BQ$3&lt;(CapEx!$F$28*12)+$AC$24,CapEx!$F$28&gt;1),SLN(CapEx!$C$28,CapEx!$G$28,CapEx!$F$28)/12,0)</f>
        <v>0</v>
      </c>
      <c r="BR24" s="295">
        <f>IF(AND(BR$3&gt;=$AC24,BR$3&lt;(CapEx!$F$28*12)+$AC$24,CapEx!$F$28&gt;1),SLN(CapEx!$C$28,CapEx!$G$28,CapEx!$F$28)/12,0)</f>
        <v>0</v>
      </c>
      <c r="BS24" s="295">
        <f>IF(AND(BS$3&gt;=$AC24,BS$3&lt;(CapEx!$F$28*12)+$AC$24,CapEx!$F$28&gt;1),SLN(CapEx!$C$28,CapEx!$G$28,CapEx!$F$28)/12,0)</f>
        <v>0</v>
      </c>
      <c r="BT24" s="295">
        <f>IF(AND(BT$3&gt;=$AC24,BT$3&lt;(CapEx!$F$28*12)+$AC$24,CapEx!$F$28&gt;1),SLN(CapEx!$C$28,CapEx!$G$28,CapEx!$F$28)/12,0)</f>
        <v>0</v>
      </c>
      <c r="BU24" s="295">
        <f>IF(AND(BU$3&gt;=$AC24,BU$3&lt;(CapEx!$F$28*12)+$AC$24,CapEx!$F$28&gt;1),SLN(CapEx!$C$28,CapEx!$G$28,CapEx!$F$28)/12,0)</f>
        <v>0</v>
      </c>
      <c r="BV24" s="295">
        <f>IF(AND(BV$3&gt;=$AC24,BV$3&lt;(CapEx!$F$28*12)+$AC$24,CapEx!$F$28&gt;1),SLN(CapEx!$C$28,CapEx!$G$28,CapEx!$F$28)/12,0)</f>
        <v>0</v>
      </c>
      <c r="BW24" s="295">
        <f>IF(AND(BW$3&gt;=$AC24,BW$3&lt;(CapEx!$F$28*12)+$AC$24,CapEx!$F$28&gt;1),SLN(CapEx!$C$28,CapEx!$G$28,CapEx!$F$28)/12,0)</f>
        <v>0</v>
      </c>
      <c r="BX24" s="295">
        <f>IF(AND(BX$3&gt;=$AC24,BX$3&lt;(CapEx!$F$28*12)+$AC$24,CapEx!$F$28&gt;1),SLN(CapEx!$C$28,CapEx!$G$28,CapEx!$F$28)/12,0)</f>
        <v>0</v>
      </c>
      <c r="BY24" s="295">
        <f>IF(AND(BY$3&gt;=$AC24,BY$3&lt;(CapEx!$F$28*12)+$AC$24,CapEx!$F$28&gt;1),SLN(CapEx!$C$28,CapEx!$G$28,CapEx!$F$28)/12,0)</f>
        <v>0</v>
      </c>
      <c r="BZ24" s="295">
        <f>IF(AND(BZ$3&gt;=$AC24,BZ$3&lt;(CapEx!$F$28*12)+$AC$24,CapEx!$F$28&gt;1),SLN(CapEx!$C$28,CapEx!$G$28,CapEx!$F$28)/12,0)</f>
        <v>0</v>
      </c>
      <c r="CA24" s="295">
        <f>IF(AND(CA$3&gt;=$AC24,CA$3&lt;(CapEx!$F$28*12)+$AC$24,CapEx!$F$28&gt;1),SLN(CapEx!$C$28,CapEx!$G$28,CapEx!$F$28)/12,0)</f>
        <v>0</v>
      </c>
      <c r="CB24" s="295">
        <f>IF(AND(CB$3&gt;=$AC24,CB$3&lt;(CapEx!$F$28*12)+$AC$24,CapEx!$F$28&gt;1),SLN(CapEx!$C$28,CapEx!$G$28,CapEx!$F$28)/12,0)</f>
        <v>0</v>
      </c>
      <c r="CC24" s="295">
        <f>IF(AND(CC$3&gt;=$AC24,CC$3&lt;(CapEx!$F$28*12)+$AC$24,CapEx!$F$28&gt;1),SLN(CapEx!$C$28,CapEx!$G$28,CapEx!$F$28)/12,0)</f>
        <v>0</v>
      </c>
      <c r="CD24" s="295">
        <f>IF(AND(CD$3&gt;=$AC24,CD$3&lt;(CapEx!$F$28*12)+$AC$24,CapEx!$F$28&gt;1),SLN(CapEx!$C$28,CapEx!$G$28,CapEx!$F$28)/12,0)</f>
        <v>0</v>
      </c>
      <c r="CE24" s="295">
        <f>IF(AND(CE$3&gt;=$AC24,CE$3&lt;(CapEx!$F$28*12)+$AC$24,CapEx!$F$28&gt;1),SLN(CapEx!$C$28,CapEx!$G$28,CapEx!$F$28)/12,0)</f>
        <v>0</v>
      </c>
      <c r="CF24" s="295">
        <f>IF(AND(CF$3&gt;=$AC24,CF$3&lt;(CapEx!$F$28*12)+$AC$24,CapEx!$F$28&gt;1),SLN(CapEx!$C$28,CapEx!$G$28,CapEx!$F$28)/12,0)</f>
        <v>0</v>
      </c>
      <c r="CG24" s="295">
        <f>IF(AND(CG$3&gt;=$AC24,CG$3&lt;(CapEx!$F$28*12)+$AC$24,CapEx!$F$28&gt;1),SLN(CapEx!$C$28,CapEx!$G$28,CapEx!$F$28)/12,0)</f>
        <v>0</v>
      </c>
      <c r="CH24" s="295">
        <f>IF(AND(CH$3&gt;=$AC24,CH$3&lt;(CapEx!$F$28*12)+$AC$24,CapEx!$F$28&gt;1),SLN(CapEx!$C$28,CapEx!$G$28,CapEx!$F$28)/12,0)</f>
        <v>0</v>
      </c>
      <c r="CI24" s="295">
        <f>IF(AND(CI$3&gt;=$AC24,CI$3&lt;(CapEx!$F$28*12)+$AC$24,CapEx!$F$28&gt;1),SLN(CapEx!$C$28,CapEx!$G$28,CapEx!$F$28)/12,0)</f>
        <v>0</v>
      </c>
      <c r="CJ24" s="295">
        <f>IF(AND(CJ$3&gt;=$AC24,CJ$3&lt;(CapEx!$F$28*12)+$AC$24,CapEx!$F$28&gt;1),SLN(CapEx!$C$28,CapEx!$G$28,CapEx!$F$28)/12,0)</f>
        <v>0</v>
      </c>
      <c r="CK24" s="295">
        <f>IF(AND(CK$3&gt;=$AC24,CK$3&lt;(CapEx!$F$28*12)+$AC$24,CapEx!$F$28&gt;1),SLN(CapEx!$C$28,CapEx!$G$28,CapEx!$F$28)/12,0)</f>
        <v>0</v>
      </c>
    </row>
    <row r="25" spans="1:89">
      <c r="A25" s="145" t="s">
        <v>197</v>
      </c>
      <c r="D25" s="71" t="s">
        <v>289</v>
      </c>
      <c r="E25" s="409">
        <f>BalSht!V14-BalSht!V31</f>
        <v>5050.2298044359095</v>
      </c>
      <c r="Y25" s="79">
        <f>CapEx!F29</f>
        <v>1</v>
      </c>
      <c r="Z25" s="145" t="s">
        <v>245</v>
      </c>
      <c r="AA25" s="297">
        <v>22</v>
      </c>
      <c r="AB25">
        <f>CapEx!C29</f>
        <v>0</v>
      </c>
      <c r="AC25" s="79">
        <f>IF(AB25=0,1,DATEDIF($K$12,DATEVALUE("01-"&amp;CapEx!$D29&amp;"-"&amp;CapEx!$E29),"m")+1)</f>
        <v>1</v>
      </c>
      <c r="AD25" s="295">
        <f>IF(AND(AD$3&gt;=$AC25,AD$3&lt;(CapEx!$F$29*12)+$AC$25,CapEx!$F$29&gt;1),SLN(CapEx!$C$29,CapEx!$G$29,CapEx!$F$29)/12,0)</f>
        <v>0</v>
      </c>
      <c r="AE25" s="295">
        <f>IF(AND(AE$3&gt;=$AC25,AE$3&lt;(CapEx!$F$29*12)+$AC$25,CapEx!$F$29&gt;1),SLN(CapEx!$C$29,CapEx!$G$29,CapEx!$F$29)/12,0)</f>
        <v>0</v>
      </c>
      <c r="AF25" s="295">
        <f>IF(AND(AF$3&gt;=$AC25,AF$3&lt;(CapEx!$F$29*12)+$AC$25,CapEx!$F$29&gt;1),SLN(CapEx!$C$29,CapEx!$G$29,CapEx!$F$29)/12,0)</f>
        <v>0</v>
      </c>
      <c r="AG25" s="295">
        <f>IF(AND(AG$3&gt;=$AC25,AG$3&lt;(CapEx!$F$29*12)+$AC$25,CapEx!$F$29&gt;1),SLN(CapEx!$C$29,CapEx!$G$29,CapEx!$F$29)/12,0)</f>
        <v>0</v>
      </c>
      <c r="AH25" s="295">
        <f>IF(AND(AH$3&gt;=$AC25,AH$3&lt;(CapEx!$F$29*12)+$AC$25,CapEx!$F$29&gt;1),SLN(CapEx!$C$29,CapEx!$G$29,CapEx!$F$29)/12,0)</f>
        <v>0</v>
      </c>
      <c r="AI25" s="295">
        <f>IF(AND(AI$3&gt;=$AC25,AI$3&lt;(CapEx!$F$29*12)+$AC$25,CapEx!$F$29&gt;1),SLN(CapEx!$C$29,CapEx!$G$29,CapEx!$F$29)/12,0)</f>
        <v>0</v>
      </c>
      <c r="AJ25" s="295">
        <f>IF(AND(AJ$3&gt;=$AC25,AJ$3&lt;(CapEx!$F$29*12)+$AC$25,CapEx!$F$29&gt;1),SLN(CapEx!$C$29,CapEx!$G$29,CapEx!$F$29)/12,0)</f>
        <v>0</v>
      </c>
      <c r="AK25" s="295">
        <f>IF(AND(AK$3&gt;=$AC25,AK$3&lt;(CapEx!$F$29*12)+$AC$25,CapEx!$F$29&gt;1),SLN(CapEx!$C$29,CapEx!$G$29,CapEx!$F$29)/12,0)</f>
        <v>0</v>
      </c>
      <c r="AL25" s="295">
        <f>IF(AND(AL$3&gt;=$AC25,AL$3&lt;(CapEx!$F$29*12)+$AC$25,CapEx!$F$29&gt;1),SLN(CapEx!$C$29,CapEx!$G$29,CapEx!$F$29)/12,0)</f>
        <v>0</v>
      </c>
      <c r="AM25" s="295">
        <f>IF(AND(AM$3&gt;=$AC25,AM$3&lt;(CapEx!$F$29*12)+$AC$25,CapEx!$F$29&gt;1),SLN(CapEx!$C$29,CapEx!$G$29,CapEx!$F$29)/12,0)</f>
        <v>0</v>
      </c>
      <c r="AN25" s="295">
        <f>IF(AND(AN$3&gt;=$AC25,AN$3&lt;(CapEx!$F$29*12)+$AC$25,CapEx!$F$29&gt;1),SLN(CapEx!$C$29,CapEx!$G$29,CapEx!$F$29)/12,0)</f>
        <v>0</v>
      </c>
      <c r="AO25" s="295">
        <f>IF(AND(AO$3&gt;=$AC25,AO$3&lt;(CapEx!$F$29*12)+$AC$25,CapEx!$F$29&gt;1),SLN(CapEx!$C$29,CapEx!$G$29,CapEx!$F$29)/12,0)</f>
        <v>0</v>
      </c>
      <c r="AP25" s="295">
        <f>IF(AND(AP$3&gt;=$AC25,AP$3&lt;(CapEx!$F$29*12)+$AC$25,CapEx!$F$29&gt;1),SLN(CapEx!$C$29,CapEx!$G$29,CapEx!$F$29)/12,0)</f>
        <v>0</v>
      </c>
      <c r="AQ25" s="295">
        <f>IF(AND(AQ$3&gt;=$AC25,AQ$3&lt;(CapEx!$F$29*12)+$AC$25,CapEx!$F$29&gt;1),SLN(CapEx!$C$29,CapEx!$G$29,CapEx!$F$29)/12,0)</f>
        <v>0</v>
      </c>
      <c r="AR25" s="295">
        <f>IF(AND(AR$3&gt;=$AC25,AR$3&lt;(CapEx!$F$29*12)+$AC$25,CapEx!$F$29&gt;1),SLN(CapEx!$C$29,CapEx!$G$29,CapEx!$F$29)/12,0)</f>
        <v>0</v>
      </c>
      <c r="AS25" s="295">
        <f>IF(AND(AS$3&gt;=$AC25,AS$3&lt;(CapEx!$F$29*12)+$AC$25,CapEx!$F$29&gt;1),SLN(CapEx!$C$29,CapEx!$G$29,CapEx!$F$29)/12,0)</f>
        <v>0</v>
      </c>
      <c r="AT25" s="295">
        <f>IF(AND(AT$3&gt;=$AC25,AT$3&lt;(CapEx!$F$29*12)+$AC$25,CapEx!$F$29&gt;1),SLN(CapEx!$C$29,CapEx!$G$29,CapEx!$F$29)/12,0)</f>
        <v>0</v>
      </c>
      <c r="AU25" s="295">
        <f>IF(AND(AU$3&gt;=$AC25,AU$3&lt;(CapEx!$F$29*12)+$AC$25,CapEx!$F$29&gt;1),SLN(CapEx!$C$29,CapEx!$G$29,CapEx!$F$29)/12,0)</f>
        <v>0</v>
      </c>
      <c r="AV25" s="295">
        <f>IF(AND(AV$3&gt;=$AC25,AV$3&lt;(CapEx!$F$29*12)+$AC$25,CapEx!$F$29&gt;1),SLN(CapEx!$C$29,CapEx!$G$29,CapEx!$F$29)/12,0)</f>
        <v>0</v>
      </c>
      <c r="AW25" s="295">
        <f>IF(AND(AW$3&gt;=$AC25,AW$3&lt;(CapEx!$F$29*12)+$AC$25,CapEx!$F$29&gt;1),SLN(CapEx!$C$29,CapEx!$G$29,CapEx!$F$29)/12,0)</f>
        <v>0</v>
      </c>
      <c r="AX25" s="295">
        <f>IF(AND(AX$3&gt;=$AC25,AX$3&lt;(CapEx!$F$29*12)+$AC$25,CapEx!$F$29&gt;1),SLN(CapEx!$C$29,CapEx!$G$29,CapEx!$F$29)/12,0)</f>
        <v>0</v>
      </c>
      <c r="AY25" s="295">
        <f>IF(AND(AY$3&gt;=$AC25,AY$3&lt;(CapEx!$F$29*12)+$AC$25,CapEx!$F$29&gt;1),SLN(CapEx!$C$29,CapEx!$G$29,CapEx!$F$29)/12,0)</f>
        <v>0</v>
      </c>
      <c r="AZ25" s="295">
        <f>IF(AND(AZ$3&gt;=$AC25,AZ$3&lt;(CapEx!$F$29*12)+$AC$25,CapEx!$F$29&gt;1),SLN(CapEx!$C$29,CapEx!$G$29,CapEx!$F$29)/12,0)</f>
        <v>0</v>
      </c>
      <c r="BA25" s="295">
        <f>IF(AND(BA$3&gt;=$AC25,BA$3&lt;(CapEx!$F$29*12)+$AC$25,CapEx!$F$29&gt;1),SLN(CapEx!$C$29,CapEx!$G$29,CapEx!$F$29)/12,0)</f>
        <v>0</v>
      </c>
      <c r="BB25" s="295">
        <f>IF(AND(BB$3&gt;=$AC25,BB$3&lt;(CapEx!$F$29*12)+$AC$25,CapEx!$F$29&gt;1),SLN(CapEx!$C$29,CapEx!$G$29,CapEx!$F$29)/12,0)</f>
        <v>0</v>
      </c>
      <c r="BC25" s="295">
        <f>IF(AND(BC$3&gt;=$AC25,BC$3&lt;(CapEx!$F$29*12)+$AC$25,CapEx!$F$29&gt;1),SLN(CapEx!$C$29,CapEx!$G$29,CapEx!$F$29)/12,0)</f>
        <v>0</v>
      </c>
      <c r="BD25" s="295">
        <f>IF(AND(BD$3&gt;=$AC25,BD$3&lt;(CapEx!$F$29*12)+$AC$25,CapEx!$F$29&gt;1),SLN(CapEx!$C$29,CapEx!$G$29,CapEx!$F$29)/12,0)</f>
        <v>0</v>
      </c>
      <c r="BE25" s="295">
        <f>IF(AND(BE$3&gt;=$AC25,BE$3&lt;(CapEx!$F$29*12)+$AC$25,CapEx!$F$29&gt;1),SLN(CapEx!$C$29,CapEx!$G$29,CapEx!$F$29)/12,0)</f>
        <v>0</v>
      </c>
      <c r="BF25" s="295">
        <f>IF(AND(BF$3&gt;=$AC25,BF$3&lt;(CapEx!$F$29*12)+$AC$25,CapEx!$F$29&gt;1),SLN(CapEx!$C$29,CapEx!$G$29,CapEx!$F$29)/12,0)</f>
        <v>0</v>
      </c>
      <c r="BG25" s="295">
        <f>IF(AND(BG$3&gt;=$AC25,BG$3&lt;(CapEx!$F$29*12)+$AC$25,CapEx!$F$29&gt;1),SLN(CapEx!$C$29,CapEx!$G$29,CapEx!$F$29)/12,0)</f>
        <v>0</v>
      </c>
      <c r="BH25" s="295">
        <f>IF(AND(BH$3&gt;=$AC25,BH$3&lt;(CapEx!$F$29*12)+$AC$25,CapEx!$F$29&gt;1),SLN(CapEx!$C$29,CapEx!$G$29,CapEx!$F$29)/12,0)</f>
        <v>0</v>
      </c>
      <c r="BI25" s="295">
        <f>IF(AND(BI$3&gt;=$AC25,BI$3&lt;(CapEx!$F$29*12)+$AC$25,CapEx!$F$29&gt;1),SLN(CapEx!$C$29,CapEx!$G$29,CapEx!$F$29)/12,0)</f>
        <v>0</v>
      </c>
      <c r="BJ25" s="295">
        <f>IF(AND(BJ$3&gt;=$AC25,BJ$3&lt;(CapEx!$F$29*12)+$AC$25,CapEx!$F$29&gt;1),SLN(CapEx!$C$29,CapEx!$G$29,CapEx!$F$29)/12,0)</f>
        <v>0</v>
      </c>
      <c r="BK25" s="295">
        <f>IF(AND(BK$3&gt;=$AC25,BK$3&lt;(CapEx!$F$29*12)+$AC$25,CapEx!$F$29&gt;1),SLN(CapEx!$C$29,CapEx!$G$29,CapEx!$F$29)/12,0)</f>
        <v>0</v>
      </c>
      <c r="BL25" s="295">
        <f>IF(AND(BL$3&gt;=$AC25,BL$3&lt;(CapEx!$F$29*12)+$AC$25,CapEx!$F$29&gt;1),SLN(CapEx!$C$29,CapEx!$G$29,CapEx!$F$29)/12,0)</f>
        <v>0</v>
      </c>
      <c r="BM25" s="295">
        <f>IF(AND(BM$3&gt;=$AC25,BM$3&lt;(CapEx!$F$29*12)+$AC$25,CapEx!$F$29&gt;1),SLN(CapEx!$C$29,CapEx!$G$29,CapEx!$F$29)/12,0)</f>
        <v>0</v>
      </c>
      <c r="BN25" s="295">
        <f>IF(AND(BN$3&gt;=$AC25,BN$3&lt;(CapEx!$F$29*12)+$AC$25,CapEx!$F$29&gt;1),SLN(CapEx!$C$29,CapEx!$G$29,CapEx!$F$29)/12,0)</f>
        <v>0</v>
      </c>
      <c r="BO25" s="295">
        <f>IF(AND(BO$3&gt;=$AC25,BO$3&lt;(CapEx!$F$29*12)+$AC$25,CapEx!$F$29&gt;1),SLN(CapEx!$C$29,CapEx!$G$29,CapEx!$F$29)/12,0)</f>
        <v>0</v>
      </c>
      <c r="BP25" s="295">
        <f>IF(AND(BP$3&gt;=$AC25,BP$3&lt;(CapEx!$F$29*12)+$AC$25,CapEx!$F$29&gt;1),SLN(CapEx!$C$29,CapEx!$G$29,CapEx!$F$29)/12,0)</f>
        <v>0</v>
      </c>
      <c r="BQ25" s="295">
        <f>IF(AND(BQ$3&gt;=$AC25,BQ$3&lt;(CapEx!$F$29*12)+$AC$25,CapEx!$F$29&gt;1),SLN(CapEx!$C$29,CapEx!$G$29,CapEx!$F$29)/12,0)</f>
        <v>0</v>
      </c>
      <c r="BR25" s="295">
        <f>IF(AND(BR$3&gt;=$AC25,BR$3&lt;(CapEx!$F$29*12)+$AC$25,CapEx!$F$29&gt;1),SLN(CapEx!$C$29,CapEx!$G$29,CapEx!$F$29)/12,0)</f>
        <v>0</v>
      </c>
      <c r="BS25" s="295">
        <f>IF(AND(BS$3&gt;=$AC25,BS$3&lt;(CapEx!$F$29*12)+$AC$25,CapEx!$F$29&gt;1),SLN(CapEx!$C$29,CapEx!$G$29,CapEx!$F$29)/12,0)</f>
        <v>0</v>
      </c>
      <c r="BT25" s="295">
        <f>IF(AND(BT$3&gt;=$AC25,BT$3&lt;(CapEx!$F$29*12)+$AC$25,CapEx!$F$29&gt;1),SLN(CapEx!$C$29,CapEx!$G$29,CapEx!$F$29)/12,0)</f>
        <v>0</v>
      </c>
      <c r="BU25" s="295">
        <f>IF(AND(BU$3&gt;=$AC25,BU$3&lt;(CapEx!$F$29*12)+$AC$25,CapEx!$F$29&gt;1),SLN(CapEx!$C$29,CapEx!$G$29,CapEx!$F$29)/12,0)</f>
        <v>0</v>
      </c>
      <c r="BV25" s="295">
        <f>IF(AND(BV$3&gt;=$AC25,BV$3&lt;(CapEx!$F$29*12)+$AC$25,CapEx!$F$29&gt;1),SLN(CapEx!$C$29,CapEx!$G$29,CapEx!$F$29)/12,0)</f>
        <v>0</v>
      </c>
      <c r="BW25" s="295">
        <f>IF(AND(BW$3&gt;=$AC25,BW$3&lt;(CapEx!$F$29*12)+$AC$25,CapEx!$F$29&gt;1),SLN(CapEx!$C$29,CapEx!$G$29,CapEx!$F$29)/12,0)</f>
        <v>0</v>
      </c>
      <c r="BX25" s="295">
        <f>IF(AND(BX$3&gt;=$AC25,BX$3&lt;(CapEx!$F$29*12)+$AC$25,CapEx!$F$29&gt;1),SLN(CapEx!$C$29,CapEx!$G$29,CapEx!$F$29)/12,0)</f>
        <v>0</v>
      </c>
      <c r="BY25" s="295">
        <f>IF(AND(BY$3&gt;=$AC25,BY$3&lt;(CapEx!$F$29*12)+$AC$25,CapEx!$F$29&gt;1),SLN(CapEx!$C$29,CapEx!$G$29,CapEx!$F$29)/12,0)</f>
        <v>0</v>
      </c>
      <c r="BZ25" s="295">
        <f>IF(AND(BZ$3&gt;=$AC25,BZ$3&lt;(CapEx!$F$29*12)+$AC$25,CapEx!$F$29&gt;1),SLN(CapEx!$C$29,CapEx!$G$29,CapEx!$F$29)/12,0)</f>
        <v>0</v>
      </c>
      <c r="CA25" s="295">
        <f>IF(AND(CA$3&gt;=$AC25,CA$3&lt;(CapEx!$F$29*12)+$AC$25,CapEx!$F$29&gt;1),SLN(CapEx!$C$29,CapEx!$G$29,CapEx!$F$29)/12,0)</f>
        <v>0</v>
      </c>
      <c r="CB25" s="295">
        <f>IF(AND(CB$3&gt;=$AC25,CB$3&lt;(CapEx!$F$29*12)+$AC$25,CapEx!$F$29&gt;1),SLN(CapEx!$C$29,CapEx!$G$29,CapEx!$F$29)/12,0)</f>
        <v>0</v>
      </c>
      <c r="CC25" s="295">
        <f>IF(AND(CC$3&gt;=$AC25,CC$3&lt;(CapEx!$F$29*12)+$AC$25,CapEx!$F$29&gt;1),SLN(CapEx!$C$29,CapEx!$G$29,CapEx!$F$29)/12,0)</f>
        <v>0</v>
      </c>
      <c r="CD25" s="295">
        <f>IF(AND(CD$3&gt;=$AC25,CD$3&lt;(CapEx!$F$29*12)+$AC$25,CapEx!$F$29&gt;1),SLN(CapEx!$C$29,CapEx!$G$29,CapEx!$F$29)/12,0)</f>
        <v>0</v>
      </c>
      <c r="CE25" s="295">
        <f>IF(AND(CE$3&gt;=$AC25,CE$3&lt;(CapEx!$F$29*12)+$AC$25,CapEx!$F$29&gt;1),SLN(CapEx!$C$29,CapEx!$G$29,CapEx!$F$29)/12,0)</f>
        <v>0</v>
      </c>
      <c r="CF25" s="295">
        <f>IF(AND(CF$3&gt;=$AC25,CF$3&lt;(CapEx!$F$29*12)+$AC$25,CapEx!$F$29&gt;1),SLN(CapEx!$C$29,CapEx!$G$29,CapEx!$F$29)/12,0)</f>
        <v>0</v>
      </c>
      <c r="CG25" s="295">
        <f>IF(AND(CG$3&gt;=$AC25,CG$3&lt;(CapEx!$F$29*12)+$AC$25,CapEx!$F$29&gt;1),SLN(CapEx!$C$29,CapEx!$G$29,CapEx!$F$29)/12,0)</f>
        <v>0</v>
      </c>
      <c r="CH25" s="295">
        <f>IF(AND(CH$3&gt;=$AC25,CH$3&lt;(CapEx!$F$29*12)+$AC$25,CapEx!$F$29&gt;1),SLN(CapEx!$C$29,CapEx!$G$29,CapEx!$F$29)/12,0)</f>
        <v>0</v>
      </c>
      <c r="CI25" s="295">
        <f>IF(AND(CI$3&gt;=$AC25,CI$3&lt;(CapEx!$F$29*12)+$AC$25,CapEx!$F$29&gt;1),SLN(CapEx!$C$29,CapEx!$G$29,CapEx!$F$29)/12,0)</f>
        <v>0</v>
      </c>
      <c r="CJ25" s="295">
        <f>IF(AND(CJ$3&gt;=$AC25,CJ$3&lt;(CapEx!$F$29*12)+$AC$25,CapEx!$F$29&gt;1),SLN(CapEx!$C$29,CapEx!$G$29,CapEx!$F$29)/12,0)</f>
        <v>0</v>
      </c>
      <c r="CK25" s="295">
        <f>IF(AND(CK$3&gt;=$AC25,CK$3&lt;(CapEx!$F$29*12)+$AC$25,CapEx!$F$29&gt;1),SLN(CapEx!$C$29,CapEx!$G$29,CapEx!$F$29)/12,0)</f>
        <v>0</v>
      </c>
    </row>
    <row r="26" spans="1:89">
      <c r="D26" s="71" t="s">
        <v>290</v>
      </c>
      <c r="E26" s="409">
        <f>BalSht!AB14-BalSht!AB31</f>
        <v>5100.9642155225529</v>
      </c>
      <c r="Y26" s="79">
        <f>CapEx!F30</f>
        <v>1</v>
      </c>
      <c r="Z26" s="145" t="s">
        <v>245</v>
      </c>
      <c r="AA26" s="297">
        <v>23</v>
      </c>
      <c r="AB26">
        <f>CapEx!C30</f>
        <v>0</v>
      </c>
      <c r="AC26" s="79">
        <f>IF(AB26=0,1,DATEDIF($K$12,DATEVALUE("01-"&amp;CapEx!$D30&amp;"-"&amp;CapEx!$E30),"m")+1)</f>
        <v>1</v>
      </c>
      <c r="AD26" s="295">
        <f>IF(AND(AD$3&gt;=$AC26,AD$3&lt;(CapEx!$F$30*12)+$AC$26,CapEx!$F$30&gt;1),SLN(CapEx!$C$30,CapEx!$G$30,CapEx!$F$30)/12,0)</f>
        <v>0</v>
      </c>
      <c r="AE26" s="295">
        <f>IF(AND(AE$3&gt;=$AC26,AE$3&lt;(CapEx!$F$30*12)+$AC$26,CapEx!$F$30&gt;1),SLN(CapEx!$C$30,CapEx!$G$30,CapEx!$F$30)/12,0)</f>
        <v>0</v>
      </c>
      <c r="AF26" s="295">
        <f>IF(AND(AF$3&gt;=$AC26,AF$3&lt;(CapEx!$F$30*12)+$AC$26,CapEx!$F$30&gt;1),SLN(CapEx!$C$30,CapEx!$G$30,CapEx!$F$30)/12,0)</f>
        <v>0</v>
      </c>
      <c r="AG26" s="295">
        <f>IF(AND(AG$3&gt;=$AC26,AG$3&lt;(CapEx!$F$30*12)+$AC$26,CapEx!$F$30&gt;1),SLN(CapEx!$C$30,CapEx!$G$30,CapEx!$F$30)/12,0)</f>
        <v>0</v>
      </c>
      <c r="AH26" s="295">
        <f>IF(AND(AH$3&gt;=$AC26,AH$3&lt;(CapEx!$F$30*12)+$AC$26,CapEx!$F$30&gt;1),SLN(CapEx!$C$30,CapEx!$G$30,CapEx!$F$30)/12,0)</f>
        <v>0</v>
      </c>
      <c r="AI26" s="295">
        <f>IF(AND(AI$3&gt;=$AC26,AI$3&lt;(CapEx!$F$30*12)+$AC$26,CapEx!$F$30&gt;1),SLN(CapEx!$C$30,CapEx!$G$30,CapEx!$F$30)/12,0)</f>
        <v>0</v>
      </c>
      <c r="AJ26" s="295">
        <f>IF(AND(AJ$3&gt;=$AC26,AJ$3&lt;(CapEx!$F$30*12)+$AC$26,CapEx!$F$30&gt;1),SLN(CapEx!$C$30,CapEx!$G$30,CapEx!$F$30)/12,0)</f>
        <v>0</v>
      </c>
      <c r="AK26" s="295">
        <f>IF(AND(AK$3&gt;=$AC26,AK$3&lt;(CapEx!$F$30*12)+$AC$26,CapEx!$F$30&gt;1),SLN(CapEx!$C$30,CapEx!$G$30,CapEx!$F$30)/12,0)</f>
        <v>0</v>
      </c>
      <c r="AL26" s="295">
        <f>IF(AND(AL$3&gt;=$AC26,AL$3&lt;(CapEx!$F$30*12)+$AC$26,CapEx!$F$30&gt;1),SLN(CapEx!$C$30,CapEx!$G$30,CapEx!$F$30)/12,0)</f>
        <v>0</v>
      </c>
      <c r="AM26" s="295">
        <f>IF(AND(AM$3&gt;=$AC26,AM$3&lt;(CapEx!$F$30*12)+$AC$26,CapEx!$F$30&gt;1),SLN(CapEx!$C$30,CapEx!$G$30,CapEx!$F$30)/12,0)</f>
        <v>0</v>
      </c>
      <c r="AN26" s="295">
        <f>IF(AND(AN$3&gt;=$AC26,AN$3&lt;(CapEx!$F$30*12)+$AC$26,CapEx!$F$30&gt;1),SLN(CapEx!$C$30,CapEx!$G$30,CapEx!$F$30)/12,0)</f>
        <v>0</v>
      </c>
      <c r="AO26" s="295">
        <f>IF(AND(AO$3&gt;=$AC26,AO$3&lt;(CapEx!$F$30*12)+$AC$26,CapEx!$F$30&gt;1),SLN(CapEx!$C$30,CapEx!$G$30,CapEx!$F$30)/12,0)</f>
        <v>0</v>
      </c>
      <c r="AP26" s="295">
        <f>IF(AND(AP$3&gt;=$AC26,AP$3&lt;(CapEx!$F$30*12)+$AC$26,CapEx!$F$30&gt;1),SLN(CapEx!$C$30,CapEx!$G$30,CapEx!$F$30)/12,0)</f>
        <v>0</v>
      </c>
      <c r="AQ26" s="295">
        <f>IF(AND(AQ$3&gt;=$AC26,AQ$3&lt;(CapEx!$F$30*12)+$AC$26,CapEx!$F$30&gt;1),SLN(CapEx!$C$30,CapEx!$G$30,CapEx!$F$30)/12,0)</f>
        <v>0</v>
      </c>
      <c r="AR26" s="295">
        <f>IF(AND(AR$3&gt;=$AC26,AR$3&lt;(CapEx!$F$30*12)+$AC$26,CapEx!$F$30&gt;1),SLN(CapEx!$C$30,CapEx!$G$30,CapEx!$F$30)/12,0)</f>
        <v>0</v>
      </c>
      <c r="AS26" s="295">
        <f>IF(AND(AS$3&gt;=$AC26,AS$3&lt;(CapEx!$F$30*12)+$AC$26,CapEx!$F$30&gt;1),SLN(CapEx!$C$30,CapEx!$G$30,CapEx!$F$30)/12,0)</f>
        <v>0</v>
      </c>
      <c r="AT26" s="295">
        <f>IF(AND(AT$3&gt;=$AC26,AT$3&lt;(CapEx!$F$30*12)+$AC$26,CapEx!$F$30&gt;1),SLN(CapEx!$C$30,CapEx!$G$30,CapEx!$F$30)/12,0)</f>
        <v>0</v>
      </c>
      <c r="AU26" s="295">
        <f>IF(AND(AU$3&gt;=$AC26,AU$3&lt;(CapEx!$F$30*12)+$AC$26,CapEx!$F$30&gt;1),SLN(CapEx!$C$30,CapEx!$G$30,CapEx!$F$30)/12,0)</f>
        <v>0</v>
      </c>
      <c r="AV26" s="295">
        <f>IF(AND(AV$3&gt;=$AC26,AV$3&lt;(CapEx!$F$30*12)+$AC$26,CapEx!$F$30&gt;1),SLN(CapEx!$C$30,CapEx!$G$30,CapEx!$F$30)/12,0)</f>
        <v>0</v>
      </c>
      <c r="AW26" s="295">
        <f>IF(AND(AW$3&gt;=$AC26,AW$3&lt;(CapEx!$F$30*12)+$AC$26,CapEx!$F$30&gt;1),SLN(CapEx!$C$30,CapEx!$G$30,CapEx!$F$30)/12,0)</f>
        <v>0</v>
      </c>
      <c r="AX26" s="295">
        <f>IF(AND(AX$3&gt;=$AC26,AX$3&lt;(CapEx!$F$30*12)+$AC$26,CapEx!$F$30&gt;1),SLN(CapEx!$C$30,CapEx!$G$30,CapEx!$F$30)/12,0)</f>
        <v>0</v>
      </c>
      <c r="AY26" s="295">
        <f>IF(AND(AY$3&gt;=$AC26,AY$3&lt;(CapEx!$F$30*12)+$AC$26,CapEx!$F$30&gt;1),SLN(CapEx!$C$30,CapEx!$G$30,CapEx!$F$30)/12,0)</f>
        <v>0</v>
      </c>
      <c r="AZ26" s="295">
        <f>IF(AND(AZ$3&gt;=$AC26,AZ$3&lt;(CapEx!$F$30*12)+$AC$26,CapEx!$F$30&gt;1),SLN(CapEx!$C$30,CapEx!$G$30,CapEx!$F$30)/12,0)</f>
        <v>0</v>
      </c>
      <c r="BA26" s="295">
        <f>IF(AND(BA$3&gt;=$AC26,BA$3&lt;(CapEx!$F$30*12)+$AC$26,CapEx!$F$30&gt;1),SLN(CapEx!$C$30,CapEx!$G$30,CapEx!$F$30)/12,0)</f>
        <v>0</v>
      </c>
      <c r="BB26" s="295">
        <f>IF(AND(BB$3&gt;=$AC26,BB$3&lt;(CapEx!$F$30*12)+$AC$26,CapEx!$F$30&gt;1),SLN(CapEx!$C$30,CapEx!$G$30,CapEx!$F$30)/12,0)</f>
        <v>0</v>
      </c>
      <c r="BC26" s="295">
        <f>IF(AND(BC$3&gt;=$AC26,BC$3&lt;(CapEx!$F$30*12)+$AC$26,CapEx!$F$30&gt;1),SLN(CapEx!$C$30,CapEx!$G$30,CapEx!$F$30)/12,0)</f>
        <v>0</v>
      </c>
      <c r="BD26" s="295">
        <f>IF(AND(BD$3&gt;=$AC26,BD$3&lt;(CapEx!$F$30*12)+$AC$26,CapEx!$F$30&gt;1),SLN(CapEx!$C$30,CapEx!$G$30,CapEx!$F$30)/12,0)</f>
        <v>0</v>
      </c>
      <c r="BE26" s="295">
        <f>IF(AND(BE$3&gt;=$AC26,BE$3&lt;(CapEx!$F$30*12)+$AC$26,CapEx!$F$30&gt;1),SLN(CapEx!$C$30,CapEx!$G$30,CapEx!$F$30)/12,0)</f>
        <v>0</v>
      </c>
      <c r="BF26" s="295">
        <f>IF(AND(BF$3&gt;=$AC26,BF$3&lt;(CapEx!$F$30*12)+$AC$26,CapEx!$F$30&gt;1),SLN(CapEx!$C$30,CapEx!$G$30,CapEx!$F$30)/12,0)</f>
        <v>0</v>
      </c>
      <c r="BG26" s="295">
        <f>IF(AND(BG$3&gt;=$AC26,BG$3&lt;(CapEx!$F$30*12)+$AC$26,CapEx!$F$30&gt;1),SLN(CapEx!$C$30,CapEx!$G$30,CapEx!$F$30)/12,0)</f>
        <v>0</v>
      </c>
      <c r="BH26" s="295">
        <f>IF(AND(BH$3&gt;=$AC26,BH$3&lt;(CapEx!$F$30*12)+$AC$26,CapEx!$F$30&gt;1),SLN(CapEx!$C$30,CapEx!$G$30,CapEx!$F$30)/12,0)</f>
        <v>0</v>
      </c>
      <c r="BI26" s="295">
        <f>IF(AND(BI$3&gt;=$AC26,BI$3&lt;(CapEx!$F$30*12)+$AC$26,CapEx!$F$30&gt;1),SLN(CapEx!$C$30,CapEx!$G$30,CapEx!$F$30)/12,0)</f>
        <v>0</v>
      </c>
      <c r="BJ26" s="295">
        <f>IF(AND(BJ$3&gt;=$AC26,BJ$3&lt;(CapEx!$F$30*12)+$AC$26,CapEx!$F$30&gt;1),SLN(CapEx!$C$30,CapEx!$G$30,CapEx!$F$30)/12,0)</f>
        <v>0</v>
      </c>
      <c r="BK26" s="295">
        <f>IF(AND(BK$3&gt;=$AC26,BK$3&lt;(CapEx!$F$30*12)+$AC$26,CapEx!$F$30&gt;1),SLN(CapEx!$C$30,CapEx!$G$30,CapEx!$F$30)/12,0)</f>
        <v>0</v>
      </c>
      <c r="BL26" s="295">
        <f>IF(AND(BL$3&gt;=$AC26,BL$3&lt;(CapEx!$F$30*12)+$AC$26,CapEx!$F$30&gt;1),SLN(CapEx!$C$30,CapEx!$G$30,CapEx!$F$30)/12,0)</f>
        <v>0</v>
      </c>
      <c r="BM26" s="295">
        <f>IF(AND(BM$3&gt;=$AC26,BM$3&lt;(CapEx!$F$30*12)+$AC$26,CapEx!$F$30&gt;1),SLN(CapEx!$C$30,CapEx!$G$30,CapEx!$F$30)/12,0)</f>
        <v>0</v>
      </c>
      <c r="BN26" s="295">
        <f>IF(AND(BN$3&gt;=$AC26,BN$3&lt;(CapEx!$F$30*12)+$AC$26,CapEx!$F$30&gt;1),SLN(CapEx!$C$30,CapEx!$G$30,CapEx!$F$30)/12,0)</f>
        <v>0</v>
      </c>
      <c r="BO26" s="295">
        <f>IF(AND(BO$3&gt;=$AC26,BO$3&lt;(CapEx!$F$30*12)+$AC$26,CapEx!$F$30&gt;1),SLN(CapEx!$C$30,CapEx!$G$30,CapEx!$F$30)/12,0)</f>
        <v>0</v>
      </c>
      <c r="BP26" s="295">
        <f>IF(AND(BP$3&gt;=$AC26,BP$3&lt;(CapEx!$F$30*12)+$AC$26,CapEx!$F$30&gt;1),SLN(CapEx!$C$30,CapEx!$G$30,CapEx!$F$30)/12,0)</f>
        <v>0</v>
      </c>
      <c r="BQ26" s="295">
        <f>IF(AND(BQ$3&gt;=$AC26,BQ$3&lt;(CapEx!$F$30*12)+$AC$26,CapEx!$F$30&gt;1),SLN(CapEx!$C$30,CapEx!$G$30,CapEx!$F$30)/12,0)</f>
        <v>0</v>
      </c>
      <c r="BR26" s="295">
        <f>IF(AND(BR$3&gt;=$AC26,BR$3&lt;(CapEx!$F$30*12)+$AC$26,CapEx!$F$30&gt;1),SLN(CapEx!$C$30,CapEx!$G$30,CapEx!$F$30)/12,0)</f>
        <v>0</v>
      </c>
      <c r="BS26" s="295">
        <f>IF(AND(BS$3&gt;=$AC26,BS$3&lt;(CapEx!$F$30*12)+$AC$26,CapEx!$F$30&gt;1),SLN(CapEx!$C$30,CapEx!$G$30,CapEx!$F$30)/12,0)</f>
        <v>0</v>
      </c>
      <c r="BT26" s="295">
        <f>IF(AND(BT$3&gt;=$AC26,BT$3&lt;(CapEx!$F$30*12)+$AC$26,CapEx!$F$30&gt;1),SLN(CapEx!$C$30,CapEx!$G$30,CapEx!$F$30)/12,0)</f>
        <v>0</v>
      </c>
      <c r="BU26" s="295">
        <f>IF(AND(BU$3&gt;=$AC26,BU$3&lt;(CapEx!$F$30*12)+$AC$26,CapEx!$F$30&gt;1),SLN(CapEx!$C$30,CapEx!$G$30,CapEx!$F$30)/12,0)</f>
        <v>0</v>
      </c>
      <c r="BV26" s="295">
        <f>IF(AND(BV$3&gt;=$AC26,BV$3&lt;(CapEx!$F$30*12)+$AC$26,CapEx!$F$30&gt;1),SLN(CapEx!$C$30,CapEx!$G$30,CapEx!$F$30)/12,0)</f>
        <v>0</v>
      </c>
      <c r="BW26" s="295">
        <f>IF(AND(BW$3&gt;=$AC26,BW$3&lt;(CapEx!$F$30*12)+$AC$26,CapEx!$F$30&gt;1),SLN(CapEx!$C$30,CapEx!$G$30,CapEx!$F$30)/12,0)</f>
        <v>0</v>
      </c>
      <c r="BX26" s="295">
        <f>IF(AND(BX$3&gt;=$AC26,BX$3&lt;(CapEx!$F$30*12)+$AC$26,CapEx!$F$30&gt;1),SLN(CapEx!$C$30,CapEx!$G$30,CapEx!$F$30)/12,0)</f>
        <v>0</v>
      </c>
      <c r="BY26" s="295">
        <f>IF(AND(BY$3&gt;=$AC26,BY$3&lt;(CapEx!$F$30*12)+$AC$26,CapEx!$F$30&gt;1),SLN(CapEx!$C$30,CapEx!$G$30,CapEx!$F$30)/12,0)</f>
        <v>0</v>
      </c>
      <c r="BZ26" s="295">
        <f>IF(AND(BZ$3&gt;=$AC26,BZ$3&lt;(CapEx!$F$30*12)+$AC$26,CapEx!$F$30&gt;1),SLN(CapEx!$C$30,CapEx!$G$30,CapEx!$F$30)/12,0)</f>
        <v>0</v>
      </c>
      <c r="CA26" s="295">
        <f>IF(AND(CA$3&gt;=$AC26,CA$3&lt;(CapEx!$F$30*12)+$AC$26,CapEx!$F$30&gt;1),SLN(CapEx!$C$30,CapEx!$G$30,CapEx!$F$30)/12,0)</f>
        <v>0</v>
      </c>
      <c r="CB26" s="295">
        <f>IF(AND(CB$3&gt;=$AC26,CB$3&lt;(CapEx!$F$30*12)+$AC$26,CapEx!$F$30&gt;1),SLN(CapEx!$C$30,CapEx!$G$30,CapEx!$F$30)/12,0)</f>
        <v>0</v>
      </c>
      <c r="CC26" s="295">
        <f>IF(AND(CC$3&gt;=$AC26,CC$3&lt;(CapEx!$F$30*12)+$AC$26,CapEx!$F$30&gt;1),SLN(CapEx!$C$30,CapEx!$G$30,CapEx!$F$30)/12,0)</f>
        <v>0</v>
      </c>
      <c r="CD26" s="295">
        <f>IF(AND(CD$3&gt;=$AC26,CD$3&lt;(CapEx!$F$30*12)+$AC$26,CapEx!$F$30&gt;1),SLN(CapEx!$C$30,CapEx!$G$30,CapEx!$F$30)/12,0)</f>
        <v>0</v>
      </c>
      <c r="CE26" s="295">
        <f>IF(AND(CE$3&gt;=$AC26,CE$3&lt;(CapEx!$F$30*12)+$AC$26,CapEx!$F$30&gt;1),SLN(CapEx!$C$30,CapEx!$G$30,CapEx!$F$30)/12,0)</f>
        <v>0</v>
      </c>
      <c r="CF26" s="295">
        <f>IF(AND(CF$3&gt;=$AC26,CF$3&lt;(CapEx!$F$30*12)+$AC$26,CapEx!$F$30&gt;1),SLN(CapEx!$C$30,CapEx!$G$30,CapEx!$F$30)/12,0)</f>
        <v>0</v>
      </c>
      <c r="CG26" s="295">
        <f>IF(AND(CG$3&gt;=$AC26,CG$3&lt;(CapEx!$F$30*12)+$AC$26,CapEx!$F$30&gt;1),SLN(CapEx!$C$30,CapEx!$G$30,CapEx!$F$30)/12,0)</f>
        <v>0</v>
      </c>
      <c r="CH26" s="295">
        <f>IF(AND(CH$3&gt;=$AC26,CH$3&lt;(CapEx!$F$30*12)+$AC$26,CapEx!$F$30&gt;1),SLN(CapEx!$C$30,CapEx!$G$30,CapEx!$F$30)/12,0)</f>
        <v>0</v>
      </c>
      <c r="CI26" s="295">
        <f>IF(AND(CI$3&gt;=$AC26,CI$3&lt;(CapEx!$F$30*12)+$AC$26,CapEx!$F$30&gt;1),SLN(CapEx!$C$30,CapEx!$G$30,CapEx!$F$30)/12,0)</f>
        <v>0</v>
      </c>
      <c r="CJ26" s="295">
        <f>IF(AND(CJ$3&gt;=$AC26,CJ$3&lt;(CapEx!$F$30*12)+$AC$26,CapEx!$F$30&gt;1),SLN(CapEx!$C$30,CapEx!$G$30,CapEx!$F$30)/12,0)</f>
        <v>0</v>
      </c>
      <c r="CK26" s="295">
        <f>IF(AND(CK$3&gt;=$AC26,CK$3&lt;(CapEx!$F$30*12)+$AC$26,CapEx!$F$30&gt;1),SLN(CapEx!$C$30,CapEx!$G$30,CapEx!$F$30)/12,0)</f>
        <v>0</v>
      </c>
    </row>
    <row r="27" spans="1:89">
      <c r="D27" s="71" t="s">
        <v>291</v>
      </c>
      <c r="E27" s="409">
        <f>BalSht!AH14-BalSht!AH31</f>
        <v>5152.1654628453807</v>
      </c>
      <c r="Y27" s="79">
        <f>CapEx!F31</f>
        <v>1</v>
      </c>
      <c r="Z27" s="145" t="s">
        <v>245</v>
      </c>
      <c r="AA27" s="297">
        <v>24</v>
      </c>
      <c r="AB27">
        <f>CapEx!C31</f>
        <v>0</v>
      </c>
      <c r="AC27" s="79">
        <f>IF(AB27=0,1,DATEDIF($K$12,DATEVALUE("01-"&amp;CapEx!$D31&amp;"-"&amp;CapEx!$E31),"m")+1)</f>
        <v>1</v>
      </c>
      <c r="AD27" s="295">
        <f>IF(AND(AD$3&gt;=$AC27,AD$3&lt;(CapEx!$F$31*12)+$AC$27,CapEx!$F$31&gt;1),SLN(CapEx!$C$31,CapEx!$G$31,CapEx!$F$31)/12,0)</f>
        <v>0</v>
      </c>
      <c r="AE27" s="295">
        <f>IF(AND(AE$3&gt;=$AC27,AE$3&lt;(CapEx!$F$31*12)+$AC$27,CapEx!$F$31&gt;1),SLN(CapEx!$C$31,CapEx!$G$31,CapEx!$F$31)/12,0)</f>
        <v>0</v>
      </c>
      <c r="AF27" s="295">
        <f>IF(AND(AF$3&gt;=$AC27,AF$3&lt;(CapEx!$F$31*12)+$AC$27,CapEx!$F$31&gt;1),SLN(CapEx!$C$31,CapEx!$G$31,CapEx!$F$31)/12,0)</f>
        <v>0</v>
      </c>
      <c r="AG27" s="295">
        <f>IF(AND(AG$3&gt;=$AC27,AG$3&lt;(CapEx!$F$31*12)+$AC$27,CapEx!$F$31&gt;1),SLN(CapEx!$C$31,CapEx!$G$31,CapEx!$F$31)/12,0)</f>
        <v>0</v>
      </c>
      <c r="AH27" s="295">
        <f>IF(AND(AH$3&gt;=$AC27,AH$3&lt;(CapEx!$F$31*12)+$AC$27,CapEx!$F$31&gt;1),SLN(CapEx!$C$31,CapEx!$G$31,CapEx!$F$31)/12,0)</f>
        <v>0</v>
      </c>
      <c r="AI27" s="295">
        <f>IF(AND(AI$3&gt;=$AC27,AI$3&lt;(CapEx!$F$31*12)+$AC$27,CapEx!$F$31&gt;1),SLN(CapEx!$C$31,CapEx!$G$31,CapEx!$F$31)/12,0)</f>
        <v>0</v>
      </c>
      <c r="AJ27" s="295">
        <f>IF(AND(AJ$3&gt;=$AC27,AJ$3&lt;(CapEx!$F$31*12)+$AC$27,CapEx!$F$31&gt;1),SLN(CapEx!$C$31,CapEx!$G$31,CapEx!$F$31)/12,0)</f>
        <v>0</v>
      </c>
      <c r="AK27" s="295">
        <f>IF(AND(AK$3&gt;=$AC27,AK$3&lt;(CapEx!$F$31*12)+$AC$27,CapEx!$F$31&gt;1),SLN(CapEx!$C$31,CapEx!$G$31,CapEx!$F$31)/12,0)</f>
        <v>0</v>
      </c>
      <c r="AL27" s="295">
        <f>IF(AND(AL$3&gt;=$AC27,AL$3&lt;(CapEx!$F$31*12)+$AC$27,CapEx!$F$31&gt;1),SLN(CapEx!$C$31,CapEx!$G$31,CapEx!$F$31)/12,0)</f>
        <v>0</v>
      </c>
      <c r="AM27" s="295">
        <f>IF(AND(AM$3&gt;=$AC27,AM$3&lt;(CapEx!$F$31*12)+$AC$27,CapEx!$F$31&gt;1),SLN(CapEx!$C$31,CapEx!$G$31,CapEx!$F$31)/12,0)</f>
        <v>0</v>
      </c>
      <c r="AN27" s="295">
        <f>IF(AND(AN$3&gt;=$AC27,AN$3&lt;(CapEx!$F$31*12)+$AC$27,CapEx!$F$31&gt;1),SLN(CapEx!$C$31,CapEx!$G$31,CapEx!$F$31)/12,0)</f>
        <v>0</v>
      </c>
      <c r="AO27" s="295">
        <f>IF(AND(AO$3&gt;=$AC27,AO$3&lt;(CapEx!$F$31*12)+$AC$27,CapEx!$F$31&gt;1),SLN(CapEx!$C$31,CapEx!$G$31,CapEx!$F$31)/12,0)</f>
        <v>0</v>
      </c>
      <c r="AP27" s="295">
        <f>IF(AND(AP$3&gt;=$AC27,AP$3&lt;(CapEx!$F$31*12)+$AC$27,CapEx!$F$31&gt;1),SLN(CapEx!$C$31,CapEx!$G$31,CapEx!$F$31)/12,0)</f>
        <v>0</v>
      </c>
      <c r="AQ27" s="295">
        <f>IF(AND(AQ$3&gt;=$AC27,AQ$3&lt;(CapEx!$F$31*12)+$AC$27,CapEx!$F$31&gt;1),SLN(CapEx!$C$31,CapEx!$G$31,CapEx!$F$31)/12,0)</f>
        <v>0</v>
      </c>
      <c r="AR27" s="295">
        <f>IF(AND(AR$3&gt;=$AC27,AR$3&lt;(CapEx!$F$31*12)+$AC$27,CapEx!$F$31&gt;1),SLN(CapEx!$C$31,CapEx!$G$31,CapEx!$F$31)/12,0)</f>
        <v>0</v>
      </c>
      <c r="AS27" s="295">
        <f>IF(AND(AS$3&gt;=$AC27,AS$3&lt;(CapEx!$F$31*12)+$AC$27,CapEx!$F$31&gt;1),SLN(CapEx!$C$31,CapEx!$G$31,CapEx!$F$31)/12,0)</f>
        <v>0</v>
      </c>
      <c r="AT27" s="295">
        <f>IF(AND(AT$3&gt;=$AC27,AT$3&lt;(CapEx!$F$31*12)+$AC$27,CapEx!$F$31&gt;1),SLN(CapEx!$C$31,CapEx!$G$31,CapEx!$F$31)/12,0)</f>
        <v>0</v>
      </c>
      <c r="AU27" s="295">
        <f>IF(AND(AU$3&gt;=$AC27,AU$3&lt;(CapEx!$F$31*12)+$AC$27,CapEx!$F$31&gt;1),SLN(CapEx!$C$31,CapEx!$G$31,CapEx!$F$31)/12,0)</f>
        <v>0</v>
      </c>
      <c r="AV27" s="295">
        <f>IF(AND(AV$3&gt;=$AC27,AV$3&lt;(CapEx!$F$31*12)+$AC$27,CapEx!$F$31&gt;1),SLN(CapEx!$C$31,CapEx!$G$31,CapEx!$F$31)/12,0)</f>
        <v>0</v>
      </c>
      <c r="AW27" s="295">
        <f>IF(AND(AW$3&gt;=$AC27,AW$3&lt;(CapEx!$F$31*12)+$AC$27,CapEx!$F$31&gt;1),SLN(CapEx!$C$31,CapEx!$G$31,CapEx!$F$31)/12,0)</f>
        <v>0</v>
      </c>
      <c r="AX27" s="295">
        <f>IF(AND(AX$3&gt;=$AC27,AX$3&lt;(CapEx!$F$31*12)+$AC$27,CapEx!$F$31&gt;1),SLN(CapEx!$C$31,CapEx!$G$31,CapEx!$F$31)/12,0)</f>
        <v>0</v>
      </c>
      <c r="AY27" s="295">
        <f>IF(AND(AY$3&gt;=$AC27,AY$3&lt;(CapEx!$F$31*12)+$AC$27,CapEx!$F$31&gt;1),SLN(CapEx!$C$31,CapEx!$G$31,CapEx!$F$31)/12,0)</f>
        <v>0</v>
      </c>
      <c r="AZ27" s="295">
        <f>IF(AND(AZ$3&gt;=$AC27,AZ$3&lt;(CapEx!$F$31*12)+$AC$27,CapEx!$F$31&gt;1),SLN(CapEx!$C$31,CapEx!$G$31,CapEx!$F$31)/12,0)</f>
        <v>0</v>
      </c>
      <c r="BA27" s="295">
        <f>IF(AND(BA$3&gt;=$AC27,BA$3&lt;(CapEx!$F$31*12)+$AC$27,CapEx!$F$31&gt;1),SLN(CapEx!$C$31,CapEx!$G$31,CapEx!$F$31)/12,0)</f>
        <v>0</v>
      </c>
      <c r="BB27" s="295">
        <f>IF(AND(BB$3&gt;=$AC27,BB$3&lt;(CapEx!$F$31*12)+$AC$27,CapEx!$F$31&gt;1),SLN(CapEx!$C$31,CapEx!$G$31,CapEx!$F$31)/12,0)</f>
        <v>0</v>
      </c>
      <c r="BC27" s="295">
        <f>IF(AND(BC$3&gt;=$AC27,BC$3&lt;(CapEx!$F$31*12)+$AC$27,CapEx!$F$31&gt;1),SLN(CapEx!$C$31,CapEx!$G$31,CapEx!$F$31)/12,0)</f>
        <v>0</v>
      </c>
      <c r="BD27" s="295">
        <f>IF(AND(BD$3&gt;=$AC27,BD$3&lt;(CapEx!$F$31*12)+$AC$27,CapEx!$F$31&gt;1),SLN(CapEx!$C$31,CapEx!$G$31,CapEx!$F$31)/12,0)</f>
        <v>0</v>
      </c>
      <c r="BE27" s="295">
        <f>IF(AND(BE$3&gt;=$AC27,BE$3&lt;(CapEx!$F$31*12)+$AC$27,CapEx!$F$31&gt;1),SLN(CapEx!$C$31,CapEx!$G$31,CapEx!$F$31)/12,0)</f>
        <v>0</v>
      </c>
      <c r="BF27" s="295">
        <f>IF(AND(BF$3&gt;=$AC27,BF$3&lt;(CapEx!$F$31*12)+$AC$27,CapEx!$F$31&gt;1),SLN(CapEx!$C$31,CapEx!$G$31,CapEx!$F$31)/12,0)</f>
        <v>0</v>
      </c>
      <c r="BG27" s="295">
        <f>IF(AND(BG$3&gt;=$AC27,BG$3&lt;(CapEx!$F$31*12)+$AC$27,CapEx!$F$31&gt;1),SLN(CapEx!$C$31,CapEx!$G$31,CapEx!$F$31)/12,0)</f>
        <v>0</v>
      </c>
      <c r="BH27" s="295">
        <f>IF(AND(BH$3&gt;=$AC27,BH$3&lt;(CapEx!$F$31*12)+$AC$27,CapEx!$F$31&gt;1),SLN(CapEx!$C$31,CapEx!$G$31,CapEx!$F$31)/12,0)</f>
        <v>0</v>
      </c>
      <c r="BI27" s="295">
        <f>IF(AND(BI$3&gt;=$AC27,BI$3&lt;(CapEx!$F$31*12)+$AC$27,CapEx!$F$31&gt;1),SLN(CapEx!$C$31,CapEx!$G$31,CapEx!$F$31)/12,0)</f>
        <v>0</v>
      </c>
      <c r="BJ27" s="295">
        <f>IF(AND(BJ$3&gt;=$AC27,BJ$3&lt;(CapEx!$F$31*12)+$AC$27,CapEx!$F$31&gt;1),SLN(CapEx!$C$31,CapEx!$G$31,CapEx!$F$31)/12,0)</f>
        <v>0</v>
      </c>
      <c r="BK27" s="295">
        <f>IF(AND(BK$3&gt;=$AC27,BK$3&lt;(CapEx!$F$31*12)+$AC$27,CapEx!$F$31&gt;1),SLN(CapEx!$C$31,CapEx!$G$31,CapEx!$F$31)/12,0)</f>
        <v>0</v>
      </c>
      <c r="BL27" s="295">
        <f>IF(AND(BL$3&gt;=$AC27,BL$3&lt;(CapEx!$F$31*12)+$AC$27,CapEx!$F$31&gt;1),SLN(CapEx!$C$31,CapEx!$G$31,CapEx!$F$31)/12,0)</f>
        <v>0</v>
      </c>
      <c r="BM27" s="295">
        <f>IF(AND(BM$3&gt;=$AC27,BM$3&lt;(CapEx!$F$31*12)+$AC$27,CapEx!$F$31&gt;1),SLN(CapEx!$C$31,CapEx!$G$31,CapEx!$F$31)/12,0)</f>
        <v>0</v>
      </c>
      <c r="BN27" s="295">
        <f>IF(AND(BN$3&gt;=$AC27,BN$3&lt;(CapEx!$F$31*12)+$AC$27,CapEx!$F$31&gt;1),SLN(CapEx!$C$31,CapEx!$G$31,CapEx!$F$31)/12,0)</f>
        <v>0</v>
      </c>
      <c r="BO27" s="295">
        <f>IF(AND(BO$3&gt;=$AC27,BO$3&lt;(CapEx!$F$31*12)+$AC$27,CapEx!$F$31&gt;1),SLN(CapEx!$C$31,CapEx!$G$31,CapEx!$F$31)/12,0)</f>
        <v>0</v>
      </c>
      <c r="BP27" s="295">
        <f>IF(AND(BP$3&gt;=$AC27,BP$3&lt;(CapEx!$F$31*12)+$AC$27,CapEx!$F$31&gt;1),SLN(CapEx!$C$31,CapEx!$G$31,CapEx!$F$31)/12,0)</f>
        <v>0</v>
      </c>
      <c r="BQ27" s="295">
        <f>IF(AND(BQ$3&gt;=$AC27,BQ$3&lt;(CapEx!$F$31*12)+$AC$27,CapEx!$F$31&gt;1),SLN(CapEx!$C$31,CapEx!$G$31,CapEx!$F$31)/12,0)</f>
        <v>0</v>
      </c>
      <c r="BR27" s="295">
        <f>IF(AND(BR$3&gt;=$AC27,BR$3&lt;(CapEx!$F$31*12)+$AC$27,CapEx!$F$31&gt;1),SLN(CapEx!$C$31,CapEx!$G$31,CapEx!$F$31)/12,0)</f>
        <v>0</v>
      </c>
      <c r="BS27" s="295">
        <f>IF(AND(BS$3&gt;=$AC27,BS$3&lt;(CapEx!$F$31*12)+$AC$27,CapEx!$F$31&gt;1),SLN(CapEx!$C$31,CapEx!$G$31,CapEx!$F$31)/12,0)</f>
        <v>0</v>
      </c>
      <c r="BT27" s="295">
        <f>IF(AND(BT$3&gt;=$AC27,BT$3&lt;(CapEx!$F$31*12)+$AC$27,CapEx!$F$31&gt;1),SLN(CapEx!$C$31,CapEx!$G$31,CapEx!$F$31)/12,0)</f>
        <v>0</v>
      </c>
      <c r="BU27" s="295">
        <f>IF(AND(BU$3&gt;=$AC27,BU$3&lt;(CapEx!$F$31*12)+$AC$27,CapEx!$F$31&gt;1),SLN(CapEx!$C$31,CapEx!$G$31,CapEx!$F$31)/12,0)</f>
        <v>0</v>
      </c>
      <c r="BV27" s="295">
        <f>IF(AND(BV$3&gt;=$AC27,BV$3&lt;(CapEx!$F$31*12)+$AC$27,CapEx!$F$31&gt;1),SLN(CapEx!$C$31,CapEx!$G$31,CapEx!$F$31)/12,0)</f>
        <v>0</v>
      </c>
      <c r="BW27" s="295">
        <f>IF(AND(BW$3&gt;=$AC27,BW$3&lt;(CapEx!$F$31*12)+$AC$27,CapEx!$F$31&gt;1),SLN(CapEx!$C$31,CapEx!$G$31,CapEx!$F$31)/12,0)</f>
        <v>0</v>
      </c>
      <c r="BX27" s="295">
        <f>IF(AND(BX$3&gt;=$AC27,BX$3&lt;(CapEx!$F$31*12)+$AC$27,CapEx!$F$31&gt;1),SLN(CapEx!$C$31,CapEx!$G$31,CapEx!$F$31)/12,0)</f>
        <v>0</v>
      </c>
      <c r="BY27" s="295">
        <f>IF(AND(BY$3&gt;=$AC27,BY$3&lt;(CapEx!$F$31*12)+$AC$27,CapEx!$F$31&gt;1),SLN(CapEx!$C$31,CapEx!$G$31,CapEx!$F$31)/12,0)</f>
        <v>0</v>
      </c>
      <c r="BZ27" s="295">
        <f>IF(AND(BZ$3&gt;=$AC27,BZ$3&lt;(CapEx!$F$31*12)+$AC$27,CapEx!$F$31&gt;1),SLN(CapEx!$C$31,CapEx!$G$31,CapEx!$F$31)/12,0)</f>
        <v>0</v>
      </c>
      <c r="CA27" s="295">
        <f>IF(AND(CA$3&gt;=$AC27,CA$3&lt;(CapEx!$F$31*12)+$AC$27,CapEx!$F$31&gt;1),SLN(CapEx!$C$31,CapEx!$G$31,CapEx!$F$31)/12,0)</f>
        <v>0</v>
      </c>
      <c r="CB27" s="295">
        <f>IF(AND(CB$3&gt;=$AC27,CB$3&lt;(CapEx!$F$31*12)+$AC$27,CapEx!$F$31&gt;1),SLN(CapEx!$C$31,CapEx!$G$31,CapEx!$F$31)/12,0)</f>
        <v>0</v>
      </c>
      <c r="CC27" s="295">
        <f>IF(AND(CC$3&gt;=$AC27,CC$3&lt;(CapEx!$F$31*12)+$AC$27,CapEx!$F$31&gt;1),SLN(CapEx!$C$31,CapEx!$G$31,CapEx!$F$31)/12,0)</f>
        <v>0</v>
      </c>
      <c r="CD27" s="295">
        <f>IF(AND(CD$3&gt;=$AC27,CD$3&lt;(CapEx!$F$31*12)+$AC$27,CapEx!$F$31&gt;1),SLN(CapEx!$C$31,CapEx!$G$31,CapEx!$F$31)/12,0)</f>
        <v>0</v>
      </c>
      <c r="CE27" s="295">
        <f>IF(AND(CE$3&gt;=$AC27,CE$3&lt;(CapEx!$F$31*12)+$AC$27,CapEx!$F$31&gt;1),SLN(CapEx!$C$31,CapEx!$G$31,CapEx!$F$31)/12,0)</f>
        <v>0</v>
      </c>
      <c r="CF27" s="295">
        <f>IF(AND(CF$3&gt;=$AC27,CF$3&lt;(CapEx!$F$31*12)+$AC$27,CapEx!$F$31&gt;1),SLN(CapEx!$C$31,CapEx!$G$31,CapEx!$F$31)/12,0)</f>
        <v>0</v>
      </c>
      <c r="CG27" s="295">
        <f>IF(AND(CG$3&gt;=$AC27,CG$3&lt;(CapEx!$F$31*12)+$AC$27,CapEx!$F$31&gt;1),SLN(CapEx!$C$31,CapEx!$G$31,CapEx!$F$31)/12,0)</f>
        <v>0</v>
      </c>
      <c r="CH27" s="295">
        <f>IF(AND(CH$3&gt;=$AC27,CH$3&lt;(CapEx!$F$31*12)+$AC$27,CapEx!$F$31&gt;1),SLN(CapEx!$C$31,CapEx!$G$31,CapEx!$F$31)/12,0)</f>
        <v>0</v>
      </c>
      <c r="CI27" s="295">
        <f>IF(AND(CI$3&gt;=$AC27,CI$3&lt;(CapEx!$F$31*12)+$AC$27,CapEx!$F$31&gt;1),SLN(CapEx!$C$31,CapEx!$G$31,CapEx!$F$31)/12,0)</f>
        <v>0</v>
      </c>
      <c r="CJ27" s="295">
        <f>IF(AND(CJ$3&gt;=$AC27,CJ$3&lt;(CapEx!$F$31*12)+$AC$27,CapEx!$F$31&gt;1),SLN(CapEx!$C$31,CapEx!$G$31,CapEx!$F$31)/12,0)</f>
        <v>0</v>
      </c>
      <c r="CK27" s="295">
        <f>IF(AND(CK$3&gt;=$AC27,CK$3&lt;(CapEx!$F$31*12)+$AC$27,CapEx!$F$31&gt;1),SLN(CapEx!$C$31,CapEx!$G$31,CapEx!$F$31)/12,0)</f>
        <v>0</v>
      </c>
    </row>
    <row r="28" spans="1:89">
      <c r="D28" s="71" t="s">
        <v>292</v>
      </c>
      <c r="E28" s="409">
        <f>BalSht!AN14-BalSht!AN31</f>
        <v>5203.8806458902891</v>
      </c>
      <c r="Y28" s="79">
        <f>CapEx!F32</f>
        <v>1</v>
      </c>
      <c r="Z28" s="145" t="s">
        <v>245</v>
      </c>
      <c r="AA28" s="297">
        <v>25</v>
      </c>
      <c r="AB28">
        <f>CapEx!C32</f>
        <v>0</v>
      </c>
      <c r="AC28" s="79">
        <f>IF(AB28=0,1,DATEDIF($K$12,DATEVALUE("01-"&amp;CapEx!$D32&amp;"-"&amp;CapEx!$E32),"m")+1)</f>
        <v>1</v>
      </c>
      <c r="AD28" s="295">
        <f>IF(AND(AD$3&gt;=$AC28,AD$3&lt;(CapEx!$F$32*12)+$AC$28,CapEx!$F$32&gt;1),SLN(CapEx!$C$32,CapEx!$G$32,CapEx!$F$32)/12,0)</f>
        <v>0</v>
      </c>
      <c r="AE28" s="295">
        <f>IF(AND(AE$3&gt;=$AC28,AE$3&lt;(CapEx!$F$32*12)+$AC$28,CapEx!$F$32&gt;1),SLN(CapEx!$C$32,CapEx!$G$32,CapEx!$F$32)/12,0)</f>
        <v>0</v>
      </c>
      <c r="AF28" s="295">
        <f>IF(AND(AF$3&gt;=$AC28,AF$3&lt;(CapEx!$F$32*12)+$AC$28,CapEx!$F$32&gt;1),SLN(CapEx!$C$32,CapEx!$G$32,CapEx!$F$32)/12,0)</f>
        <v>0</v>
      </c>
      <c r="AG28" s="295">
        <f>IF(AND(AG$3&gt;=$AC28,AG$3&lt;(CapEx!$F$32*12)+$AC$28,CapEx!$F$32&gt;1),SLN(CapEx!$C$32,CapEx!$G$32,CapEx!$F$32)/12,0)</f>
        <v>0</v>
      </c>
      <c r="AH28" s="295">
        <f>IF(AND(AH$3&gt;=$AC28,AH$3&lt;(CapEx!$F$32*12)+$AC$28,CapEx!$F$32&gt;1),SLN(CapEx!$C$32,CapEx!$G$32,CapEx!$F$32)/12,0)</f>
        <v>0</v>
      </c>
      <c r="AI28" s="295">
        <f>IF(AND(AI$3&gt;=$AC28,AI$3&lt;(CapEx!$F$32*12)+$AC$28,CapEx!$F$32&gt;1),SLN(CapEx!$C$32,CapEx!$G$32,CapEx!$F$32)/12,0)</f>
        <v>0</v>
      </c>
      <c r="AJ28" s="295">
        <f>IF(AND(AJ$3&gt;=$AC28,AJ$3&lt;(CapEx!$F$32*12)+$AC$28,CapEx!$F$32&gt;1),SLN(CapEx!$C$32,CapEx!$G$32,CapEx!$F$32)/12,0)</f>
        <v>0</v>
      </c>
      <c r="AK28" s="295">
        <f>IF(AND(AK$3&gt;=$AC28,AK$3&lt;(CapEx!$F$32*12)+$AC$28,CapEx!$F$32&gt;1),SLN(CapEx!$C$32,CapEx!$G$32,CapEx!$F$32)/12,0)</f>
        <v>0</v>
      </c>
      <c r="AL28" s="295">
        <f>IF(AND(AL$3&gt;=$AC28,AL$3&lt;(CapEx!$F$32*12)+$AC$28,CapEx!$F$32&gt;1),SLN(CapEx!$C$32,CapEx!$G$32,CapEx!$F$32)/12,0)</f>
        <v>0</v>
      </c>
      <c r="AM28" s="295">
        <f>IF(AND(AM$3&gt;=$AC28,AM$3&lt;(CapEx!$F$32*12)+$AC$28,CapEx!$F$32&gt;1),SLN(CapEx!$C$32,CapEx!$G$32,CapEx!$F$32)/12,0)</f>
        <v>0</v>
      </c>
      <c r="AN28" s="295">
        <f>IF(AND(AN$3&gt;=$AC28,AN$3&lt;(CapEx!$F$32*12)+$AC$28,CapEx!$F$32&gt;1),SLN(CapEx!$C$32,CapEx!$G$32,CapEx!$F$32)/12,0)</f>
        <v>0</v>
      </c>
      <c r="AO28" s="295">
        <f>IF(AND(AO$3&gt;=$AC28,AO$3&lt;(CapEx!$F$32*12)+$AC$28,CapEx!$F$32&gt;1),SLN(CapEx!$C$32,CapEx!$G$32,CapEx!$F$32)/12,0)</f>
        <v>0</v>
      </c>
      <c r="AP28" s="295">
        <f>IF(AND(AP$3&gt;=$AC28,AP$3&lt;(CapEx!$F$32*12)+$AC$28,CapEx!$F$32&gt;1),SLN(CapEx!$C$32,CapEx!$G$32,CapEx!$F$32)/12,0)</f>
        <v>0</v>
      </c>
      <c r="AQ28" s="295">
        <f>IF(AND(AQ$3&gt;=$AC28,AQ$3&lt;(CapEx!$F$32*12)+$AC$28,CapEx!$F$32&gt;1),SLN(CapEx!$C$32,CapEx!$G$32,CapEx!$F$32)/12,0)</f>
        <v>0</v>
      </c>
      <c r="AR28" s="295">
        <f>IF(AND(AR$3&gt;=$AC28,AR$3&lt;(CapEx!$F$32*12)+$AC$28,CapEx!$F$32&gt;1),SLN(CapEx!$C$32,CapEx!$G$32,CapEx!$F$32)/12,0)</f>
        <v>0</v>
      </c>
      <c r="AS28" s="295">
        <f>IF(AND(AS$3&gt;=$AC28,AS$3&lt;(CapEx!$F$32*12)+$AC$28,CapEx!$F$32&gt;1),SLN(CapEx!$C$32,CapEx!$G$32,CapEx!$F$32)/12,0)</f>
        <v>0</v>
      </c>
      <c r="AT28" s="295">
        <f>IF(AND(AT$3&gt;=$AC28,AT$3&lt;(CapEx!$F$32*12)+$AC$28,CapEx!$F$32&gt;1),SLN(CapEx!$C$32,CapEx!$G$32,CapEx!$F$32)/12,0)</f>
        <v>0</v>
      </c>
      <c r="AU28" s="295">
        <f>IF(AND(AU$3&gt;=$AC28,AU$3&lt;(CapEx!$F$32*12)+$AC$28,CapEx!$F$32&gt;1),SLN(CapEx!$C$32,CapEx!$G$32,CapEx!$F$32)/12,0)</f>
        <v>0</v>
      </c>
      <c r="AV28" s="295">
        <f>IF(AND(AV$3&gt;=$AC28,AV$3&lt;(CapEx!$F$32*12)+$AC$28,CapEx!$F$32&gt;1),SLN(CapEx!$C$32,CapEx!$G$32,CapEx!$F$32)/12,0)</f>
        <v>0</v>
      </c>
      <c r="AW28" s="295">
        <f>IF(AND(AW$3&gt;=$AC28,AW$3&lt;(CapEx!$F$32*12)+$AC$28,CapEx!$F$32&gt;1),SLN(CapEx!$C$32,CapEx!$G$32,CapEx!$F$32)/12,0)</f>
        <v>0</v>
      </c>
      <c r="AX28" s="295">
        <f>IF(AND(AX$3&gt;=$AC28,AX$3&lt;(CapEx!$F$32*12)+$AC$28,CapEx!$F$32&gt;1),SLN(CapEx!$C$32,CapEx!$G$32,CapEx!$F$32)/12,0)</f>
        <v>0</v>
      </c>
      <c r="AY28" s="295">
        <f>IF(AND(AY$3&gt;=$AC28,AY$3&lt;(CapEx!$F$32*12)+$AC$28,CapEx!$F$32&gt;1),SLN(CapEx!$C$32,CapEx!$G$32,CapEx!$F$32)/12,0)</f>
        <v>0</v>
      </c>
      <c r="AZ28" s="295">
        <f>IF(AND(AZ$3&gt;=$AC28,AZ$3&lt;(CapEx!$F$32*12)+$AC$28,CapEx!$F$32&gt;1),SLN(CapEx!$C$32,CapEx!$G$32,CapEx!$F$32)/12,0)</f>
        <v>0</v>
      </c>
      <c r="BA28" s="295">
        <f>IF(AND(BA$3&gt;=$AC28,BA$3&lt;(CapEx!$F$32*12)+$AC$28,CapEx!$F$32&gt;1),SLN(CapEx!$C$32,CapEx!$G$32,CapEx!$F$32)/12,0)</f>
        <v>0</v>
      </c>
      <c r="BB28" s="295">
        <f>IF(AND(BB$3&gt;=$AC28,BB$3&lt;(CapEx!$F$32*12)+$AC$28,CapEx!$F$32&gt;1),SLN(CapEx!$C$32,CapEx!$G$32,CapEx!$F$32)/12,0)</f>
        <v>0</v>
      </c>
      <c r="BC28" s="295">
        <f>IF(AND(BC$3&gt;=$AC28,BC$3&lt;(CapEx!$F$32*12)+$AC$28,CapEx!$F$32&gt;1),SLN(CapEx!$C$32,CapEx!$G$32,CapEx!$F$32)/12,0)</f>
        <v>0</v>
      </c>
      <c r="BD28" s="295">
        <f>IF(AND(BD$3&gt;=$AC28,BD$3&lt;(CapEx!$F$32*12)+$AC$28,CapEx!$F$32&gt;1),SLN(CapEx!$C$32,CapEx!$G$32,CapEx!$F$32)/12,0)</f>
        <v>0</v>
      </c>
      <c r="BE28" s="295">
        <f>IF(AND(BE$3&gt;=$AC28,BE$3&lt;(CapEx!$F$32*12)+$AC$28,CapEx!$F$32&gt;1),SLN(CapEx!$C$32,CapEx!$G$32,CapEx!$F$32)/12,0)</f>
        <v>0</v>
      </c>
      <c r="BF28" s="295">
        <f>IF(AND(BF$3&gt;=$AC28,BF$3&lt;(CapEx!$F$32*12)+$AC$28,CapEx!$F$32&gt;1),SLN(CapEx!$C$32,CapEx!$G$32,CapEx!$F$32)/12,0)</f>
        <v>0</v>
      </c>
      <c r="BG28" s="295">
        <f>IF(AND(BG$3&gt;=$AC28,BG$3&lt;(CapEx!$F$32*12)+$AC$28,CapEx!$F$32&gt;1),SLN(CapEx!$C$32,CapEx!$G$32,CapEx!$F$32)/12,0)</f>
        <v>0</v>
      </c>
      <c r="BH28" s="295">
        <f>IF(AND(BH$3&gt;=$AC28,BH$3&lt;(CapEx!$F$32*12)+$AC$28,CapEx!$F$32&gt;1),SLN(CapEx!$C$32,CapEx!$G$32,CapEx!$F$32)/12,0)</f>
        <v>0</v>
      </c>
      <c r="BI28" s="295">
        <f>IF(AND(BI$3&gt;=$AC28,BI$3&lt;(CapEx!$F$32*12)+$AC$28,CapEx!$F$32&gt;1),SLN(CapEx!$C$32,CapEx!$G$32,CapEx!$F$32)/12,0)</f>
        <v>0</v>
      </c>
      <c r="BJ28" s="295">
        <f>IF(AND(BJ$3&gt;=$AC28,BJ$3&lt;(CapEx!$F$32*12)+$AC$28,CapEx!$F$32&gt;1),SLN(CapEx!$C$32,CapEx!$G$32,CapEx!$F$32)/12,0)</f>
        <v>0</v>
      </c>
      <c r="BK28" s="295">
        <f>IF(AND(BK$3&gt;=$AC28,BK$3&lt;(CapEx!$F$32*12)+$AC$28,CapEx!$F$32&gt;1),SLN(CapEx!$C$32,CapEx!$G$32,CapEx!$F$32)/12,0)</f>
        <v>0</v>
      </c>
      <c r="BL28" s="295">
        <f>IF(AND(BL$3&gt;=$AC28,BL$3&lt;(CapEx!$F$32*12)+$AC$28,CapEx!$F$32&gt;1),SLN(CapEx!$C$32,CapEx!$G$32,CapEx!$F$32)/12,0)</f>
        <v>0</v>
      </c>
      <c r="BM28" s="295">
        <f>IF(AND(BM$3&gt;=$AC28,BM$3&lt;(CapEx!$F$32*12)+$AC$28,CapEx!$F$32&gt;1),SLN(CapEx!$C$32,CapEx!$G$32,CapEx!$F$32)/12,0)</f>
        <v>0</v>
      </c>
      <c r="BN28" s="295">
        <f>IF(AND(BN$3&gt;=$AC28,BN$3&lt;(CapEx!$F$32*12)+$AC$28,CapEx!$F$32&gt;1),SLN(CapEx!$C$32,CapEx!$G$32,CapEx!$F$32)/12,0)</f>
        <v>0</v>
      </c>
      <c r="BO28" s="295">
        <f>IF(AND(BO$3&gt;=$AC28,BO$3&lt;(CapEx!$F$32*12)+$AC$28,CapEx!$F$32&gt;1),SLN(CapEx!$C$32,CapEx!$G$32,CapEx!$F$32)/12,0)</f>
        <v>0</v>
      </c>
      <c r="BP28" s="295">
        <f>IF(AND(BP$3&gt;=$AC28,BP$3&lt;(CapEx!$F$32*12)+$AC$28,CapEx!$F$32&gt;1),SLN(CapEx!$C$32,CapEx!$G$32,CapEx!$F$32)/12,0)</f>
        <v>0</v>
      </c>
      <c r="BQ28" s="295">
        <f>IF(AND(BQ$3&gt;=$AC28,BQ$3&lt;(CapEx!$F$32*12)+$AC$28,CapEx!$F$32&gt;1),SLN(CapEx!$C$32,CapEx!$G$32,CapEx!$F$32)/12,0)</f>
        <v>0</v>
      </c>
      <c r="BR28" s="295">
        <f>IF(AND(BR$3&gt;=$AC28,BR$3&lt;(CapEx!$F$32*12)+$AC$28,CapEx!$F$32&gt;1),SLN(CapEx!$C$32,CapEx!$G$32,CapEx!$F$32)/12,0)</f>
        <v>0</v>
      </c>
      <c r="BS28" s="295">
        <f>IF(AND(BS$3&gt;=$AC28,BS$3&lt;(CapEx!$F$32*12)+$AC$28,CapEx!$F$32&gt;1),SLN(CapEx!$C$32,CapEx!$G$32,CapEx!$F$32)/12,0)</f>
        <v>0</v>
      </c>
      <c r="BT28" s="295">
        <f>IF(AND(BT$3&gt;=$AC28,BT$3&lt;(CapEx!$F$32*12)+$AC$28,CapEx!$F$32&gt;1),SLN(CapEx!$C$32,CapEx!$G$32,CapEx!$F$32)/12,0)</f>
        <v>0</v>
      </c>
      <c r="BU28" s="295">
        <f>IF(AND(BU$3&gt;=$AC28,BU$3&lt;(CapEx!$F$32*12)+$AC$28,CapEx!$F$32&gt;1),SLN(CapEx!$C$32,CapEx!$G$32,CapEx!$F$32)/12,0)</f>
        <v>0</v>
      </c>
      <c r="BV28" s="295">
        <f>IF(AND(BV$3&gt;=$AC28,BV$3&lt;(CapEx!$F$32*12)+$AC$28,CapEx!$F$32&gt;1),SLN(CapEx!$C$32,CapEx!$G$32,CapEx!$F$32)/12,0)</f>
        <v>0</v>
      </c>
      <c r="BW28" s="295">
        <f>IF(AND(BW$3&gt;=$AC28,BW$3&lt;(CapEx!$F$32*12)+$AC$28,CapEx!$F$32&gt;1),SLN(CapEx!$C$32,CapEx!$G$32,CapEx!$F$32)/12,0)</f>
        <v>0</v>
      </c>
      <c r="BX28" s="295">
        <f>IF(AND(BX$3&gt;=$AC28,BX$3&lt;(CapEx!$F$32*12)+$AC$28,CapEx!$F$32&gt;1),SLN(CapEx!$C$32,CapEx!$G$32,CapEx!$F$32)/12,0)</f>
        <v>0</v>
      </c>
      <c r="BY28" s="295">
        <f>IF(AND(BY$3&gt;=$AC28,BY$3&lt;(CapEx!$F$32*12)+$AC$28,CapEx!$F$32&gt;1),SLN(CapEx!$C$32,CapEx!$G$32,CapEx!$F$32)/12,0)</f>
        <v>0</v>
      </c>
      <c r="BZ28" s="295">
        <f>IF(AND(BZ$3&gt;=$AC28,BZ$3&lt;(CapEx!$F$32*12)+$AC$28,CapEx!$F$32&gt;1),SLN(CapEx!$C$32,CapEx!$G$32,CapEx!$F$32)/12,0)</f>
        <v>0</v>
      </c>
      <c r="CA28" s="295">
        <f>IF(AND(CA$3&gt;=$AC28,CA$3&lt;(CapEx!$F$32*12)+$AC$28,CapEx!$F$32&gt;1),SLN(CapEx!$C$32,CapEx!$G$32,CapEx!$F$32)/12,0)</f>
        <v>0</v>
      </c>
      <c r="CB28" s="295">
        <f>IF(AND(CB$3&gt;=$AC28,CB$3&lt;(CapEx!$F$32*12)+$AC$28,CapEx!$F$32&gt;1),SLN(CapEx!$C$32,CapEx!$G$32,CapEx!$F$32)/12,0)</f>
        <v>0</v>
      </c>
      <c r="CC28" s="295">
        <f>IF(AND(CC$3&gt;=$AC28,CC$3&lt;(CapEx!$F$32*12)+$AC$28,CapEx!$F$32&gt;1),SLN(CapEx!$C$32,CapEx!$G$32,CapEx!$F$32)/12,0)</f>
        <v>0</v>
      </c>
      <c r="CD28" s="295">
        <f>IF(AND(CD$3&gt;=$AC28,CD$3&lt;(CapEx!$F$32*12)+$AC$28,CapEx!$F$32&gt;1),SLN(CapEx!$C$32,CapEx!$G$32,CapEx!$F$32)/12,0)</f>
        <v>0</v>
      </c>
      <c r="CE28" s="295">
        <f>IF(AND(CE$3&gt;=$AC28,CE$3&lt;(CapEx!$F$32*12)+$AC$28,CapEx!$F$32&gt;1),SLN(CapEx!$C$32,CapEx!$G$32,CapEx!$F$32)/12,0)</f>
        <v>0</v>
      </c>
      <c r="CF28" s="295">
        <f>IF(AND(CF$3&gt;=$AC28,CF$3&lt;(CapEx!$F$32*12)+$AC$28,CapEx!$F$32&gt;1),SLN(CapEx!$C$32,CapEx!$G$32,CapEx!$F$32)/12,0)</f>
        <v>0</v>
      </c>
      <c r="CG28" s="295">
        <f>IF(AND(CG$3&gt;=$AC28,CG$3&lt;(CapEx!$F$32*12)+$AC$28,CapEx!$F$32&gt;1),SLN(CapEx!$C$32,CapEx!$G$32,CapEx!$F$32)/12,0)</f>
        <v>0</v>
      </c>
      <c r="CH28" s="295">
        <f>IF(AND(CH$3&gt;=$AC28,CH$3&lt;(CapEx!$F$32*12)+$AC$28,CapEx!$F$32&gt;1),SLN(CapEx!$C$32,CapEx!$G$32,CapEx!$F$32)/12,0)</f>
        <v>0</v>
      </c>
      <c r="CI28" s="295">
        <f>IF(AND(CI$3&gt;=$AC28,CI$3&lt;(CapEx!$F$32*12)+$AC$28,CapEx!$F$32&gt;1),SLN(CapEx!$C$32,CapEx!$G$32,CapEx!$F$32)/12,0)</f>
        <v>0</v>
      </c>
      <c r="CJ28" s="295">
        <f>IF(AND(CJ$3&gt;=$AC28,CJ$3&lt;(CapEx!$F$32*12)+$AC$28,CapEx!$F$32&gt;1),SLN(CapEx!$C$32,CapEx!$G$32,CapEx!$F$32)/12,0)</f>
        <v>0</v>
      </c>
      <c r="CK28" s="295">
        <f>IF(AND(CK$3&gt;=$AC28,CK$3&lt;(CapEx!$F$32*12)+$AC$28,CapEx!$F$32&gt;1),SLN(CapEx!$C$32,CapEx!$G$32,CapEx!$F$32)/12,0)</f>
        <v>0</v>
      </c>
    </row>
    <row r="29" spans="1:89">
      <c r="D29" s="71" t="s">
        <v>293</v>
      </c>
      <c r="E29" s="409">
        <f>BalSht!AT14-BalSht!AT31</f>
        <v>5255.9194523491924</v>
      </c>
      <c r="Y29" s="79">
        <f>CapEx!F33</f>
        <v>1</v>
      </c>
      <c r="Z29" s="145" t="s">
        <v>245</v>
      </c>
      <c r="AA29" s="297">
        <v>26</v>
      </c>
      <c r="AB29">
        <f>CapEx!C33</f>
        <v>0</v>
      </c>
      <c r="AC29" s="79">
        <f>IF(AB29=0,1,DATEDIF($K$12,DATEVALUE("01-"&amp;CapEx!$D33&amp;"-"&amp;CapEx!$E33),"m")+1)</f>
        <v>1</v>
      </c>
      <c r="AD29" s="295">
        <f>IF(AND(AD$3&gt;=$AC29,AD$3&lt;(CapEx!$F$33*12)+$AC$29,CapEx!$F$33&gt;1),SLN(CapEx!$C$33,CapEx!$G$33,CapEx!$F$33)/12,0)</f>
        <v>0</v>
      </c>
      <c r="AE29" s="295">
        <f>IF(AND(AE$3&gt;=$AC29,AE$3&lt;(CapEx!$F$33*12)+$AC$29,CapEx!$F$33&gt;1),SLN(CapEx!$C$33,CapEx!$G$33,CapEx!$F$33)/12,0)</f>
        <v>0</v>
      </c>
      <c r="AF29" s="295">
        <f>IF(AND(AF$3&gt;=$AC29,AF$3&lt;(CapEx!$F$33*12)+$AC$29,CapEx!$F$33&gt;1),SLN(CapEx!$C$33,CapEx!$G$33,CapEx!$F$33)/12,0)</f>
        <v>0</v>
      </c>
      <c r="AG29" s="295">
        <f>IF(AND(AG$3&gt;=$AC29,AG$3&lt;(CapEx!$F$33*12)+$AC$29,CapEx!$F$33&gt;1),SLN(CapEx!$C$33,CapEx!$G$33,CapEx!$F$33)/12,0)</f>
        <v>0</v>
      </c>
      <c r="AH29" s="295">
        <f>IF(AND(AH$3&gt;=$AC29,AH$3&lt;(CapEx!$F$33*12)+$AC$29,CapEx!$F$33&gt;1),SLN(CapEx!$C$33,CapEx!$G$33,CapEx!$F$33)/12,0)</f>
        <v>0</v>
      </c>
      <c r="AI29" s="295">
        <f>IF(AND(AI$3&gt;=$AC29,AI$3&lt;(CapEx!$F$33*12)+$AC$29,CapEx!$F$33&gt;1),SLN(CapEx!$C$33,CapEx!$G$33,CapEx!$F$33)/12,0)</f>
        <v>0</v>
      </c>
      <c r="AJ29" s="295">
        <f>IF(AND(AJ$3&gt;=$AC29,AJ$3&lt;(CapEx!$F$33*12)+$AC$29,CapEx!$F$33&gt;1),SLN(CapEx!$C$33,CapEx!$G$33,CapEx!$F$33)/12,0)</f>
        <v>0</v>
      </c>
      <c r="AK29" s="295">
        <f>IF(AND(AK$3&gt;=$AC29,AK$3&lt;(CapEx!$F$33*12)+$AC$29,CapEx!$F$33&gt;1),SLN(CapEx!$C$33,CapEx!$G$33,CapEx!$F$33)/12,0)</f>
        <v>0</v>
      </c>
      <c r="AL29" s="295">
        <f>IF(AND(AL$3&gt;=$AC29,AL$3&lt;(CapEx!$F$33*12)+$AC$29,CapEx!$F$33&gt;1),SLN(CapEx!$C$33,CapEx!$G$33,CapEx!$F$33)/12,0)</f>
        <v>0</v>
      </c>
      <c r="AM29" s="295">
        <f>IF(AND(AM$3&gt;=$AC29,AM$3&lt;(CapEx!$F$33*12)+$AC$29,CapEx!$F$33&gt;1),SLN(CapEx!$C$33,CapEx!$G$33,CapEx!$F$33)/12,0)</f>
        <v>0</v>
      </c>
      <c r="AN29" s="295">
        <f>IF(AND(AN$3&gt;=$AC29,AN$3&lt;(CapEx!$F$33*12)+$AC$29,CapEx!$F$33&gt;1),SLN(CapEx!$C$33,CapEx!$G$33,CapEx!$F$33)/12,0)</f>
        <v>0</v>
      </c>
      <c r="AO29" s="295">
        <f>IF(AND(AO$3&gt;=$AC29,AO$3&lt;(CapEx!$F$33*12)+$AC$29,CapEx!$F$33&gt;1),SLN(CapEx!$C$33,CapEx!$G$33,CapEx!$F$33)/12,0)</f>
        <v>0</v>
      </c>
      <c r="AP29" s="295">
        <f>IF(AND(AP$3&gt;=$AC29,AP$3&lt;(CapEx!$F$33*12)+$AC$29,CapEx!$F$33&gt;1),SLN(CapEx!$C$33,CapEx!$G$33,CapEx!$F$33)/12,0)</f>
        <v>0</v>
      </c>
      <c r="AQ29" s="295">
        <f>IF(AND(AQ$3&gt;=$AC29,AQ$3&lt;(CapEx!$F$33*12)+$AC$29,CapEx!$F$33&gt;1),SLN(CapEx!$C$33,CapEx!$G$33,CapEx!$F$33)/12,0)</f>
        <v>0</v>
      </c>
      <c r="AR29" s="295">
        <f>IF(AND(AR$3&gt;=$AC29,AR$3&lt;(CapEx!$F$33*12)+$AC$29,CapEx!$F$33&gt;1),SLN(CapEx!$C$33,CapEx!$G$33,CapEx!$F$33)/12,0)</f>
        <v>0</v>
      </c>
      <c r="AS29" s="295">
        <f>IF(AND(AS$3&gt;=$AC29,AS$3&lt;(CapEx!$F$33*12)+$AC$29,CapEx!$F$33&gt;1),SLN(CapEx!$C$33,CapEx!$G$33,CapEx!$F$33)/12,0)</f>
        <v>0</v>
      </c>
      <c r="AT29" s="295">
        <f>IF(AND(AT$3&gt;=$AC29,AT$3&lt;(CapEx!$F$33*12)+$AC$29,CapEx!$F$33&gt;1),SLN(CapEx!$C$33,CapEx!$G$33,CapEx!$F$33)/12,0)</f>
        <v>0</v>
      </c>
      <c r="AU29" s="295">
        <f>IF(AND(AU$3&gt;=$AC29,AU$3&lt;(CapEx!$F$33*12)+$AC$29,CapEx!$F$33&gt;1),SLN(CapEx!$C$33,CapEx!$G$33,CapEx!$F$33)/12,0)</f>
        <v>0</v>
      </c>
      <c r="AV29" s="295">
        <f>IF(AND(AV$3&gt;=$AC29,AV$3&lt;(CapEx!$F$33*12)+$AC$29,CapEx!$F$33&gt;1),SLN(CapEx!$C$33,CapEx!$G$33,CapEx!$F$33)/12,0)</f>
        <v>0</v>
      </c>
      <c r="AW29" s="295">
        <f>IF(AND(AW$3&gt;=$AC29,AW$3&lt;(CapEx!$F$33*12)+$AC$29,CapEx!$F$33&gt;1),SLN(CapEx!$C$33,CapEx!$G$33,CapEx!$F$33)/12,0)</f>
        <v>0</v>
      </c>
      <c r="AX29" s="295">
        <f>IF(AND(AX$3&gt;=$AC29,AX$3&lt;(CapEx!$F$33*12)+$AC$29,CapEx!$F$33&gt;1),SLN(CapEx!$C$33,CapEx!$G$33,CapEx!$F$33)/12,0)</f>
        <v>0</v>
      </c>
      <c r="AY29" s="295">
        <f>IF(AND(AY$3&gt;=$AC29,AY$3&lt;(CapEx!$F$33*12)+$AC$29,CapEx!$F$33&gt;1),SLN(CapEx!$C$33,CapEx!$G$33,CapEx!$F$33)/12,0)</f>
        <v>0</v>
      </c>
      <c r="AZ29" s="295">
        <f>IF(AND(AZ$3&gt;=$AC29,AZ$3&lt;(CapEx!$F$33*12)+$AC$29,CapEx!$F$33&gt;1),SLN(CapEx!$C$33,CapEx!$G$33,CapEx!$F$33)/12,0)</f>
        <v>0</v>
      </c>
      <c r="BA29" s="295">
        <f>IF(AND(BA$3&gt;=$AC29,BA$3&lt;(CapEx!$F$33*12)+$AC$29,CapEx!$F$33&gt;1),SLN(CapEx!$C$33,CapEx!$G$33,CapEx!$F$33)/12,0)</f>
        <v>0</v>
      </c>
      <c r="BB29" s="295">
        <f>IF(AND(BB$3&gt;=$AC29,BB$3&lt;(CapEx!$F$33*12)+$AC$29,CapEx!$F$33&gt;1),SLN(CapEx!$C$33,CapEx!$G$33,CapEx!$F$33)/12,0)</f>
        <v>0</v>
      </c>
      <c r="BC29" s="295">
        <f>IF(AND(BC$3&gt;=$AC29,BC$3&lt;(CapEx!$F$33*12)+$AC$29,CapEx!$F$33&gt;1),SLN(CapEx!$C$33,CapEx!$G$33,CapEx!$F$33)/12,0)</f>
        <v>0</v>
      </c>
      <c r="BD29" s="295">
        <f>IF(AND(BD$3&gt;=$AC29,BD$3&lt;(CapEx!$F$33*12)+$AC$29,CapEx!$F$33&gt;1),SLN(CapEx!$C$33,CapEx!$G$33,CapEx!$F$33)/12,0)</f>
        <v>0</v>
      </c>
      <c r="BE29" s="295">
        <f>IF(AND(BE$3&gt;=$AC29,BE$3&lt;(CapEx!$F$33*12)+$AC$29,CapEx!$F$33&gt;1),SLN(CapEx!$C$33,CapEx!$G$33,CapEx!$F$33)/12,0)</f>
        <v>0</v>
      </c>
      <c r="BF29" s="295">
        <f>IF(AND(BF$3&gt;=$AC29,BF$3&lt;(CapEx!$F$33*12)+$AC$29,CapEx!$F$33&gt;1),SLN(CapEx!$C$33,CapEx!$G$33,CapEx!$F$33)/12,0)</f>
        <v>0</v>
      </c>
      <c r="BG29" s="295">
        <f>IF(AND(BG$3&gt;=$AC29,BG$3&lt;(CapEx!$F$33*12)+$AC$29,CapEx!$F$33&gt;1),SLN(CapEx!$C$33,CapEx!$G$33,CapEx!$F$33)/12,0)</f>
        <v>0</v>
      </c>
      <c r="BH29" s="295">
        <f>IF(AND(BH$3&gt;=$AC29,BH$3&lt;(CapEx!$F$33*12)+$AC$29,CapEx!$F$33&gt;1),SLN(CapEx!$C$33,CapEx!$G$33,CapEx!$F$33)/12,0)</f>
        <v>0</v>
      </c>
      <c r="BI29" s="295">
        <f>IF(AND(BI$3&gt;=$AC29,BI$3&lt;(CapEx!$F$33*12)+$AC$29,CapEx!$F$33&gt;1),SLN(CapEx!$C$33,CapEx!$G$33,CapEx!$F$33)/12,0)</f>
        <v>0</v>
      </c>
      <c r="BJ29" s="295">
        <f>IF(AND(BJ$3&gt;=$AC29,BJ$3&lt;(CapEx!$F$33*12)+$AC$29,CapEx!$F$33&gt;1),SLN(CapEx!$C$33,CapEx!$G$33,CapEx!$F$33)/12,0)</f>
        <v>0</v>
      </c>
      <c r="BK29" s="295">
        <f>IF(AND(BK$3&gt;=$AC29,BK$3&lt;(CapEx!$F$33*12)+$AC$29,CapEx!$F$33&gt;1),SLN(CapEx!$C$33,CapEx!$G$33,CapEx!$F$33)/12,0)</f>
        <v>0</v>
      </c>
      <c r="BL29" s="295">
        <f>IF(AND(BL$3&gt;=$AC29,BL$3&lt;(CapEx!$F$33*12)+$AC$29,CapEx!$F$33&gt;1),SLN(CapEx!$C$33,CapEx!$G$33,CapEx!$F$33)/12,0)</f>
        <v>0</v>
      </c>
      <c r="BM29" s="295">
        <f>IF(AND(BM$3&gt;=$AC29,BM$3&lt;(CapEx!$F$33*12)+$AC$29,CapEx!$F$33&gt;1),SLN(CapEx!$C$33,CapEx!$G$33,CapEx!$F$33)/12,0)</f>
        <v>0</v>
      </c>
      <c r="BN29" s="295">
        <f>IF(AND(BN$3&gt;=$AC29,BN$3&lt;(CapEx!$F$33*12)+$AC$29,CapEx!$F$33&gt;1),SLN(CapEx!$C$33,CapEx!$G$33,CapEx!$F$33)/12,0)</f>
        <v>0</v>
      </c>
      <c r="BO29" s="295">
        <f>IF(AND(BO$3&gt;=$AC29,BO$3&lt;(CapEx!$F$33*12)+$AC$29,CapEx!$F$33&gt;1),SLN(CapEx!$C$33,CapEx!$G$33,CapEx!$F$33)/12,0)</f>
        <v>0</v>
      </c>
      <c r="BP29" s="295">
        <f>IF(AND(BP$3&gt;=$AC29,BP$3&lt;(CapEx!$F$33*12)+$AC$29,CapEx!$F$33&gt;1),SLN(CapEx!$C$33,CapEx!$G$33,CapEx!$F$33)/12,0)</f>
        <v>0</v>
      </c>
      <c r="BQ29" s="295">
        <f>IF(AND(BQ$3&gt;=$AC29,BQ$3&lt;(CapEx!$F$33*12)+$AC$29,CapEx!$F$33&gt;1),SLN(CapEx!$C$33,CapEx!$G$33,CapEx!$F$33)/12,0)</f>
        <v>0</v>
      </c>
      <c r="BR29" s="295">
        <f>IF(AND(BR$3&gt;=$AC29,BR$3&lt;(CapEx!$F$33*12)+$AC$29,CapEx!$F$33&gt;1),SLN(CapEx!$C$33,CapEx!$G$33,CapEx!$F$33)/12,0)</f>
        <v>0</v>
      </c>
      <c r="BS29" s="295">
        <f>IF(AND(BS$3&gt;=$AC29,BS$3&lt;(CapEx!$F$33*12)+$AC$29,CapEx!$F$33&gt;1),SLN(CapEx!$C$33,CapEx!$G$33,CapEx!$F$33)/12,0)</f>
        <v>0</v>
      </c>
      <c r="BT29" s="295">
        <f>IF(AND(BT$3&gt;=$AC29,BT$3&lt;(CapEx!$F$33*12)+$AC$29,CapEx!$F$33&gt;1),SLN(CapEx!$C$33,CapEx!$G$33,CapEx!$F$33)/12,0)</f>
        <v>0</v>
      </c>
      <c r="BU29" s="295">
        <f>IF(AND(BU$3&gt;=$AC29,BU$3&lt;(CapEx!$F$33*12)+$AC$29,CapEx!$F$33&gt;1),SLN(CapEx!$C$33,CapEx!$G$33,CapEx!$F$33)/12,0)</f>
        <v>0</v>
      </c>
      <c r="BV29" s="295">
        <f>IF(AND(BV$3&gt;=$AC29,BV$3&lt;(CapEx!$F$33*12)+$AC$29,CapEx!$F$33&gt;1),SLN(CapEx!$C$33,CapEx!$G$33,CapEx!$F$33)/12,0)</f>
        <v>0</v>
      </c>
      <c r="BW29" s="295">
        <f>IF(AND(BW$3&gt;=$AC29,BW$3&lt;(CapEx!$F$33*12)+$AC$29,CapEx!$F$33&gt;1),SLN(CapEx!$C$33,CapEx!$G$33,CapEx!$F$33)/12,0)</f>
        <v>0</v>
      </c>
      <c r="BX29" s="295">
        <f>IF(AND(BX$3&gt;=$AC29,BX$3&lt;(CapEx!$F$33*12)+$AC$29,CapEx!$F$33&gt;1),SLN(CapEx!$C$33,CapEx!$G$33,CapEx!$F$33)/12,0)</f>
        <v>0</v>
      </c>
      <c r="BY29" s="295">
        <f>IF(AND(BY$3&gt;=$AC29,BY$3&lt;(CapEx!$F$33*12)+$AC$29,CapEx!$F$33&gt;1),SLN(CapEx!$C$33,CapEx!$G$33,CapEx!$F$33)/12,0)</f>
        <v>0</v>
      </c>
      <c r="BZ29" s="295">
        <f>IF(AND(BZ$3&gt;=$AC29,BZ$3&lt;(CapEx!$F$33*12)+$AC$29,CapEx!$F$33&gt;1),SLN(CapEx!$C$33,CapEx!$G$33,CapEx!$F$33)/12,0)</f>
        <v>0</v>
      </c>
      <c r="CA29" s="295">
        <f>IF(AND(CA$3&gt;=$AC29,CA$3&lt;(CapEx!$F$33*12)+$AC$29,CapEx!$F$33&gt;1),SLN(CapEx!$C$33,CapEx!$G$33,CapEx!$F$33)/12,0)</f>
        <v>0</v>
      </c>
      <c r="CB29" s="295">
        <f>IF(AND(CB$3&gt;=$AC29,CB$3&lt;(CapEx!$F$33*12)+$AC$29,CapEx!$F$33&gt;1),SLN(CapEx!$C$33,CapEx!$G$33,CapEx!$F$33)/12,0)</f>
        <v>0</v>
      </c>
      <c r="CC29" s="295">
        <f>IF(AND(CC$3&gt;=$AC29,CC$3&lt;(CapEx!$F$33*12)+$AC$29,CapEx!$F$33&gt;1),SLN(CapEx!$C$33,CapEx!$G$33,CapEx!$F$33)/12,0)</f>
        <v>0</v>
      </c>
      <c r="CD29" s="295">
        <f>IF(AND(CD$3&gt;=$AC29,CD$3&lt;(CapEx!$F$33*12)+$AC$29,CapEx!$F$33&gt;1),SLN(CapEx!$C$33,CapEx!$G$33,CapEx!$F$33)/12,0)</f>
        <v>0</v>
      </c>
      <c r="CE29" s="295">
        <f>IF(AND(CE$3&gt;=$AC29,CE$3&lt;(CapEx!$F$33*12)+$AC$29,CapEx!$F$33&gt;1),SLN(CapEx!$C$33,CapEx!$G$33,CapEx!$F$33)/12,0)</f>
        <v>0</v>
      </c>
      <c r="CF29" s="295">
        <f>IF(AND(CF$3&gt;=$AC29,CF$3&lt;(CapEx!$F$33*12)+$AC$29,CapEx!$F$33&gt;1),SLN(CapEx!$C$33,CapEx!$G$33,CapEx!$F$33)/12,0)</f>
        <v>0</v>
      </c>
      <c r="CG29" s="295">
        <f>IF(AND(CG$3&gt;=$AC29,CG$3&lt;(CapEx!$F$33*12)+$AC$29,CapEx!$F$33&gt;1),SLN(CapEx!$C$33,CapEx!$G$33,CapEx!$F$33)/12,0)</f>
        <v>0</v>
      </c>
      <c r="CH29" s="295">
        <f>IF(AND(CH$3&gt;=$AC29,CH$3&lt;(CapEx!$F$33*12)+$AC$29,CapEx!$F$33&gt;1),SLN(CapEx!$C$33,CapEx!$G$33,CapEx!$F$33)/12,0)</f>
        <v>0</v>
      </c>
      <c r="CI29" s="295">
        <f>IF(AND(CI$3&gt;=$AC29,CI$3&lt;(CapEx!$F$33*12)+$AC$29,CapEx!$F$33&gt;1),SLN(CapEx!$C$33,CapEx!$G$33,CapEx!$F$33)/12,0)</f>
        <v>0</v>
      </c>
      <c r="CJ29" s="295">
        <f>IF(AND(CJ$3&gt;=$AC29,CJ$3&lt;(CapEx!$F$33*12)+$AC$29,CapEx!$F$33&gt;1),SLN(CapEx!$C$33,CapEx!$G$33,CapEx!$F$33)/12,0)</f>
        <v>0</v>
      </c>
      <c r="CK29" s="295">
        <f>IF(AND(CK$3&gt;=$AC29,CK$3&lt;(CapEx!$F$33*12)+$AC$29,CapEx!$F$33&gt;1),SLN(CapEx!$C$33,CapEx!$G$33,CapEx!$F$33)/12,0)</f>
        <v>0</v>
      </c>
    </row>
    <row r="30" spans="1:89">
      <c r="A30" s="290"/>
      <c r="Y30" s="79">
        <f>CapEx!F34</f>
        <v>1</v>
      </c>
      <c r="Z30" s="145" t="s">
        <v>245</v>
      </c>
      <c r="AA30" s="297">
        <v>27</v>
      </c>
      <c r="AB30">
        <f>CapEx!C34</f>
        <v>0</v>
      </c>
      <c r="AC30" s="79">
        <f>IF(AB30=0,1,DATEDIF($K$12,DATEVALUE("01-"&amp;CapEx!$D34&amp;"-"&amp;CapEx!$E34),"m")+1)</f>
        <v>1</v>
      </c>
      <c r="AD30" s="295">
        <f>IF(AND(AD$3&gt;=$AC30,AD$3&lt;(CapEx!$F$34*12)+$AC$30,CapEx!$F$34&gt;1),SLN(CapEx!$C$34,CapEx!$G$34,CapEx!$F$34)/12,0)</f>
        <v>0</v>
      </c>
      <c r="AE30" s="295">
        <f>IF(AND(AE$3&gt;=$AC30,AE$3&lt;(CapEx!$F$34*12)+$AC$30,CapEx!$F$34&gt;1),SLN(CapEx!$C$34,CapEx!$G$34,CapEx!$F$34)/12,0)</f>
        <v>0</v>
      </c>
      <c r="AF30" s="295">
        <f>IF(AND(AF$3&gt;=$AC30,AF$3&lt;(CapEx!$F$34*12)+$AC$30,CapEx!$F$34&gt;1),SLN(CapEx!$C$34,CapEx!$G$34,CapEx!$F$34)/12,0)</f>
        <v>0</v>
      </c>
      <c r="AG30" s="295">
        <f>IF(AND(AG$3&gt;=$AC30,AG$3&lt;(CapEx!$F$34*12)+$AC$30,CapEx!$F$34&gt;1),SLN(CapEx!$C$34,CapEx!$G$34,CapEx!$F$34)/12,0)</f>
        <v>0</v>
      </c>
      <c r="AH30" s="295">
        <f>IF(AND(AH$3&gt;=$AC30,AH$3&lt;(CapEx!$F$34*12)+$AC$30,CapEx!$F$34&gt;1),SLN(CapEx!$C$34,CapEx!$G$34,CapEx!$F$34)/12,0)</f>
        <v>0</v>
      </c>
      <c r="AI30" s="295">
        <f>IF(AND(AI$3&gt;=$AC30,AI$3&lt;(CapEx!$F$34*12)+$AC$30,CapEx!$F$34&gt;1),SLN(CapEx!$C$34,CapEx!$G$34,CapEx!$F$34)/12,0)</f>
        <v>0</v>
      </c>
      <c r="AJ30" s="295">
        <f>IF(AND(AJ$3&gt;=$AC30,AJ$3&lt;(CapEx!$F$34*12)+$AC$30,CapEx!$F$34&gt;1),SLN(CapEx!$C$34,CapEx!$G$34,CapEx!$F$34)/12,0)</f>
        <v>0</v>
      </c>
      <c r="AK30" s="295">
        <f>IF(AND(AK$3&gt;=$AC30,AK$3&lt;(CapEx!$F$34*12)+$AC$30,CapEx!$F$34&gt;1),SLN(CapEx!$C$34,CapEx!$G$34,CapEx!$F$34)/12,0)</f>
        <v>0</v>
      </c>
      <c r="AL30" s="295">
        <f>IF(AND(AL$3&gt;=$AC30,AL$3&lt;(CapEx!$F$34*12)+$AC$30,CapEx!$F$34&gt;1),SLN(CapEx!$C$34,CapEx!$G$34,CapEx!$F$34)/12,0)</f>
        <v>0</v>
      </c>
      <c r="AM30" s="295">
        <f>IF(AND(AM$3&gt;=$AC30,AM$3&lt;(CapEx!$F$34*12)+$AC$30,CapEx!$F$34&gt;1),SLN(CapEx!$C$34,CapEx!$G$34,CapEx!$F$34)/12,0)</f>
        <v>0</v>
      </c>
      <c r="AN30" s="295">
        <f>IF(AND(AN$3&gt;=$AC30,AN$3&lt;(CapEx!$F$34*12)+$AC$30,CapEx!$F$34&gt;1),SLN(CapEx!$C$34,CapEx!$G$34,CapEx!$F$34)/12,0)</f>
        <v>0</v>
      </c>
      <c r="AO30" s="295">
        <f>IF(AND(AO$3&gt;=$AC30,AO$3&lt;(CapEx!$F$34*12)+$AC$30,CapEx!$F$34&gt;1),SLN(CapEx!$C$34,CapEx!$G$34,CapEx!$F$34)/12,0)</f>
        <v>0</v>
      </c>
      <c r="AP30" s="295">
        <f>IF(AND(AP$3&gt;=$AC30,AP$3&lt;(CapEx!$F$34*12)+$AC$30,CapEx!$F$34&gt;1),SLN(CapEx!$C$34,CapEx!$G$34,CapEx!$F$34)/12,0)</f>
        <v>0</v>
      </c>
      <c r="AQ30" s="295">
        <f>IF(AND(AQ$3&gt;=$AC30,AQ$3&lt;(CapEx!$F$34*12)+$AC$30,CapEx!$F$34&gt;1),SLN(CapEx!$C$34,CapEx!$G$34,CapEx!$F$34)/12,0)</f>
        <v>0</v>
      </c>
      <c r="AR30" s="295">
        <f>IF(AND(AR$3&gt;=$AC30,AR$3&lt;(CapEx!$F$34*12)+$AC$30,CapEx!$F$34&gt;1),SLN(CapEx!$C$34,CapEx!$G$34,CapEx!$F$34)/12,0)</f>
        <v>0</v>
      </c>
      <c r="AS30" s="295">
        <f>IF(AND(AS$3&gt;=$AC30,AS$3&lt;(CapEx!$F$34*12)+$AC$30,CapEx!$F$34&gt;1),SLN(CapEx!$C$34,CapEx!$G$34,CapEx!$F$34)/12,0)</f>
        <v>0</v>
      </c>
      <c r="AT30" s="295">
        <f>IF(AND(AT$3&gt;=$AC30,AT$3&lt;(CapEx!$F$34*12)+$AC$30,CapEx!$F$34&gt;1),SLN(CapEx!$C$34,CapEx!$G$34,CapEx!$F$34)/12,0)</f>
        <v>0</v>
      </c>
      <c r="AU30" s="295">
        <f>IF(AND(AU$3&gt;=$AC30,AU$3&lt;(CapEx!$F$34*12)+$AC$30,CapEx!$F$34&gt;1),SLN(CapEx!$C$34,CapEx!$G$34,CapEx!$F$34)/12,0)</f>
        <v>0</v>
      </c>
      <c r="AV30" s="295">
        <f>IF(AND(AV$3&gt;=$AC30,AV$3&lt;(CapEx!$F$34*12)+$AC$30,CapEx!$F$34&gt;1),SLN(CapEx!$C$34,CapEx!$G$34,CapEx!$F$34)/12,0)</f>
        <v>0</v>
      </c>
      <c r="AW30" s="295">
        <f>IF(AND(AW$3&gt;=$AC30,AW$3&lt;(CapEx!$F$34*12)+$AC$30,CapEx!$F$34&gt;1),SLN(CapEx!$C$34,CapEx!$G$34,CapEx!$F$34)/12,0)</f>
        <v>0</v>
      </c>
      <c r="AX30" s="295">
        <f>IF(AND(AX$3&gt;=$AC30,AX$3&lt;(CapEx!$F$34*12)+$AC$30,CapEx!$F$34&gt;1),SLN(CapEx!$C$34,CapEx!$G$34,CapEx!$F$34)/12,0)</f>
        <v>0</v>
      </c>
      <c r="AY30" s="295">
        <f>IF(AND(AY$3&gt;=$AC30,AY$3&lt;(CapEx!$F$34*12)+$AC$30,CapEx!$F$34&gt;1),SLN(CapEx!$C$34,CapEx!$G$34,CapEx!$F$34)/12,0)</f>
        <v>0</v>
      </c>
      <c r="AZ30" s="295">
        <f>IF(AND(AZ$3&gt;=$AC30,AZ$3&lt;(CapEx!$F$34*12)+$AC$30,CapEx!$F$34&gt;1),SLN(CapEx!$C$34,CapEx!$G$34,CapEx!$F$34)/12,0)</f>
        <v>0</v>
      </c>
      <c r="BA30" s="295">
        <f>IF(AND(BA$3&gt;=$AC30,BA$3&lt;(CapEx!$F$34*12)+$AC$30,CapEx!$F$34&gt;1),SLN(CapEx!$C$34,CapEx!$G$34,CapEx!$F$34)/12,0)</f>
        <v>0</v>
      </c>
      <c r="BB30" s="295">
        <f>IF(AND(BB$3&gt;=$AC30,BB$3&lt;(CapEx!$F$34*12)+$AC$30,CapEx!$F$34&gt;1),SLN(CapEx!$C$34,CapEx!$G$34,CapEx!$F$34)/12,0)</f>
        <v>0</v>
      </c>
      <c r="BC30" s="295">
        <f>IF(AND(BC$3&gt;=$AC30,BC$3&lt;(CapEx!$F$34*12)+$AC$30,CapEx!$F$34&gt;1),SLN(CapEx!$C$34,CapEx!$G$34,CapEx!$F$34)/12,0)</f>
        <v>0</v>
      </c>
      <c r="BD30" s="295">
        <f>IF(AND(BD$3&gt;=$AC30,BD$3&lt;(CapEx!$F$34*12)+$AC$30,CapEx!$F$34&gt;1),SLN(CapEx!$C$34,CapEx!$G$34,CapEx!$F$34)/12,0)</f>
        <v>0</v>
      </c>
      <c r="BE30" s="295">
        <f>IF(AND(BE$3&gt;=$AC30,BE$3&lt;(CapEx!$F$34*12)+$AC$30,CapEx!$F$34&gt;1),SLN(CapEx!$C$34,CapEx!$G$34,CapEx!$F$34)/12,0)</f>
        <v>0</v>
      </c>
      <c r="BF30" s="295">
        <f>IF(AND(BF$3&gt;=$AC30,BF$3&lt;(CapEx!$F$34*12)+$AC$30,CapEx!$F$34&gt;1),SLN(CapEx!$C$34,CapEx!$G$34,CapEx!$F$34)/12,0)</f>
        <v>0</v>
      </c>
      <c r="BG30" s="295">
        <f>IF(AND(BG$3&gt;=$AC30,BG$3&lt;(CapEx!$F$34*12)+$AC$30,CapEx!$F$34&gt;1),SLN(CapEx!$C$34,CapEx!$G$34,CapEx!$F$34)/12,0)</f>
        <v>0</v>
      </c>
      <c r="BH30" s="295">
        <f>IF(AND(BH$3&gt;=$AC30,BH$3&lt;(CapEx!$F$34*12)+$AC$30,CapEx!$F$34&gt;1),SLN(CapEx!$C$34,CapEx!$G$34,CapEx!$F$34)/12,0)</f>
        <v>0</v>
      </c>
      <c r="BI30" s="295">
        <f>IF(AND(BI$3&gt;=$AC30,BI$3&lt;(CapEx!$F$34*12)+$AC$30,CapEx!$F$34&gt;1),SLN(CapEx!$C$34,CapEx!$G$34,CapEx!$F$34)/12,0)</f>
        <v>0</v>
      </c>
      <c r="BJ30" s="295">
        <f>IF(AND(BJ$3&gt;=$AC30,BJ$3&lt;(CapEx!$F$34*12)+$AC$30,CapEx!$F$34&gt;1),SLN(CapEx!$C$34,CapEx!$G$34,CapEx!$F$34)/12,0)</f>
        <v>0</v>
      </c>
      <c r="BK30" s="295">
        <f>IF(AND(BK$3&gt;=$AC30,BK$3&lt;(CapEx!$F$34*12)+$AC$30,CapEx!$F$34&gt;1),SLN(CapEx!$C$34,CapEx!$G$34,CapEx!$F$34)/12,0)</f>
        <v>0</v>
      </c>
      <c r="BL30" s="295">
        <f>IF(AND(BL$3&gt;=$AC30,BL$3&lt;(CapEx!$F$34*12)+$AC$30,CapEx!$F$34&gt;1),SLN(CapEx!$C$34,CapEx!$G$34,CapEx!$F$34)/12,0)</f>
        <v>0</v>
      </c>
      <c r="BM30" s="295">
        <f>IF(AND(BM$3&gt;=$AC30,BM$3&lt;(CapEx!$F$34*12)+$AC$30,CapEx!$F$34&gt;1),SLN(CapEx!$C$34,CapEx!$G$34,CapEx!$F$34)/12,0)</f>
        <v>0</v>
      </c>
      <c r="BN30" s="295">
        <f>IF(AND(BN$3&gt;=$AC30,BN$3&lt;(CapEx!$F$34*12)+$AC$30,CapEx!$F$34&gt;1),SLN(CapEx!$C$34,CapEx!$G$34,CapEx!$F$34)/12,0)</f>
        <v>0</v>
      </c>
      <c r="BO30" s="295">
        <f>IF(AND(BO$3&gt;=$AC30,BO$3&lt;(CapEx!$F$34*12)+$AC$30,CapEx!$F$34&gt;1),SLN(CapEx!$C$34,CapEx!$G$34,CapEx!$F$34)/12,0)</f>
        <v>0</v>
      </c>
      <c r="BP30" s="295">
        <f>IF(AND(BP$3&gt;=$AC30,BP$3&lt;(CapEx!$F$34*12)+$AC$30,CapEx!$F$34&gt;1),SLN(CapEx!$C$34,CapEx!$G$34,CapEx!$F$34)/12,0)</f>
        <v>0</v>
      </c>
      <c r="BQ30" s="295">
        <f>IF(AND(BQ$3&gt;=$AC30,BQ$3&lt;(CapEx!$F$34*12)+$AC$30,CapEx!$F$34&gt;1),SLN(CapEx!$C$34,CapEx!$G$34,CapEx!$F$34)/12,0)</f>
        <v>0</v>
      </c>
      <c r="BR30" s="295">
        <f>IF(AND(BR$3&gt;=$AC30,BR$3&lt;(CapEx!$F$34*12)+$AC$30,CapEx!$F$34&gt;1),SLN(CapEx!$C$34,CapEx!$G$34,CapEx!$F$34)/12,0)</f>
        <v>0</v>
      </c>
      <c r="BS30" s="295">
        <f>IF(AND(BS$3&gt;=$AC30,BS$3&lt;(CapEx!$F$34*12)+$AC$30,CapEx!$F$34&gt;1),SLN(CapEx!$C$34,CapEx!$G$34,CapEx!$F$34)/12,0)</f>
        <v>0</v>
      </c>
      <c r="BT30" s="295">
        <f>IF(AND(BT$3&gt;=$AC30,BT$3&lt;(CapEx!$F$34*12)+$AC$30,CapEx!$F$34&gt;1),SLN(CapEx!$C$34,CapEx!$G$34,CapEx!$F$34)/12,0)</f>
        <v>0</v>
      </c>
      <c r="BU30" s="295">
        <f>IF(AND(BU$3&gt;=$AC30,BU$3&lt;(CapEx!$F$34*12)+$AC$30,CapEx!$F$34&gt;1),SLN(CapEx!$C$34,CapEx!$G$34,CapEx!$F$34)/12,0)</f>
        <v>0</v>
      </c>
      <c r="BV30" s="295">
        <f>IF(AND(BV$3&gt;=$AC30,BV$3&lt;(CapEx!$F$34*12)+$AC$30,CapEx!$F$34&gt;1),SLN(CapEx!$C$34,CapEx!$G$34,CapEx!$F$34)/12,0)</f>
        <v>0</v>
      </c>
      <c r="BW30" s="295">
        <f>IF(AND(BW$3&gt;=$AC30,BW$3&lt;(CapEx!$F$34*12)+$AC$30,CapEx!$F$34&gt;1),SLN(CapEx!$C$34,CapEx!$G$34,CapEx!$F$34)/12,0)</f>
        <v>0</v>
      </c>
      <c r="BX30" s="295">
        <f>IF(AND(BX$3&gt;=$AC30,BX$3&lt;(CapEx!$F$34*12)+$AC$30,CapEx!$F$34&gt;1),SLN(CapEx!$C$34,CapEx!$G$34,CapEx!$F$34)/12,0)</f>
        <v>0</v>
      </c>
      <c r="BY30" s="295">
        <f>IF(AND(BY$3&gt;=$AC30,BY$3&lt;(CapEx!$F$34*12)+$AC$30,CapEx!$F$34&gt;1),SLN(CapEx!$C$34,CapEx!$G$34,CapEx!$F$34)/12,0)</f>
        <v>0</v>
      </c>
      <c r="BZ30" s="295">
        <f>IF(AND(BZ$3&gt;=$AC30,BZ$3&lt;(CapEx!$F$34*12)+$AC$30,CapEx!$F$34&gt;1),SLN(CapEx!$C$34,CapEx!$G$34,CapEx!$F$34)/12,0)</f>
        <v>0</v>
      </c>
      <c r="CA30" s="295">
        <f>IF(AND(CA$3&gt;=$AC30,CA$3&lt;(CapEx!$F$34*12)+$AC$30,CapEx!$F$34&gt;1),SLN(CapEx!$C$34,CapEx!$G$34,CapEx!$F$34)/12,0)</f>
        <v>0</v>
      </c>
      <c r="CB30" s="295">
        <f>IF(AND(CB$3&gt;=$AC30,CB$3&lt;(CapEx!$F$34*12)+$AC$30,CapEx!$F$34&gt;1),SLN(CapEx!$C$34,CapEx!$G$34,CapEx!$F$34)/12,0)</f>
        <v>0</v>
      </c>
      <c r="CC30" s="295">
        <f>IF(AND(CC$3&gt;=$AC30,CC$3&lt;(CapEx!$F$34*12)+$AC$30,CapEx!$F$34&gt;1),SLN(CapEx!$C$34,CapEx!$G$34,CapEx!$F$34)/12,0)</f>
        <v>0</v>
      </c>
      <c r="CD30" s="295">
        <f>IF(AND(CD$3&gt;=$AC30,CD$3&lt;(CapEx!$F$34*12)+$AC$30,CapEx!$F$34&gt;1),SLN(CapEx!$C$34,CapEx!$G$34,CapEx!$F$34)/12,0)</f>
        <v>0</v>
      </c>
      <c r="CE30" s="295">
        <f>IF(AND(CE$3&gt;=$AC30,CE$3&lt;(CapEx!$F$34*12)+$AC$30,CapEx!$F$34&gt;1),SLN(CapEx!$C$34,CapEx!$G$34,CapEx!$F$34)/12,0)</f>
        <v>0</v>
      </c>
      <c r="CF30" s="295">
        <f>IF(AND(CF$3&gt;=$AC30,CF$3&lt;(CapEx!$F$34*12)+$AC$30,CapEx!$F$34&gt;1),SLN(CapEx!$C$34,CapEx!$G$34,CapEx!$F$34)/12,0)</f>
        <v>0</v>
      </c>
      <c r="CG30" s="295">
        <f>IF(AND(CG$3&gt;=$AC30,CG$3&lt;(CapEx!$F$34*12)+$AC$30,CapEx!$F$34&gt;1),SLN(CapEx!$C$34,CapEx!$G$34,CapEx!$F$34)/12,0)</f>
        <v>0</v>
      </c>
      <c r="CH30" s="295">
        <f>IF(AND(CH$3&gt;=$AC30,CH$3&lt;(CapEx!$F$34*12)+$AC$30,CapEx!$F$34&gt;1),SLN(CapEx!$C$34,CapEx!$G$34,CapEx!$F$34)/12,0)</f>
        <v>0</v>
      </c>
      <c r="CI30" s="295">
        <f>IF(AND(CI$3&gt;=$AC30,CI$3&lt;(CapEx!$F$34*12)+$AC$30,CapEx!$F$34&gt;1),SLN(CapEx!$C$34,CapEx!$G$34,CapEx!$F$34)/12,0)</f>
        <v>0</v>
      </c>
      <c r="CJ30" s="295">
        <f>IF(AND(CJ$3&gt;=$AC30,CJ$3&lt;(CapEx!$F$34*12)+$AC$30,CapEx!$F$34&gt;1),SLN(CapEx!$C$34,CapEx!$G$34,CapEx!$F$34)/12,0)</f>
        <v>0</v>
      </c>
      <c r="CK30" s="295">
        <f>IF(AND(CK$3&gt;=$AC30,CK$3&lt;(CapEx!$F$34*12)+$AC$30,CapEx!$F$34&gt;1),SLN(CapEx!$C$34,CapEx!$G$34,CapEx!$F$34)/12,0)</f>
        <v>0</v>
      </c>
    </row>
    <row r="31" spans="1:89">
      <c r="A31" s="290"/>
      <c r="Y31" s="79">
        <f>CapEx!F35</f>
        <v>1</v>
      </c>
      <c r="Z31" s="145" t="s">
        <v>245</v>
      </c>
      <c r="AA31" s="297">
        <v>28</v>
      </c>
      <c r="AB31">
        <f>CapEx!C35</f>
        <v>0</v>
      </c>
      <c r="AC31" s="79">
        <f>IF(AB31=0,1,DATEDIF($K$12,DATEVALUE("01-"&amp;CapEx!$D35&amp;"-"&amp;CapEx!$E35),"m")+1)</f>
        <v>1</v>
      </c>
      <c r="AD31" s="295">
        <f>IF(AND(AD$3&gt;=$AC31,AD$3&lt;(CapEx!$F$35*12)+$AC$31,CapEx!$F$35&gt;1),SLN(CapEx!$C$35,CapEx!$G$35,CapEx!$F$35)/12,0)</f>
        <v>0</v>
      </c>
      <c r="AE31" s="295">
        <f>IF(AND(AE$3&gt;=$AC31,AE$3&lt;(CapEx!$F$35*12)+$AC$31,CapEx!$F$35&gt;1),SLN(CapEx!$C$35,CapEx!$G$35,CapEx!$F$35)/12,0)</f>
        <v>0</v>
      </c>
      <c r="AF31" s="295">
        <f>IF(AND(AF$3&gt;=$AC31,AF$3&lt;(CapEx!$F$35*12)+$AC$31,CapEx!$F$35&gt;1),SLN(CapEx!$C$35,CapEx!$G$35,CapEx!$F$35)/12,0)</f>
        <v>0</v>
      </c>
      <c r="AG31" s="295">
        <f>IF(AND(AG$3&gt;=$AC31,AG$3&lt;(CapEx!$F$35*12)+$AC$31,CapEx!$F$35&gt;1),SLN(CapEx!$C$35,CapEx!$G$35,CapEx!$F$35)/12,0)</f>
        <v>0</v>
      </c>
      <c r="AH31" s="295">
        <f>IF(AND(AH$3&gt;=$AC31,AH$3&lt;(CapEx!$F$35*12)+$AC$31,CapEx!$F$35&gt;1),SLN(CapEx!$C$35,CapEx!$G$35,CapEx!$F$35)/12,0)</f>
        <v>0</v>
      </c>
      <c r="AI31" s="295">
        <f>IF(AND(AI$3&gt;=$AC31,AI$3&lt;(CapEx!$F$35*12)+$AC$31,CapEx!$F$35&gt;1),SLN(CapEx!$C$35,CapEx!$G$35,CapEx!$F$35)/12,0)</f>
        <v>0</v>
      </c>
      <c r="AJ31" s="295">
        <f>IF(AND(AJ$3&gt;=$AC31,AJ$3&lt;(CapEx!$F$35*12)+$AC$31,CapEx!$F$35&gt;1),SLN(CapEx!$C$35,CapEx!$G$35,CapEx!$F$35)/12,0)</f>
        <v>0</v>
      </c>
      <c r="AK31" s="295">
        <f>IF(AND(AK$3&gt;=$AC31,AK$3&lt;(CapEx!$F$35*12)+$AC$31,CapEx!$F$35&gt;1),SLN(CapEx!$C$35,CapEx!$G$35,CapEx!$F$35)/12,0)</f>
        <v>0</v>
      </c>
      <c r="AL31" s="295">
        <f>IF(AND(AL$3&gt;=$AC31,AL$3&lt;(CapEx!$F$35*12)+$AC$31,CapEx!$F$35&gt;1),SLN(CapEx!$C$35,CapEx!$G$35,CapEx!$F$35)/12,0)</f>
        <v>0</v>
      </c>
      <c r="AM31" s="295">
        <f>IF(AND(AM$3&gt;=$AC31,AM$3&lt;(CapEx!$F$35*12)+$AC$31,CapEx!$F$35&gt;1),SLN(CapEx!$C$35,CapEx!$G$35,CapEx!$F$35)/12,0)</f>
        <v>0</v>
      </c>
      <c r="AN31" s="295">
        <f>IF(AND(AN$3&gt;=$AC31,AN$3&lt;(CapEx!$F$35*12)+$AC$31,CapEx!$F$35&gt;1),SLN(CapEx!$C$35,CapEx!$G$35,CapEx!$F$35)/12,0)</f>
        <v>0</v>
      </c>
      <c r="AO31" s="295">
        <f>IF(AND(AO$3&gt;=$AC31,AO$3&lt;(CapEx!$F$35*12)+$AC$31,CapEx!$F$35&gt;1),SLN(CapEx!$C$35,CapEx!$G$35,CapEx!$F$35)/12,0)</f>
        <v>0</v>
      </c>
      <c r="AP31" s="295">
        <f>IF(AND(AP$3&gt;=$AC31,AP$3&lt;(CapEx!$F$35*12)+$AC$31,CapEx!$F$35&gt;1),SLN(CapEx!$C$35,CapEx!$G$35,CapEx!$F$35)/12,0)</f>
        <v>0</v>
      </c>
      <c r="AQ31" s="295">
        <f>IF(AND(AQ$3&gt;=$AC31,AQ$3&lt;(CapEx!$F$35*12)+$AC$31,CapEx!$F$35&gt;1),SLN(CapEx!$C$35,CapEx!$G$35,CapEx!$F$35)/12,0)</f>
        <v>0</v>
      </c>
      <c r="AR31" s="295">
        <f>IF(AND(AR$3&gt;=$AC31,AR$3&lt;(CapEx!$F$35*12)+$AC$31,CapEx!$F$35&gt;1),SLN(CapEx!$C$35,CapEx!$G$35,CapEx!$F$35)/12,0)</f>
        <v>0</v>
      </c>
      <c r="AS31" s="295">
        <f>IF(AND(AS$3&gt;=$AC31,AS$3&lt;(CapEx!$F$35*12)+$AC$31,CapEx!$F$35&gt;1),SLN(CapEx!$C$35,CapEx!$G$35,CapEx!$F$35)/12,0)</f>
        <v>0</v>
      </c>
      <c r="AT31" s="295">
        <f>IF(AND(AT$3&gt;=$AC31,AT$3&lt;(CapEx!$F$35*12)+$AC$31,CapEx!$F$35&gt;1),SLN(CapEx!$C$35,CapEx!$G$35,CapEx!$F$35)/12,0)</f>
        <v>0</v>
      </c>
      <c r="AU31" s="295">
        <f>IF(AND(AU$3&gt;=$AC31,AU$3&lt;(CapEx!$F$35*12)+$AC$31,CapEx!$F$35&gt;1),SLN(CapEx!$C$35,CapEx!$G$35,CapEx!$F$35)/12,0)</f>
        <v>0</v>
      </c>
      <c r="AV31" s="295">
        <f>IF(AND(AV$3&gt;=$AC31,AV$3&lt;(CapEx!$F$35*12)+$AC$31,CapEx!$F$35&gt;1),SLN(CapEx!$C$35,CapEx!$G$35,CapEx!$F$35)/12,0)</f>
        <v>0</v>
      </c>
      <c r="AW31" s="295">
        <f>IF(AND(AW$3&gt;=$AC31,AW$3&lt;(CapEx!$F$35*12)+$AC$31,CapEx!$F$35&gt;1),SLN(CapEx!$C$35,CapEx!$G$35,CapEx!$F$35)/12,0)</f>
        <v>0</v>
      </c>
      <c r="AX31" s="295">
        <f>IF(AND(AX$3&gt;=$AC31,AX$3&lt;(CapEx!$F$35*12)+$AC$31,CapEx!$F$35&gt;1),SLN(CapEx!$C$35,CapEx!$G$35,CapEx!$F$35)/12,0)</f>
        <v>0</v>
      </c>
      <c r="AY31" s="295">
        <f>IF(AND(AY$3&gt;=$AC31,AY$3&lt;(CapEx!$F$35*12)+$AC$31,CapEx!$F$35&gt;1),SLN(CapEx!$C$35,CapEx!$G$35,CapEx!$F$35)/12,0)</f>
        <v>0</v>
      </c>
      <c r="AZ31" s="295">
        <f>IF(AND(AZ$3&gt;=$AC31,AZ$3&lt;(CapEx!$F$35*12)+$AC$31,CapEx!$F$35&gt;1),SLN(CapEx!$C$35,CapEx!$G$35,CapEx!$F$35)/12,0)</f>
        <v>0</v>
      </c>
      <c r="BA31" s="295">
        <f>IF(AND(BA$3&gt;=$AC31,BA$3&lt;(CapEx!$F$35*12)+$AC$31,CapEx!$F$35&gt;1),SLN(CapEx!$C$35,CapEx!$G$35,CapEx!$F$35)/12,0)</f>
        <v>0</v>
      </c>
      <c r="BB31" s="295">
        <f>IF(AND(BB$3&gt;=$AC31,BB$3&lt;(CapEx!$F$35*12)+$AC$31,CapEx!$F$35&gt;1),SLN(CapEx!$C$35,CapEx!$G$35,CapEx!$F$35)/12,0)</f>
        <v>0</v>
      </c>
      <c r="BC31" s="295">
        <f>IF(AND(BC$3&gt;=$AC31,BC$3&lt;(CapEx!$F$35*12)+$AC$31,CapEx!$F$35&gt;1),SLN(CapEx!$C$35,CapEx!$G$35,CapEx!$F$35)/12,0)</f>
        <v>0</v>
      </c>
      <c r="BD31" s="295">
        <f>IF(AND(BD$3&gt;=$AC31,BD$3&lt;(CapEx!$F$35*12)+$AC$31,CapEx!$F$35&gt;1),SLN(CapEx!$C$35,CapEx!$G$35,CapEx!$F$35)/12,0)</f>
        <v>0</v>
      </c>
      <c r="BE31" s="295">
        <f>IF(AND(BE$3&gt;=$AC31,BE$3&lt;(CapEx!$F$35*12)+$AC$31,CapEx!$F$35&gt;1),SLN(CapEx!$C$35,CapEx!$G$35,CapEx!$F$35)/12,0)</f>
        <v>0</v>
      </c>
      <c r="BF31" s="295">
        <f>IF(AND(BF$3&gt;=$AC31,BF$3&lt;(CapEx!$F$35*12)+$AC$31,CapEx!$F$35&gt;1),SLN(CapEx!$C$35,CapEx!$G$35,CapEx!$F$35)/12,0)</f>
        <v>0</v>
      </c>
      <c r="BG31" s="295">
        <f>IF(AND(BG$3&gt;=$AC31,BG$3&lt;(CapEx!$F$35*12)+$AC$31,CapEx!$F$35&gt;1),SLN(CapEx!$C$35,CapEx!$G$35,CapEx!$F$35)/12,0)</f>
        <v>0</v>
      </c>
      <c r="BH31" s="295">
        <f>IF(AND(BH$3&gt;=$AC31,BH$3&lt;(CapEx!$F$35*12)+$AC$31,CapEx!$F$35&gt;1),SLN(CapEx!$C$35,CapEx!$G$35,CapEx!$F$35)/12,0)</f>
        <v>0</v>
      </c>
      <c r="BI31" s="295">
        <f>IF(AND(BI$3&gt;=$AC31,BI$3&lt;(CapEx!$F$35*12)+$AC$31,CapEx!$F$35&gt;1),SLN(CapEx!$C$35,CapEx!$G$35,CapEx!$F$35)/12,0)</f>
        <v>0</v>
      </c>
      <c r="BJ31" s="295">
        <f>IF(AND(BJ$3&gt;=$AC31,BJ$3&lt;(CapEx!$F$35*12)+$AC$31,CapEx!$F$35&gt;1),SLN(CapEx!$C$35,CapEx!$G$35,CapEx!$F$35)/12,0)</f>
        <v>0</v>
      </c>
      <c r="BK31" s="295">
        <f>IF(AND(BK$3&gt;=$AC31,BK$3&lt;(CapEx!$F$35*12)+$AC$31,CapEx!$F$35&gt;1),SLN(CapEx!$C$35,CapEx!$G$35,CapEx!$F$35)/12,0)</f>
        <v>0</v>
      </c>
      <c r="BL31" s="295">
        <f>IF(AND(BL$3&gt;=$AC31,BL$3&lt;(CapEx!$F$35*12)+$AC$31,CapEx!$F$35&gt;1),SLN(CapEx!$C$35,CapEx!$G$35,CapEx!$F$35)/12,0)</f>
        <v>0</v>
      </c>
      <c r="BM31" s="295">
        <f>IF(AND(BM$3&gt;=$AC31,BM$3&lt;(CapEx!$F$35*12)+$AC$31,CapEx!$F$35&gt;1),SLN(CapEx!$C$35,CapEx!$G$35,CapEx!$F$35)/12,0)</f>
        <v>0</v>
      </c>
      <c r="BN31" s="295">
        <f>IF(AND(BN$3&gt;=$AC31,BN$3&lt;(CapEx!$F$35*12)+$AC$31,CapEx!$F$35&gt;1),SLN(CapEx!$C$35,CapEx!$G$35,CapEx!$F$35)/12,0)</f>
        <v>0</v>
      </c>
      <c r="BO31" s="295">
        <f>IF(AND(BO$3&gt;=$AC31,BO$3&lt;(CapEx!$F$35*12)+$AC$31,CapEx!$F$35&gt;1),SLN(CapEx!$C$35,CapEx!$G$35,CapEx!$F$35)/12,0)</f>
        <v>0</v>
      </c>
      <c r="BP31" s="295">
        <f>IF(AND(BP$3&gt;=$AC31,BP$3&lt;(CapEx!$F$35*12)+$AC$31,CapEx!$F$35&gt;1),SLN(CapEx!$C$35,CapEx!$G$35,CapEx!$F$35)/12,0)</f>
        <v>0</v>
      </c>
      <c r="BQ31" s="295">
        <f>IF(AND(BQ$3&gt;=$AC31,BQ$3&lt;(CapEx!$F$35*12)+$AC$31,CapEx!$F$35&gt;1),SLN(CapEx!$C$35,CapEx!$G$35,CapEx!$F$35)/12,0)</f>
        <v>0</v>
      </c>
      <c r="BR31" s="295">
        <f>IF(AND(BR$3&gt;=$AC31,BR$3&lt;(CapEx!$F$35*12)+$AC$31,CapEx!$F$35&gt;1),SLN(CapEx!$C$35,CapEx!$G$35,CapEx!$F$35)/12,0)</f>
        <v>0</v>
      </c>
      <c r="BS31" s="295">
        <f>IF(AND(BS$3&gt;=$AC31,BS$3&lt;(CapEx!$F$35*12)+$AC$31,CapEx!$F$35&gt;1),SLN(CapEx!$C$35,CapEx!$G$35,CapEx!$F$35)/12,0)</f>
        <v>0</v>
      </c>
      <c r="BT31" s="295">
        <f>IF(AND(BT$3&gt;=$AC31,BT$3&lt;(CapEx!$F$35*12)+$AC$31,CapEx!$F$35&gt;1),SLN(CapEx!$C$35,CapEx!$G$35,CapEx!$F$35)/12,0)</f>
        <v>0</v>
      </c>
      <c r="BU31" s="295">
        <f>IF(AND(BU$3&gt;=$AC31,BU$3&lt;(CapEx!$F$35*12)+$AC$31,CapEx!$F$35&gt;1),SLN(CapEx!$C$35,CapEx!$G$35,CapEx!$F$35)/12,0)</f>
        <v>0</v>
      </c>
      <c r="BV31" s="295">
        <f>IF(AND(BV$3&gt;=$AC31,BV$3&lt;(CapEx!$F$35*12)+$AC$31,CapEx!$F$35&gt;1),SLN(CapEx!$C$35,CapEx!$G$35,CapEx!$F$35)/12,0)</f>
        <v>0</v>
      </c>
      <c r="BW31" s="295">
        <f>IF(AND(BW$3&gt;=$AC31,BW$3&lt;(CapEx!$F$35*12)+$AC$31,CapEx!$F$35&gt;1),SLN(CapEx!$C$35,CapEx!$G$35,CapEx!$F$35)/12,0)</f>
        <v>0</v>
      </c>
      <c r="BX31" s="295">
        <f>IF(AND(BX$3&gt;=$AC31,BX$3&lt;(CapEx!$F$35*12)+$AC$31,CapEx!$F$35&gt;1),SLN(CapEx!$C$35,CapEx!$G$35,CapEx!$F$35)/12,0)</f>
        <v>0</v>
      </c>
      <c r="BY31" s="295">
        <f>IF(AND(BY$3&gt;=$AC31,BY$3&lt;(CapEx!$F$35*12)+$AC$31,CapEx!$F$35&gt;1),SLN(CapEx!$C$35,CapEx!$G$35,CapEx!$F$35)/12,0)</f>
        <v>0</v>
      </c>
      <c r="BZ31" s="295">
        <f>IF(AND(BZ$3&gt;=$AC31,BZ$3&lt;(CapEx!$F$35*12)+$AC$31,CapEx!$F$35&gt;1),SLN(CapEx!$C$35,CapEx!$G$35,CapEx!$F$35)/12,0)</f>
        <v>0</v>
      </c>
      <c r="CA31" s="295">
        <f>IF(AND(CA$3&gt;=$AC31,CA$3&lt;(CapEx!$F$35*12)+$AC$31,CapEx!$F$35&gt;1),SLN(CapEx!$C$35,CapEx!$G$35,CapEx!$F$35)/12,0)</f>
        <v>0</v>
      </c>
      <c r="CB31" s="295">
        <f>IF(AND(CB$3&gt;=$AC31,CB$3&lt;(CapEx!$F$35*12)+$AC$31,CapEx!$F$35&gt;1),SLN(CapEx!$C$35,CapEx!$G$35,CapEx!$F$35)/12,0)</f>
        <v>0</v>
      </c>
      <c r="CC31" s="295">
        <f>IF(AND(CC$3&gt;=$AC31,CC$3&lt;(CapEx!$F$35*12)+$AC$31,CapEx!$F$35&gt;1),SLN(CapEx!$C$35,CapEx!$G$35,CapEx!$F$35)/12,0)</f>
        <v>0</v>
      </c>
      <c r="CD31" s="295">
        <f>IF(AND(CD$3&gt;=$AC31,CD$3&lt;(CapEx!$F$35*12)+$AC$31,CapEx!$F$35&gt;1),SLN(CapEx!$C$35,CapEx!$G$35,CapEx!$F$35)/12,0)</f>
        <v>0</v>
      </c>
      <c r="CE31" s="295">
        <f>IF(AND(CE$3&gt;=$AC31,CE$3&lt;(CapEx!$F$35*12)+$AC$31,CapEx!$F$35&gt;1),SLN(CapEx!$C$35,CapEx!$G$35,CapEx!$F$35)/12,0)</f>
        <v>0</v>
      </c>
      <c r="CF31" s="295">
        <f>IF(AND(CF$3&gt;=$AC31,CF$3&lt;(CapEx!$F$35*12)+$AC$31,CapEx!$F$35&gt;1),SLN(CapEx!$C$35,CapEx!$G$35,CapEx!$F$35)/12,0)</f>
        <v>0</v>
      </c>
      <c r="CG31" s="295">
        <f>IF(AND(CG$3&gt;=$AC31,CG$3&lt;(CapEx!$F$35*12)+$AC$31,CapEx!$F$35&gt;1),SLN(CapEx!$C$35,CapEx!$G$35,CapEx!$F$35)/12,0)</f>
        <v>0</v>
      </c>
      <c r="CH31" s="295">
        <f>IF(AND(CH$3&gt;=$AC31,CH$3&lt;(CapEx!$F$35*12)+$AC$31,CapEx!$F$35&gt;1),SLN(CapEx!$C$35,CapEx!$G$35,CapEx!$F$35)/12,0)</f>
        <v>0</v>
      </c>
      <c r="CI31" s="295">
        <f>IF(AND(CI$3&gt;=$AC31,CI$3&lt;(CapEx!$F$35*12)+$AC$31,CapEx!$F$35&gt;1),SLN(CapEx!$C$35,CapEx!$G$35,CapEx!$F$35)/12,0)</f>
        <v>0</v>
      </c>
      <c r="CJ31" s="295">
        <f>IF(AND(CJ$3&gt;=$AC31,CJ$3&lt;(CapEx!$F$35*12)+$AC$31,CapEx!$F$35&gt;1),SLN(CapEx!$C$35,CapEx!$G$35,CapEx!$F$35)/12,0)</f>
        <v>0</v>
      </c>
      <c r="CK31" s="295">
        <f>IF(AND(CK$3&gt;=$AC31,CK$3&lt;(CapEx!$F$35*12)+$AC$31,CapEx!$F$35&gt;1),SLN(CapEx!$C$35,CapEx!$G$35,CapEx!$F$35)/12,0)</f>
        <v>0</v>
      </c>
    </row>
    <row r="32" spans="1:89" ht="15" customHeight="1">
      <c r="A32" s="290"/>
      <c r="E32" s="822" t="s">
        <v>331</v>
      </c>
      <c r="Y32" s="79">
        <f>CapEx!F36</f>
        <v>1</v>
      </c>
      <c r="Z32" s="145" t="s">
        <v>245</v>
      </c>
      <c r="AA32" s="297">
        <v>29</v>
      </c>
      <c r="AB32">
        <f>CapEx!C36</f>
        <v>0</v>
      </c>
      <c r="AC32" s="79">
        <f>IF(AB32=0,1,DATEDIF($K$12,DATEVALUE("01-"&amp;CapEx!$D36&amp;"-"&amp;CapEx!$E36),"m")+1)</f>
        <v>1</v>
      </c>
      <c r="AD32" s="295">
        <f>IF(AND(AD$3&gt;=$AC32,AD$3&lt;(CapEx!$F$36*12)+$AC$32,CapEx!$F$36&gt;1),SLN(CapEx!$C$36,CapEx!$G$36,CapEx!$F$36)/12,0)</f>
        <v>0</v>
      </c>
      <c r="AE32" s="295">
        <f>IF(AND(AE$3&gt;=$AC32,AE$3&lt;(CapEx!$F$36*12)+$AC$32,CapEx!$F$36&gt;1),SLN(CapEx!$C$36,CapEx!$G$36,CapEx!$F$36)/12,0)</f>
        <v>0</v>
      </c>
      <c r="AF32" s="295">
        <f>IF(AND(AF$3&gt;=$AC32,AF$3&lt;(CapEx!$F$36*12)+$AC$32,CapEx!$F$36&gt;1),SLN(CapEx!$C$36,CapEx!$G$36,CapEx!$F$36)/12,0)</f>
        <v>0</v>
      </c>
      <c r="AG32" s="295">
        <f>IF(AND(AG$3&gt;=$AC32,AG$3&lt;(CapEx!$F$36*12)+$AC$32,CapEx!$F$36&gt;1),SLN(CapEx!$C$36,CapEx!$G$36,CapEx!$F$36)/12,0)</f>
        <v>0</v>
      </c>
      <c r="AH32" s="295">
        <f>IF(AND(AH$3&gt;=$AC32,AH$3&lt;(CapEx!$F$36*12)+$AC$32,CapEx!$F$36&gt;1),SLN(CapEx!$C$36,CapEx!$G$36,CapEx!$F$36)/12,0)</f>
        <v>0</v>
      </c>
      <c r="AI32" s="295">
        <f>IF(AND(AI$3&gt;=$AC32,AI$3&lt;(CapEx!$F$36*12)+$AC$32,CapEx!$F$36&gt;1),SLN(CapEx!$C$36,CapEx!$G$36,CapEx!$F$36)/12,0)</f>
        <v>0</v>
      </c>
      <c r="AJ32" s="295">
        <f>IF(AND(AJ$3&gt;=$AC32,AJ$3&lt;(CapEx!$F$36*12)+$AC$32,CapEx!$F$36&gt;1),SLN(CapEx!$C$36,CapEx!$G$36,CapEx!$F$36)/12,0)</f>
        <v>0</v>
      </c>
      <c r="AK32" s="295">
        <f>IF(AND(AK$3&gt;=$AC32,AK$3&lt;(CapEx!$F$36*12)+$AC$32,CapEx!$F$36&gt;1),SLN(CapEx!$C$36,CapEx!$G$36,CapEx!$F$36)/12,0)</f>
        <v>0</v>
      </c>
      <c r="AL32" s="295">
        <f>IF(AND(AL$3&gt;=$AC32,AL$3&lt;(CapEx!$F$36*12)+$AC$32,CapEx!$F$36&gt;1),SLN(CapEx!$C$36,CapEx!$G$36,CapEx!$F$36)/12,0)</f>
        <v>0</v>
      </c>
      <c r="AM32" s="295">
        <f>IF(AND(AM$3&gt;=$AC32,AM$3&lt;(CapEx!$F$36*12)+$AC$32,CapEx!$F$36&gt;1),SLN(CapEx!$C$36,CapEx!$G$36,CapEx!$F$36)/12,0)</f>
        <v>0</v>
      </c>
      <c r="AN32" s="295">
        <f>IF(AND(AN$3&gt;=$AC32,AN$3&lt;(CapEx!$F$36*12)+$AC$32,CapEx!$F$36&gt;1),SLN(CapEx!$C$36,CapEx!$G$36,CapEx!$F$36)/12,0)</f>
        <v>0</v>
      </c>
      <c r="AO32" s="295">
        <f>IF(AND(AO$3&gt;=$AC32,AO$3&lt;(CapEx!$F$36*12)+$AC$32,CapEx!$F$36&gt;1),SLN(CapEx!$C$36,CapEx!$G$36,CapEx!$F$36)/12,0)</f>
        <v>0</v>
      </c>
      <c r="AP32" s="295">
        <f>IF(AND(AP$3&gt;=$AC32,AP$3&lt;(CapEx!$F$36*12)+$AC$32,CapEx!$F$36&gt;1),SLN(CapEx!$C$36,CapEx!$G$36,CapEx!$F$36)/12,0)</f>
        <v>0</v>
      </c>
      <c r="AQ32" s="295">
        <f>IF(AND(AQ$3&gt;=$AC32,AQ$3&lt;(CapEx!$F$36*12)+$AC$32,CapEx!$F$36&gt;1),SLN(CapEx!$C$36,CapEx!$G$36,CapEx!$F$36)/12,0)</f>
        <v>0</v>
      </c>
      <c r="AR32" s="295">
        <f>IF(AND(AR$3&gt;=$AC32,AR$3&lt;(CapEx!$F$36*12)+$AC$32,CapEx!$F$36&gt;1),SLN(CapEx!$C$36,CapEx!$G$36,CapEx!$F$36)/12,0)</f>
        <v>0</v>
      </c>
      <c r="AS32" s="295">
        <f>IF(AND(AS$3&gt;=$AC32,AS$3&lt;(CapEx!$F$36*12)+$AC$32,CapEx!$F$36&gt;1),SLN(CapEx!$C$36,CapEx!$G$36,CapEx!$F$36)/12,0)</f>
        <v>0</v>
      </c>
      <c r="AT32" s="295">
        <f>IF(AND(AT$3&gt;=$AC32,AT$3&lt;(CapEx!$F$36*12)+$AC$32,CapEx!$F$36&gt;1),SLN(CapEx!$C$36,CapEx!$G$36,CapEx!$F$36)/12,0)</f>
        <v>0</v>
      </c>
      <c r="AU32" s="295">
        <f>IF(AND(AU$3&gt;=$AC32,AU$3&lt;(CapEx!$F$36*12)+$AC$32,CapEx!$F$36&gt;1),SLN(CapEx!$C$36,CapEx!$G$36,CapEx!$F$36)/12,0)</f>
        <v>0</v>
      </c>
      <c r="AV32" s="295">
        <f>IF(AND(AV$3&gt;=$AC32,AV$3&lt;(CapEx!$F$36*12)+$AC$32,CapEx!$F$36&gt;1),SLN(CapEx!$C$36,CapEx!$G$36,CapEx!$F$36)/12,0)</f>
        <v>0</v>
      </c>
      <c r="AW32" s="295">
        <f>IF(AND(AW$3&gt;=$AC32,AW$3&lt;(CapEx!$F$36*12)+$AC$32,CapEx!$F$36&gt;1),SLN(CapEx!$C$36,CapEx!$G$36,CapEx!$F$36)/12,0)</f>
        <v>0</v>
      </c>
      <c r="AX32" s="295">
        <f>IF(AND(AX$3&gt;=$AC32,AX$3&lt;(CapEx!$F$36*12)+$AC$32,CapEx!$F$36&gt;1),SLN(CapEx!$C$36,CapEx!$G$36,CapEx!$F$36)/12,0)</f>
        <v>0</v>
      </c>
      <c r="AY32" s="295">
        <f>IF(AND(AY$3&gt;=$AC32,AY$3&lt;(CapEx!$F$36*12)+$AC$32,CapEx!$F$36&gt;1),SLN(CapEx!$C$36,CapEx!$G$36,CapEx!$F$36)/12,0)</f>
        <v>0</v>
      </c>
      <c r="AZ32" s="295">
        <f>IF(AND(AZ$3&gt;=$AC32,AZ$3&lt;(CapEx!$F$36*12)+$AC$32,CapEx!$F$36&gt;1),SLN(CapEx!$C$36,CapEx!$G$36,CapEx!$F$36)/12,0)</f>
        <v>0</v>
      </c>
      <c r="BA32" s="295">
        <f>IF(AND(BA$3&gt;=$AC32,BA$3&lt;(CapEx!$F$36*12)+$AC$32,CapEx!$F$36&gt;1),SLN(CapEx!$C$36,CapEx!$G$36,CapEx!$F$36)/12,0)</f>
        <v>0</v>
      </c>
      <c r="BB32" s="295">
        <f>IF(AND(BB$3&gt;=$AC32,BB$3&lt;(CapEx!$F$36*12)+$AC$32,CapEx!$F$36&gt;1),SLN(CapEx!$C$36,CapEx!$G$36,CapEx!$F$36)/12,0)</f>
        <v>0</v>
      </c>
      <c r="BC32" s="295">
        <f>IF(AND(BC$3&gt;=$AC32,BC$3&lt;(CapEx!$F$36*12)+$AC$32,CapEx!$F$36&gt;1),SLN(CapEx!$C$36,CapEx!$G$36,CapEx!$F$36)/12,0)</f>
        <v>0</v>
      </c>
      <c r="BD32" s="295">
        <f>IF(AND(BD$3&gt;=$AC32,BD$3&lt;(CapEx!$F$36*12)+$AC$32,CapEx!$F$36&gt;1),SLN(CapEx!$C$36,CapEx!$G$36,CapEx!$F$36)/12,0)</f>
        <v>0</v>
      </c>
      <c r="BE32" s="295">
        <f>IF(AND(BE$3&gt;=$AC32,BE$3&lt;(CapEx!$F$36*12)+$AC$32,CapEx!$F$36&gt;1),SLN(CapEx!$C$36,CapEx!$G$36,CapEx!$F$36)/12,0)</f>
        <v>0</v>
      </c>
      <c r="BF32" s="295">
        <f>IF(AND(BF$3&gt;=$AC32,BF$3&lt;(CapEx!$F$36*12)+$AC$32,CapEx!$F$36&gt;1),SLN(CapEx!$C$36,CapEx!$G$36,CapEx!$F$36)/12,0)</f>
        <v>0</v>
      </c>
      <c r="BG32" s="295">
        <f>IF(AND(BG$3&gt;=$AC32,BG$3&lt;(CapEx!$F$36*12)+$AC$32,CapEx!$F$36&gt;1),SLN(CapEx!$C$36,CapEx!$G$36,CapEx!$F$36)/12,0)</f>
        <v>0</v>
      </c>
      <c r="BH32" s="295">
        <f>IF(AND(BH$3&gt;=$AC32,BH$3&lt;(CapEx!$F$36*12)+$AC$32,CapEx!$F$36&gt;1),SLN(CapEx!$C$36,CapEx!$G$36,CapEx!$F$36)/12,0)</f>
        <v>0</v>
      </c>
      <c r="BI32" s="295">
        <f>IF(AND(BI$3&gt;=$AC32,BI$3&lt;(CapEx!$F$36*12)+$AC$32,CapEx!$F$36&gt;1),SLN(CapEx!$C$36,CapEx!$G$36,CapEx!$F$36)/12,0)</f>
        <v>0</v>
      </c>
      <c r="BJ32" s="295">
        <f>IF(AND(BJ$3&gt;=$AC32,BJ$3&lt;(CapEx!$F$36*12)+$AC$32,CapEx!$F$36&gt;1),SLN(CapEx!$C$36,CapEx!$G$36,CapEx!$F$36)/12,0)</f>
        <v>0</v>
      </c>
      <c r="BK32" s="295">
        <f>IF(AND(BK$3&gt;=$AC32,BK$3&lt;(CapEx!$F$36*12)+$AC$32,CapEx!$F$36&gt;1),SLN(CapEx!$C$36,CapEx!$G$36,CapEx!$F$36)/12,0)</f>
        <v>0</v>
      </c>
      <c r="BL32" s="295">
        <f>IF(AND(BL$3&gt;=$AC32,BL$3&lt;(CapEx!$F$36*12)+$AC$32,CapEx!$F$36&gt;1),SLN(CapEx!$C$36,CapEx!$G$36,CapEx!$F$36)/12,0)</f>
        <v>0</v>
      </c>
      <c r="BM32" s="295">
        <f>IF(AND(BM$3&gt;=$AC32,BM$3&lt;(CapEx!$F$36*12)+$AC$32,CapEx!$F$36&gt;1),SLN(CapEx!$C$36,CapEx!$G$36,CapEx!$F$36)/12,0)</f>
        <v>0</v>
      </c>
      <c r="BN32" s="295">
        <f>IF(AND(BN$3&gt;=$AC32,BN$3&lt;(CapEx!$F$36*12)+$AC$32,CapEx!$F$36&gt;1),SLN(CapEx!$C$36,CapEx!$G$36,CapEx!$F$36)/12,0)</f>
        <v>0</v>
      </c>
      <c r="BO32" s="295">
        <f>IF(AND(BO$3&gt;=$AC32,BO$3&lt;(CapEx!$F$36*12)+$AC$32,CapEx!$F$36&gt;1),SLN(CapEx!$C$36,CapEx!$G$36,CapEx!$F$36)/12,0)</f>
        <v>0</v>
      </c>
      <c r="BP32" s="295">
        <f>IF(AND(BP$3&gt;=$AC32,BP$3&lt;(CapEx!$F$36*12)+$AC$32,CapEx!$F$36&gt;1),SLN(CapEx!$C$36,CapEx!$G$36,CapEx!$F$36)/12,0)</f>
        <v>0</v>
      </c>
      <c r="BQ32" s="295">
        <f>IF(AND(BQ$3&gt;=$AC32,BQ$3&lt;(CapEx!$F$36*12)+$AC$32,CapEx!$F$36&gt;1),SLN(CapEx!$C$36,CapEx!$G$36,CapEx!$F$36)/12,0)</f>
        <v>0</v>
      </c>
      <c r="BR32" s="295">
        <f>IF(AND(BR$3&gt;=$AC32,BR$3&lt;(CapEx!$F$36*12)+$AC$32,CapEx!$F$36&gt;1),SLN(CapEx!$C$36,CapEx!$G$36,CapEx!$F$36)/12,0)</f>
        <v>0</v>
      </c>
      <c r="BS32" s="295">
        <f>IF(AND(BS$3&gt;=$AC32,BS$3&lt;(CapEx!$F$36*12)+$AC$32,CapEx!$F$36&gt;1),SLN(CapEx!$C$36,CapEx!$G$36,CapEx!$F$36)/12,0)</f>
        <v>0</v>
      </c>
      <c r="BT32" s="295">
        <f>IF(AND(BT$3&gt;=$AC32,BT$3&lt;(CapEx!$F$36*12)+$AC$32,CapEx!$F$36&gt;1),SLN(CapEx!$C$36,CapEx!$G$36,CapEx!$F$36)/12,0)</f>
        <v>0</v>
      </c>
      <c r="BU32" s="295">
        <f>IF(AND(BU$3&gt;=$AC32,BU$3&lt;(CapEx!$F$36*12)+$AC$32,CapEx!$F$36&gt;1),SLN(CapEx!$C$36,CapEx!$G$36,CapEx!$F$36)/12,0)</f>
        <v>0</v>
      </c>
      <c r="BV32" s="295">
        <f>IF(AND(BV$3&gt;=$AC32,BV$3&lt;(CapEx!$F$36*12)+$AC$32,CapEx!$F$36&gt;1),SLN(CapEx!$C$36,CapEx!$G$36,CapEx!$F$36)/12,0)</f>
        <v>0</v>
      </c>
      <c r="BW32" s="295">
        <f>IF(AND(BW$3&gt;=$AC32,BW$3&lt;(CapEx!$F$36*12)+$AC$32,CapEx!$F$36&gt;1),SLN(CapEx!$C$36,CapEx!$G$36,CapEx!$F$36)/12,0)</f>
        <v>0</v>
      </c>
      <c r="BX32" s="295">
        <f>IF(AND(BX$3&gt;=$AC32,BX$3&lt;(CapEx!$F$36*12)+$AC$32,CapEx!$F$36&gt;1),SLN(CapEx!$C$36,CapEx!$G$36,CapEx!$F$36)/12,0)</f>
        <v>0</v>
      </c>
      <c r="BY32" s="295">
        <f>IF(AND(BY$3&gt;=$AC32,BY$3&lt;(CapEx!$F$36*12)+$AC$32,CapEx!$F$36&gt;1),SLN(CapEx!$C$36,CapEx!$G$36,CapEx!$F$36)/12,0)</f>
        <v>0</v>
      </c>
      <c r="BZ32" s="295">
        <f>IF(AND(BZ$3&gt;=$AC32,BZ$3&lt;(CapEx!$F$36*12)+$AC$32,CapEx!$F$36&gt;1),SLN(CapEx!$C$36,CapEx!$G$36,CapEx!$F$36)/12,0)</f>
        <v>0</v>
      </c>
      <c r="CA32" s="295">
        <f>IF(AND(CA$3&gt;=$AC32,CA$3&lt;(CapEx!$F$36*12)+$AC$32,CapEx!$F$36&gt;1),SLN(CapEx!$C$36,CapEx!$G$36,CapEx!$F$36)/12,0)</f>
        <v>0</v>
      </c>
      <c r="CB32" s="295">
        <f>IF(AND(CB$3&gt;=$AC32,CB$3&lt;(CapEx!$F$36*12)+$AC$32,CapEx!$F$36&gt;1),SLN(CapEx!$C$36,CapEx!$G$36,CapEx!$F$36)/12,0)</f>
        <v>0</v>
      </c>
      <c r="CC32" s="295">
        <f>IF(AND(CC$3&gt;=$AC32,CC$3&lt;(CapEx!$F$36*12)+$AC$32,CapEx!$F$36&gt;1),SLN(CapEx!$C$36,CapEx!$G$36,CapEx!$F$36)/12,0)</f>
        <v>0</v>
      </c>
      <c r="CD32" s="295">
        <f>IF(AND(CD$3&gt;=$AC32,CD$3&lt;(CapEx!$F$36*12)+$AC$32,CapEx!$F$36&gt;1),SLN(CapEx!$C$36,CapEx!$G$36,CapEx!$F$36)/12,0)</f>
        <v>0</v>
      </c>
      <c r="CE32" s="295">
        <f>IF(AND(CE$3&gt;=$AC32,CE$3&lt;(CapEx!$F$36*12)+$AC$32,CapEx!$F$36&gt;1),SLN(CapEx!$C$36,CapEx!$G$36,CapEx!$F$36)/12,0)</f>
        <v>0</v>
      </c>
      <c r="CF32" s="295">
        <f>IF(AND(CF$3&gt;=$AC32,CF$3&lt;(CapEx!$F$36*12)+$AC$32,CapEx!$F$36&gt;1),SLN(CapEx!$C$36,CapEx!$G$36,CapEx!$F$36)/12,0)</f>
        <v>0</v>
      </c>
      <c r="CG32" s="295">
        <f>IF(AND(CG$3&gt;=$AC32,CG$3&lt;(CapEx!$F$36*12)+$AC$32,CapEx!$F$36&gt;1),SLN(CapEx!$C$36,CapEx!$G$36,CapEx!$F$36)/12,0)</f>
        <v>0</v>
      </c>
      <c r="CH32" s="295">
        <f>IF(AND(CH$3&gt;=$AC32,CH$3&lt;(CapEx!$F$36*12)+$AC$32,CapEx!$F$36&gt;1),SLN(CapEx!$C$36,CapEx!$G$36,CapEx!$F$36)/12,0)</f>
        <v>0</v>
      </c>
      <c r="CI32" s="295">
        <f>IF(AND(CI$3&gt;=$AC32,CI$3&lt;(CapEx!$F$36*12)+$AC$32,CapEx!$F$36&gt;1),SLN(CapEx!$C$36,CapEx!$G$36,CapEx!$F$36)/12,0)</f>
        <v>0</v>
      </c>
      <c r="CJ32" s="295">
        <f>IF(AND(CJ$3&gt;=$AC32,CJ$3&lt;(CapEx!$F$36*12)+$AC$32,CapEx!$F$36&gt;1),SLN(CapEx!$C$36,CapEx!$G$36,CapEx!$F$36)/12,0)</f>
        <v>0</v>
      </c>
      <c r="CK32" s="295">
        <f>IF(AND(CK$3&gt;=$AC32,CK$3&lt;(CapEx!$F$36*12)+$AC$32,CapEx!$F$36&gt;1),SLN(CapEx!$C$36,CapEx!$G$36,CapEx!$F$36)/12,0)</f>
        <v>0</v>
      </c>
    </row>
    <row r="33" spans="1:89">
      <c r="A33" s="304" t="s">
        <v>326</v>
      </c>
      <c r="B33" t="str">
        <f>IF(cMonthStartup=1,TEXT(cYearStartup,"general"),TEXT(cYearStartup,"general")&amp;"-"&amp;TEXT(cYearStartup+1,"general"))</f>
        <v>2008-2009</v>
      </c>
      <c r="E33" t="str">
        <f>"Year 1: Financials At-a-Glance (" &amp; B$33 &amp; ")"</f>
        <v>Year 1: Financials At-a-Glance (2008-2009)</v>
      </c>
      <c r="Y33" s="79">
        <f>CapEx!F37</f>
        <v>1</v>
      </c>
      <c r="Z33" s="145" t="s">
        <v>245</v>
      </c>
      <c r="AA33" s="297">
        <v>30</v>
      </c>
      <c r="AB33">
        <f>CapEx!C37</f>
        <v>0</v>
      </c>
      <c r="AC33" s="79">
        <f>IF(AB33=0,1,DATEDIF($K$12,DATEVALUE("01-"&amp;CapEx!$D37&amp;"-"&amp;CapEx!$E37),"m")+1)</f>
        <v>1</v>
      </c>
      <c r="AD33" s="295">
        <f>IF(AND(AD$3&gt;=$AC33,AD$3&lt;(CapEx!$F$37*12)+$AC$33,CapEx!$F$37&gt;1),SLN(CapEx!$C$37,CapEx!$G$37,CapEx!$F$37)/12,0)</f>
        <v>0</v>
      </c>
      <c r="AE33" s="295">
        <f>IF(AND(AE$3&gt;=$AC33,AE$3&lt;(CapEx!$F$37*12)+$AC$33,CapEx!$F$37&gt;1),SLN(CapEx!$C$37,CapEx!$G$37,CapEx!$F$37)/12,0)</f>
        <v>0</v>
      </c>
      <c r="AF33" s="295">
        <f>IF(AND(AF$3&gt;=$AC33,AF$3&lt;(CapEx!$F$37*12)+$AC$33,CapEx!$F$37&gt;1),SLN(CapEx!$C$37,CapEx!$G$37,CapEx!$F$37)/12,0)</f>
        <v>0</v>
      </c>
      <c r="AG33" s="295">
        <f>IF(AND(AG$3&gt;=$AC33,AG$3&lt;(CapEx!$F$37*12)+$AC$33,CapEx!$F$37&gt;1),SLN(CapEx!$C$37,CapEx!$G$37,CapEx!$F$37)/12,0)</f>
        <v>0</v>
      </c>
      <c r="AH33" s="295">
        <f>IF(AND(AH$3&gt;=$AC33,AH$3&lt;(CapEx!$F$37*12)+$AC$33,CapEx!$F$37&gt;1),SLN(CapEx!$C$37,CapEx!$G$37,CapEx!$F$37)/12,0)</f>
        <v>0</v>
      </c>
      <c r="AI33" s="295">
        <f>IF(AND(AI$3&gt;=$AC33,AI$3&lt;(CapEx!$F$37*12)+$AC$33,CapEx!$F$37&gt;1),SLN(CapEx!$C$37,CapEx!$G$37,CapEx!$F$37)/12,0)</f>
        <v>0</v>
      </c>
      <c r="AJ33" s="295">
        <f>IF(AND(AJ$3&gt;=$AC33,AJ$3&lt;(CapEx!$F$37*12)+$AC$33,CapEx!$F$37&gt;1),SLN(CapEx!$C$37,CapEx!$G$37,CapEx!$F$37)/12,0)</f>
        <v>0</v>
      </c>
      <c r="AK33" s="295">
        <f>IF(AND(AK$3&gt;=$AC33,AK$3&lt;(CapEx!$F$37*12)+$AC$33,CapEx!$F$37&gt;1),SLN(CapEx!$C$37,CapEx!$G$37,CapEx!$F$37)/12,0)</f>
        <v>0</v>
      </c>
      <c r="AL33" s="295">
        <f>IF(AND(AL$3&gt;=$AC33,AL$3&lt;(CapEx!$F$37*12)+$AC$33,CapEx!$F$37&gt;1),SLN(CapEx!$C$37,CapEx!$G$37,CapEx!$F$37)/12,0)</f>
        <v>0</v>
      </c>
      <c r="AM33" s="295">
        <f>IF(AND(AM$3&gt;=$AC33,AM$3&lt;(CapEx!$F$37*12)+$AC$33,CapEx!$F$37&gt;1),SLN(CapEx!$C$37,CapEx!$G$37,CapEx!$F$37)/12,0)</f>
        <v>0</v>
      </c>
      <c r="AN33" s="295">
        <f>IF(AND(AN$3&gt;=$AC33,AN$3&lt;(CapEx!$F$37*12)+$AC$33,CapEx!$F$37&gt;1),SLN(CapEx!$C$37,CapEx!$G$37,CapEx!$F$37)/12,0)</f>
        <v>0</v>
      </c>
      <c r="AO33" s="295">
        <f>IF(AND(AO$3&gt;=$AC33,AO$3&lt;(CapEx!$F$37*12)+$AC$33,CapEx!$F$37&gt;1),SLN(CapEx!$C$37,CapEx!$G$37,CapEx!$F$37)/12,0)</f>
        <v>0</v>
      </c>
      <c r="AP33" s="295">
        <f>IF(AND(AP$3&gt;=$AC33,AP$3&lt;(CapEx!$F$37*12)+$AC$33,CapEx!$F$37&gt;1),SLN(CapEx!$C$37,CapEx!$G$37,CapEx!$F$37)/12,0)</f>
        <v>0</v>
      </c>
      <c r="AQ33" s="295">
        <f>IF(AND(AQ$3&gt;=$AC33,AQ$3&lt;(CapEx!$F$37*12)+$AC$33,CapEx!$F$37&gt;1),SLN(CapEx!$C$37,CapEx!$G$37,CapEx!$F$37)/12,0)</f>
        <v>0</v>
      </c>
      <c r="AR33" s="295">
        <f>IF(AND(AR$3&gt;=$AC33,AR$3&lt;(CapEx!$F$37*12)+$AC$33,CapEx!$F$37&gt;1),SLN(CapEx!$C$37,CapEx!$G$37,CapEx!$F$37)/12,0)</f>
        <v>0</v>
      </c>
      <c r="AS33" s="295">
        <f>IF(AND(AS$3&gt;=$AC33,AS$3&lt;(CapEx!$F$37*12)+$AC$33,CapEx!$F$37&gt;1),SLN(CapEx!$C$37,CapEx!$G$37,CapEx!$F$37)/12,0)</f>
        <v>0</v>
      </c>
      <c r="AT33" s="295">
        <f>IF(AND(AT$3&gt;=$AC33,AT$3&lt;(CapEx!$F$37*12)+$AC$33,CapEx!$F$37&gt;1),SLN(CapEx!$C$37,CapEx!$G$37,CapEx!$F$37)/12,0)</f>
        <v>0</v>
      </c>
      <c r="AU33" s="295">
        <f>IF(AND(AU$3&gt;=$AC33,AU$3&lt;(CapEx!$F$37*12)+$AC$33,CapEx!$F$37&gt;1),SLN(CapEx!$C$37,CapEx!$G$37,CapEx!$F$37)/12,0)</f>
        <v>0</v>
      </c>
      <c r="AV33" s="295">
        <f>IF(AND(AV$3&gt;=$AC33,AV$3&lt;(CapEx!$F$37*12)+$AC$33,CapEx!$F$37&gt;1),SLN(CapEx!$C$37,CapEx!$G$37,CapEx!$F$37)/12,0)</f>
        <v>0</v>
      </c>
      <c r="AW33" s="295">
        <f>IF(AND(AW$3&gt;=$AC33,AW$3&lt;(CapEx!$F$37*12)+$AC$33,CapEx!$F$37&gt;1),SLN(CapEx!$C$37,CapEx!$G$37,CapEx!$F$37)/12,0)</f>
        <v>0</v>
      </c>
      <c r="AX33" s="295">
        <f>IF(AND(AX$3&gt;=$AC33,AX$3&lt;(CapEx!$F$37*12)+$AC$33,CapEx!$F$37&gt;1),SLN(CapEx!$C$37,CapEx!$G$37,CapEx!$F$37)/12,0)</f>
        <v>0</v>
      </c>
      <c r="AY33" s="295">
        <f>IF(AND(AY$3&gt;=$AC33,AY$3&lt;(CapEx!$F$37*12)+$AC$33,CapEx!$F$37&gt;1),SLN(CapEx!$C$37,CapEx!$G$37,CapEx!$F$37)/12,0)</f>
        <v>0</v>
      </c>
      <c r="AZ33" s="295">
        <f>IF(AND(AZ$3&gt;=$AC33,AZ$3&lt;(CapEx!$F$37*12)+$AC$33,CapEx!$F$37&gt;1),SLN(CapEx!$C$37,CapEx!$G$37,CapEx!$F$37)/12,0)</f>
        <v>0</v>
      </c>
      <c r="BA33" s="295">
        <f>IF(AND(BA$3&gt;=$AC33,BA$3&lt;(CapEx!$F$37*12)+$AC$33,CapEx!$F$37&gt;1),SLN(CapEx!$C$37,CapEx!$G$37,CapEx!$F$37)/12,0)</f>
        <v>0</v>
      </c>
      <c r="BB33" s="295">
        <f>IF(AND(BB$3&gt;=$AC33,BB$3&lt;(CapEx!$F$37*12)+$AC$33,CapEx!$F$37&gt;1),SLN(CapEx!$C$37,CapEx!$G$37,CapEx!$F$37)/12,0)</f>
        <v>0</v>
      </c>
      <c r="BC33" s="295">
        <f>IF(AND(BC$3&gt;=$AC33,BC$3&lt;(CapEx!$F$37*12)+$AC$33,CapEx!$F$37&gt;1),SLN(CapEx!$C$37,CapEx!$G$37,CapEx!$F$37)/12,0)</f>
        <v>0</v>
      </c>
      <c r="BD33" s="295">
        <f>IF(AND(BD$3&gt;=$AC33,BD$3&lt;(CapEx!$F$37*12)+$AC$33,CapEx!$F$37&gt;1),SLN(CapEx!$C$37,CapEx!$G$37,CapEx!$F$37)/12,0)</f>
        <v>0</v>
      </c>
      <c r="BE33" s="295">
        <f>IF(AND(BE$3&gt;=$AC33,BE$3&lt;(CapEx!$F$37*12)+$AC$33,CapEx!$F$37&gt;1),SLN(CapEx!$C$37,CapEx!$G$37,CapEx!$F$37)/12,0)</f>
        <v>0</v>
      </c>
      <c r="BF33" s="295">
        <f>IF(AND(BF$3&gt;=$AC33,BF$3&lt;(CapEx!$F$37*12)+$AC$33,CapEx!$F$37&gt;1),SLN(CapEx!$C$37,CapEx!$G$37,CapEx!$F$37)/12,0)</f>
        <v>0</v>
      </c>
      <c r="BG33" s="295">
        <f>IF(AND(BG$3&gt;=$AC33,BG$3&lt;(CapEx!$F$37*12)+$AC$33,CapEx!$F$37&gt;1),SLN(CapEx!$C$37,CapEx!$G$37,CapEx!$F$37)/12,0)</f>
        <v>0</v>
      </c>
      <c r="BH33" s="295">
        <f>IF(AND(BH$3&gt;=$AC33,BH$3&lt;(CapEx!$F$37*12)+$AC$33,CapEx!$F$37&gt;1),SLN(CapEx!$C$37,CapEx!$G$37,CapEx!$F$37)/12,0)</f>
        <v>0</v>
      </c>
      <c r="BI33" s="295">
        <f>IF(AND(BI$3&gt;=$AC33,BI$3&lt;(CapEx!$F$37*12)+$AC$33,CapEx!$F$37&gt;1),SLN(CapEx!$C$37,CapEx!$G$37,CapEx!$F$37)/12,0)</f>
        <v>0</v>
      </c>
      <c r="BJ33" s="295">
        <f>IF(AND(BJ$3&gt;=$AC33,BJ$3&lt;(CapEx!$F$37*12)+$AC$33,CapEx!$F$37&gt;1),SLN(CapEx!$C$37,CapEx!$G$37,CapEx!$F$37)/12,0)</f>
        <v>0</v>
      </c>
      <c r="BK33" s="295">
        <f>IF(AND(BK$3&gt;=$AC33,BK$3&lt;(CapEx!$F$37*12)+$AC$33,CapEx!$F$37&gt;1),SLN(CapEx!$C$37,CapEx!$G$37,CapEx!$F$37)/12,0)</f>
        <v>0</v>
      </c>
      <c r="BL33" s="295">
        <f>IF(AND(BL$3&gt;=$AC33,BL$3&lt;(CapEx!$F$37*12)+$AC$33,CapEx!$F$37&gt;1),SLN(CapEx!$C$37,CapEx!$G$37,CapEx!$F$37)/12,0)</f>
        <v>0</v>
      </c>
      <c r="BM33" s="295">
        <f>IF(AND(BM$3&gt;=$AC33,BM$3&lt;(CapEx!$F$37*12)+$AC$33,CapEx!$F$37&gt;1),SLN(CapEx!$C$37,CapEx!$G$37,CapEx!$F$37)/12,0)</f>
        <v>0</v>
      </c>
      <c r="BN33" s="295">
        <f>IF(AND(BN$3&gt;=$AC33,BN$3&lt;(CapEx!$F$37*12)+$AC$33,CapEx!$F$37&gt;1),SLN(CapEx!$C$37,CapEx!$G$37,CapEx!$F$37)/12,0)</f>
        <v>0</v>
      </c>
      <c r="BO33" s="295">
        <f>IF(AND(BO$3&gt;=$AC33,BO$3&lt;(CapEx!$F$37*12)+$AC$33,CapEx!$F$37&gt;1),SLN(CapEx!$C$37,CapEx!$G$37,CapEx!$F$37)/12,0)</f>
        <v>0</v>
      </c>
      <c r="BP33" s="295">
        <f>IF(AND(BP$3&gt;=$AC33,BP$3&lt;(CapEx!$F$37*12)+$AC$33,CapEx!$F$37&gt;1),SLN(CapEx!$C$37,CapEx!$G$37,CapEx!$F$37)/12,0)</f>
        <v>0</v>
      </c>
      <c r="BQ33" s="295">
        <f>IF(AND(BQ$3&gt;=$AC33,BQ$3&lt;(CapEx!$F$37*12)+$AC$33,CapEx!$F$37&gt;1),SLN(CapEx!$C$37,CapEx!$G$37,CapEx!$F$37)/12,0)</f>
        <v>0</v>
      </c>
      <c r="BR33" s="295">
        <f>IF(AND(BR$3&gt;=$AC33,BR$3&lt;(CapEx!$F$37*12)+$AC$33,CapEx!$F$37&gt;1),SLN(CapEx!$C$37,CapEx!$G$37,CapEx!$F$37)/12,0)</f>
        <v>0</v>
      </c>
      <c r="BS33" s="295">
        <f>IF(AND(BS$3&gt;=$AC33,BS$3&lt;(CapEx!$F$37*12)+$AC$33,CapEx!$F$37&gt;1),SLN(CapEx!$C$37,CapEx!$G$37,CapEx!$F$37)/12,0)</f>
        <v>0</v>
      </c>
      <c r="BT33" s="295">
        <f>IF(AND(BT$3&gt;=$AC33,BT$3&lt;(CapEx!$F$37*12)+$AC$33,CapEx!$F$37&gt;1),SLN(CapEx!$C$37,CapEx!$G$37,CapEx!$F$37)/12,0)</f>
        <v>0</v>
      </c>
      <c r="BU33" s="295">
        <f>IF(AND(BU$3&gt;=$AC33,BU$3&lt;(CapEx!$F$37*12)+$AC$33,CapEx!$F$37&gt;1),SLN(CapEx!$C$37,CapEx!$G$37,CapEx!$F$37)/12,0)</f>
        <v>0</v>
      </c>
      <c r="BV33" s="295">
        <f>IF(AND(BV$3&gt;=$AC33,BV$3&lt;(CapEx!$F$37*12)+$AC$33,CapEx!$F$37&gt;1),SLN(CapEx!$C$37,CapEx!$G$37,CapEx!$F$37)/12,0)</f>
        <v>0</v>
      </c>
      <c r="BW33" s="295">
        <f>IF(AND(BW$3&gt;=$AC33,BW$3&lt;(CapEx!$F$37*12)+$AC$33,CapEx!$F$37&gt;1),SLN(CapEx!$C$37,CapEx!$G$37,CapEx!$F$37)/12,0)</f>
        <v>0</v>
      </c>
      <c r="BX33" s="295">
        <f>IF(AND(BX$3&gt;=$AC33,BX$3&lt;(CapEx!$F$37*12)+$AC$33,CapEx!$F$37&gt;1),SLN(CapEx!$C$37,CapEx!$G$37,CapEx!$F$37)/12,0)</f>
        <v>0</v>
      </c>
      <c r="BY33" s="295">
        <f>IF(AND(BY$3&gt;=$AC33,BY$3&lt;(CapEx!$F$37*12)+$AC$33,CapEx!$F$37&gt;1),SLN(CapEx!$C$37,CapEx!$G$37,CapEx!$F$37)/12,0)</f>
        <v>0</v>
      </c>
      <c r="BZ33" s="295">
        <f>IF(AND(BZ$3&gt;=$AC33,BZ$3&lt;(CapEx!$F$37*12)+$AC$33,CapEx!$F$37&gt;1),SLN(CapEx!$C$37,CapEx!$G$37,CapEx!$F$37)/12,0)</f>
        <v>0</v>
      </c>
      <c r="CA33" s="295">
        <f>IF(AND(CA$3&gt;=$AC33,CA$3&lt;(CapEx!$F$37*12)+$AC$33,CapEx!$F$37&gt;1),SLN(CapEx!$C$37,CapEx!$G$37,CapEx!$F$37)/12,0)</f>
        <v>0</v>
      </c>
      <c r="CB33" s="295">
        <f>IF(AND(CB$3&gt;=$AC33,CB$3&lt;(CapEx!$F$37*12)+$AC$33,CapEx!$F$37&gt;1),SLN(CapEx!$C$37,CapEx!$G$37,CapEx!$F$37)/12,0)</f>
        <v>0</v>
      </c>
      <c r="CC33" s="295">
        <f>IF(AND(CC$3&gt;=$AC33,CC$3&lt;(CapEx!$F$37*12)+$AC$33,CapEx!$F$37&gt;1),SLN(CapEx!$C$37,CapEx!$G$37,CapEx!$F$37)/12,0)</f>
        <v>0</v>
      </c>
      <c r="CD33" s="295">
        <f>IF(AND(CD$3&gt;=$AC33,CD$3&lt;(CapEx!$F$37*12)+$AC$33,CapEx!$F$37&gt;1),SLN(CapEx!$C$37,CapEx!$G$37,CapEx!$F$37)/12,0)</f>
        <v>0</v>
      </c>
      <c r="CE33" s="295">
        <f>IF(AND(CE$3&gt;=$AC33,CE$3&lt;(CapEx!$F$37*12)+$AC$33,CapEx!$F$37&gt;1),SLN(CapEx!$C$37,CapEx!$G$37,CapEx!$F$37)/12,0)</f>
        <v>0</v>
      </c>
      <c r="CF33" s="295">
        <f>IF(AND(CF$3&gt;=$AC33,CF$3&lt;(CapEx!$F$37*12)+$AC$33,CapEx!$F$37&gt;1),SLN(CapEx!$C$37,CapEx!$G$37,CapEx!$F$37)/12,0)</f>
        <v>0</v>
      </c>
      <c r="CG33" s="295">
        <f>IF(AND(CG$3&gt;=$AC33,CG$3&lt;(CapEx!$F$37*12)+$AC$33,CapEx!$F$37&gt;1),SLN(CapEx!$C$37,CapEx!$G$37,CapEx!$F$37)/12,0)</f>
        <v>0</v>
      </c>
      <c r="CH33" s="295">
        <f>IF(AND(CH$3&gt;=$AC33,CH$3&lt;(CapEx!$F$37*12)+$AC$33,CapEx!$F$37&gt;1),SLN(CapEx!$C$37,CapEx!$G$37,CapEx!$F$37)/12,0)</f>
        <v>0</v>
      </c>
      <c r="CI33" s="295">
        <f>IF(AND(CI$3&gt;=$AC33,CI$3&lt;(CapEx!$F$37*12)+$AC$33,CapEx!$F$37&gt;1),SLN(CapEx!$C$37,CapEx!$G$37,CapEx!$F$37)/12,0)</f>
        <v>0</v>
      </c>
      <c r="CJ33" s="295">
        <f>IF(AND(CJ$3&gt;=$AC33,CJ$3&lt;(CapEx!$F$37*12)+$AC$33,CapEx!$F$37&gt;1),SLN(CapEx!$C$37,CapEx!$G$37,CapEx!$F$37)/12,0)</f>
        <v>0</v>
      </c>
      <c r="CK33" s="295">
        <f>IF(AND(CK$3&gt;=$AC33,CK$3&lt;(CapEx!$F$37*12)+$AC$33,CapEx!$F$37&gt;1),SLN(CapEx!$C$37,CapEx!$G$37,CapEx!$F$37)/12,0)</f>
        <v>0</v>
      </c>
    </row>
    <row r="34" spans="1:89">
      <c r="A34" s="304" t="s">
        <v>327</v>
      </c>
      <c r="B34" t="str">
        <f>IF(cMonthStartup=1,TEXT(cYearStartup+1,"general"),TEXT(cYearStartup+1,"general")&amp;"-"&amp;TEXT(cYearStartup+2,"general"))</f>
        <v>2009-2010</v>
      </c>
      <c r="E34" s="823" t="str">
        <f>"Year 1: Net Sales (" &amp; B$33 &amp; ")"</f>
        <v>Year 1: Net Sales (2008-2009)</v>
      </c>
      <c r="Y34" s="79">
        <f>CapEx!F40</f>
        <v>1</v>
      </c>
      <c r="Z34" s="145" t="s">
        <v>246</v>
      </c>
      <c r="AA34" s="297">
        <v>31</v>
      </c>
      <c r="AB34">
        <f>CapEx!C40</f>
        <v>0</v>
      </c>
      <c r="AC34" s="79">
        <f>IF(AB34=0,1,DATEDIF($K$12,DATEVALUE("01-"&amp;CapEx!$D40&amp;"-"&amp;CapEx!$E40),"m")+1)</f>
        <v>1</v>
      </c>
      <c r="AD34" s="295">
        <f>IF(AND(AD$3&gt;=$AC34,AD$3&lt;(CapEx!$F$40*12)+$AC$34,CapEx!$F$40&gt;1),SLN(CapEx!$C$40,CapEx!$G$40,CapEx!$F$40)/12,0)</f>
        <v>0</v>
      </c>
      <c r="AE34" s="295">
        <f>IF(AND(AE$3&gt;=$AC34,AE$3&lt;(CapEx!$F$40*12)+$AC$34,CapEx!$F$40&gt;1),SLN(CapEx!$C$40,CapEx!$G$40,CapEx!$F$40)/12,0)</f>
        <v>0</v>
      </c>
      <c r="AF34" s="295">
        <f>IF(AND(AF$3&gt;=$AC34,AF$3&lt;(CapEx!$F$40*12)+$AC$34,CapEx!$F$40&gt;1),SLN(CapEx!$C$40,CapEx!$G$40,CapEx!$F$40)/12,0)</f>
        <v>0</v>
      </c>
      <c r="AG34" s="295">
        <f>IF(AND(AG$3&gt;=$AC34,AG$3&lt;(CapEx!$F$40*12)+$AC$34,CapEx!$F$40&gt;1),SLN(CapEx!$C$40,CapEx!$G$40,CapEx!$F$40)/12,0)</f>
        <v>0</v>
      </c>
      <c r="AH34" s="295">
        <f>IF(AND(AH$3&gt;=$AC34,AH$3&lt;(CapEx!$F$40*12)+$AC$34,CapEx!$F$40&gt;1),SLN(CapEx!$C$40,CapEx!$G$40,CapEx!$F$40)/12,0)</f>
        <v>0</v>
      </c>
      <c r="AI34" s="295">
        <f>IF(AND(AI$3&gt;=$AC34,AI$3&lt;(CapEx!$F$40*12)+$AC$34,CapEx!$F$40&gt;1),SLN(CapEx!$C$40,CapEx!$G$40,CapEx!$F$40)/12,0)</f>
        <v>0</v>
      </c>
      <c r="AJ34" s="295">
        <f>IF(AND(AJ$3&gt;=$AC34,AJ$3&lt;(CapEx!$F$40*12)+$AC$34,CapEx!$F$40&gt;1),SLN(CapEx!$C$40,CapEx!$G$40,CapEx!$F$40)/12,0)</f>
        <v>0</v>
      </c>
      <c r="AK34" s="295">
        <f>IF(AND(AK$3&gt;=$AC34,AK$3&lt;(CapEx!$F$40*12)+$AC$34,CapEx!$F$40&gt;1),SLN(CapEx!$C$40,CapEx!$G$40,CapEx!$F$40)/12,0)</f>
        <v>0</v>
      </c>
      <c r="AL34" s="295">
        <f>IF(AND(AL$3&gt;=$AC34,AL$3&lt;(CapEx!$F$40*12)+$AC$34,CapEx!$F$40&gt;1),SLN(CapEx!$C$40,CapEx!$G$40,CapEx!$F$40)/12,0)</f>
        <v>0</v>
      </c>
      <c r="AM34" s="295">
        <f>IF(AND(AM$3&gt;=$AC34,AM$3&lt;(CapEx!$F$40*12)+$AC$34,CapEx!$F$40&gt;1),SLN(CapEx!$C$40,CapEx!$G$40,CapEx!$F$40)/12,0)</f>
        <v>0</v>
      </c>
      <c r="AN34" s="295">
        <f>IF(AND(AN$3&gt;=$AC34,AN$3&lt;(CapEx!$F$40*12)+$AC$34,CapEx!$F$40&gt;1),SLN(CapEx!$C$40,CapEx!$G$40,CapEx!$F$40)/12,0)</f>
        <v>0</v>
      </c>
      <c r="AO34" s="295">
        <f>IF(AND(AO$3&gt;=$AC34,AO$3&lt;(CapEx!$F$40*12)+$AC$34,CapEx!$F$40&gt;1),SLN(CapEx!$C$40,CapEx!$G$40,CapEx!$F$40)/12,0)</f>
        <v>0</v>
      </c>
      <c r="AP34" s="295">
        <f>IF(AND(AP$3&gt;=$AC34,AP$3&lt;(CapEx!$F$40*12)+$AC$34,CapEx!$F$40&gt;1),SLN(CapEx!$C$40,CapEx!$G$40,CapEx!$F$40)/12,0)</f>
        <v>0</v>
      </c>
      <c r="AQ34" s="295">
        <f>IF(AND(AQ$3&gt;=$AC34,AQ$3&lt;(CapEx!$F$40*12)+$AC$34,CapEx!$F$40&gt;1),SLN(CapEx!$C$40,CapEx!$G$40,CapEx!$F$40)/12,0)</f>
        <v>0</v>
      </c>
      <c r="AR34" s="295">
        <f>IF(AND(AR$3&gt;=$AC34,AR$3&lt;(CapEx!$F$40*12)+$AC$34,CapEx!$F$40&gt;1),SLN(CapEx!$C$40,CapEx!$G$40,CapEx!$F$40)/12,0)</f>
        <v>0</v>
      </c>
      <c r="AS34" s="295">
        <f>IF(AND(AS$3&gt;=$AC34,AS$3&lt;(CapEx!$F$40*12)+$AC$34,CapEx!$F$40&gt;1),SLN(CapEx!$C$40,CapEx!$G$40,CapEx!$F$40)/12,0)</f>
        <v>0</v>
      </c>
      <c r="AT34" s="295">
        <f>IF(AND(AT$3&gt;=$AC34,AT$3&lt;(CapEx!$F$40*12)+$AC$34,CapEx!$F$40&gt;1),SLN(CapEx!$C$40,CapEx!$G$40,CapEx!$F$40)/12,0)</f>
        <v>0</v>
      </c>
      <c r="AU34" s="295">
        <f>IF(AND(AU$3&gt;=$AC34,AU$3&lt;(CapEx!$F$40*12)+$AC$34,CapEx!$F$40&gt;1),SLN(CapEx!$C$40,CapEx!$G$40,CapEx!$F$40)/12,0)</f>
        <v>0</v>
      </c>
      <c r="AV34" s="295">
        <f>IF(AND(AV$3&gt;=$AC34,AV$3&lt;(CapEx!$F$40*12)+$AC$34,CapEx!$F$40&gt;1),SLN(CapEx!$C$40,CapEx!$G$40,CapEx!$F$40)/12,0)</f>
        <v>0</v>
      </c>
      <c r="AW34" s="295">
        <f>IF(AND(AW$3&gt;=$AC34,AW$3&lt;(CapEx!$F$40*12)+$AC$34,CapEx!$F$40&gt;1),SLN(CapEx!$C$40,CapEx!$G$40,CapEx!$F$40)/12,0)</f>
        <v>0</v>
      </c>
      <c r="AX34" s="295">
        <f>IF(AND(AX$3&gt;=$AC34,AX$3&lt;(CapEx!$F$40*12)+$AC$34,CapEx!$F$40&gt;1),SLN(CapEx!$C$40,CapEx!$G$40,CapEx!$F$40)/12,0)</f>
        <v>0</v>
      </c>
      <c r="AY34" s="295">
        <f>IF(AND(AY$3&gt;=$AC34,AY$3&lt;(CapEx!$F$40*12)+$AC$34,CapEx!$F$40&gt;1),SLN(CapEx!$C$40,CapEx!$G$40,CapEx!$F$40)/12,0)</f>
        <v>0</v>
      </c>
      <c r="AZ34" s="295">
        <f>IF(AND(AZ$3&gt;=$AC34,AZ$3&lt;(CapEx!$F$40*12)+$AC$34,CapEx!$F$40&gt;1),SLN(CapEx!$C$40,CapEx!$G$40,CapEx!$F$40)/12,0)</f>
        <v>0</v>
      </c>
      <c r="BA34" s="295">
        <f>IF(AND(BA$3&gt;=$AC34,BA$3&lt;(CapEx!$F$40*12)+$AC$34,CapEx!$F$40&gt;1),SLN(CapEx!$C$40,CapEx!$G$40,CapEx!$F$40)/12,0)</f>
        <v>0</v>
      </c>
      <c r="BB34" s="295">
        <f>IF(AND(BB$3&gt;=$AC34,BB$3&lt;(CapEx!$F$40*12)+$AC$34,CapEx!$F$40&gt;1),SLN(CapEx!$C$40,CapEx!$G$40,CapEx!$F$40)/12,0)</f>
        <v>0</v>
      </c>
      <c r="BC34" s="295">
        <f>IF(AND(BC$3&gt;=$AC34,BC$3&lt;(CapEx!$F$40*12)+$AC$34,CapEx!$F$40&gt;1),SLN(CapEx!$C$40,CapEx!$G$40,CapEx!$F$40)/12,0)</f>
        <v>0</v>
      </c>
      <c r="BD34" s="295">
        <f>IF(AND(BD$3&gt;=$AC34,BD$3&lt;(CapEx!$F$40*12)+$AC$34,CapEx!$F$40&gt;1),SLN(CapEx!$C$40,CapEx!$G$40,CapEx!$F$40)/12,0)</f>
        <v>0</v>
      </c>
      <c r="BE34" s="295">
        <f>IF(AND(BE$3&gt;=$AC34,BE$3&lt;(CapEx!$F$40*12)+$AC$34,CapEx!$F$40&gt;1),SLN(CapEx!$C$40,CapEx!$G$40,CapEx!$F$40)/12,0)</f>
        <v>0</v>
      </c>
      <c r="BF34" s="295">
        <f>IF(AND(BF$3&gt;=$AC34,BF$3&lt;(CapEx!$F$40*12)+$AC$34,CapEx!$F$40&gt;1),SLN(CapEx!$C$40,CapEx!$G$40,CapEx!$F$40)/12,0)</f>
        <v>0</v>
      </c>
      <c r="BG34" s="295">
        <f>IF(AND(BG$3&gt;=$AC34,BG$3&lt;(CapEx!$F$40*12)+$AC$34,CapEx!$F$40&gt;1),SLN(CapEx!$C$40,CapEx!$G$40,CapEx!$F$40)/12,0)</f>
        <v>0</v>
      </c>
      <c r="BH34" s="295">
        <f>IF(AND(BH$3&gt;=$AC34,BH$3&lt;(CapEx!$F$40*12)+$AC$34,CapEx!$F$40&gt;1),SLN(CapEx!$C$40,CapEx!$G$40,CapEx!$F$40)/12,0)</f>
        <v>0</v>
      </c>
      <c r="BI34" s="295">
        <f>IF(AND(BI$3&gt;=$AC34,BI$3&lt;(CapEx!$F$40*12)+$AC$34,CapEx!$F$40&gt;1),SLN(CapEx!$C$40,CapEx!$G$40,CapEx!$F$40)/12,0)</f>
        <v>0</v>
      </c>
      <c r="BJ34" s="295">
        <f>IF(AND(BJ$3&gt;=$AC34,BJ$3&lt;(CapEx!$F$40*12)+$AC$34,CapEx!$F$40&gt;1),SLN(CapEx!$C$40,CapEx!$G$40,CapEx!$F$40)/12,0)</f>
        <v>0</v>
      </c>
      <c r="BK34" s="295">
        <f>IF(AND(BK$3&gt;=$AC34,BK$3&lt;(CapEx!$F$40*12)+$AC$34,CapEx!$F$40&gt;1),SLN(CapEx!$C$40,CapEx!$G$40,CapEx!$F$40)/12,0)</f>
        <v>0</v>
      </c>
      <c r="BL34" s="295">
        <f>IF(AND(BL$3&gt;=$AC34,BL$3&lt;(CapEx!$F$40*12)+$AC$34,CapEx!$F$40&gt;1),SLN(CapEx!$C$40,CapEx!$G$40,CapEx!$F$40)/12,0)</f>
        <v>0</v>
      </c>
      <c r="BM34" s="295">
        <f>IF(AND(BM$3&gt;=$AC34,BM$3&lt;(CapEx!$F$40*12)+$AC$34,CapEx!$F$40&gt;1),SLN(CapEx!$C$40,CapEx!$G$40,CapEx!$F$40)/12,0)</f>
        <v>0</v>
      </c>
      <c r="BN34" s="295">
        <f>IF(AND(BN$3&gt;=$AC34,BN$3&lt;(CapEx!$F$40*12)+$AC$34,CapEx!$F$40&gt;1),SLN(CapEx!$C$40,CapEx!$G$40,CapEx!$F$40)/12,0)</f>
        <v>0</v>
      </c>
      <c r="BO34" s="295">
        <f>IF(AND(BO$3&gt;=$AC34,BO$3&lt;(CapEx!$F$40*12)+$AC$34,CapEx!$F$40&gt;1),SLN(CapEx!$C$40,CapEx!$G$40,CapEx!$F$40)/12,0)</f>
        <v>0</v>
      </c>
      <c r="BP34" s="295">
        <f>IF(AND(BP$3&gt;=$AC34,BP$3&lt;(CapEx!$F$40*12)+$AC$34,CapEx!$F$40&gt;1),SLN(CapEx!$C$40,CapEx!$G$40,CapEx!$F$40)/12,0)</f>
        <v>0</v>
      </c>
      <c r="BQ34" s="295">
        <f>IF(AND(BQ$3&gt;=$AC34,BQ$3&lt;(CapEx!$F$40*12)+$AC$34,CapEx!$F$40&gt;1),SLN(CapEx!$C$40,CapEx!$G$40,CapEx!$F$40)/12,0)</f>
        <v>0</v>
      </c>
      <c r="BR34" s="295">
        <f>IF(AND(BR$3&gt;=$AC34,BR$3&lt;(CapEx!$F$40*12)+$AC$34,CapEx!$F$40&gt;1),SLN(CapEx!$C$40,CapEx!$G$40,CapEx!$F$40)/12,0)</f>
        <v>0</v>
      </c>
      <c r="BS34" s="295">
        <f>IF(AND(BS$3&gt;=$AC34,BS$3&lt;(CapEx!$F$40*12)+$AC$34,CapEx!$F$40&gt;1),SLN(CapEx!$C$40,CapEx!$G$40,CapEx!$F$40)/12,0)</f>
        <v>0</v>
      </c>
      <c r="BT34" s="295">
        <f>IF(AND(BT$3&gt;=$AC34,BT$3&lt;(CapEx!$F$40*12)+$AC$34,CapEx!$F$40&gt;1),SLN(CapEx!$C$40,CapEx!$G$40,CapEx!$F$40)/12,0)</f>
        <v>0</v>
      </c>
      <c r="BU34" s="295">
        <f>IF(AND(BU$3&gt;=$AC34,BU$3&lt;(CapEx!$F$40*12)+$AC$34,CapEx!$F$40&gt;1),SLN(CapEx!$C$40,CapEx!$G$40,CapEx!$F$40)/12,0)</f>
        <v>0</v>
      </c>
      <c r="BV34" s="295">
        <f>IF(AND(BV$3&gt;=$AC34,BV$3&lt;(CapEx!$F$40*12)+$AC$34,CapEx!$F$40&gt;1),SLN(CapEx!$C$40,CapEx!$G$40,CapEx!$F$40)/12,0)</f>
        <v>0</v>
      </c>
      <c r="BW34" s="295">
        <f>IF(AND(BW$3&gt;=$AC34,BW$3&lt;(CapEx!$F$40*12)+$AC$34,CapEx!$F$40&gt;1),SLN(CapEx!$C$40,CapEx!$G$40,CapEx!$F$40)/12,0)</f>
        <v>0</v>
      </c>
      <c r="BX34" s="295">
        <f>IF(AND(BX$3&gt;=$AC34,BX$3&lt;(CapEx!$F$40*12)+$AC$34,CapEx!$F$40&gt;1),SLN(CapEx!$C$40,CapEx!$G$40,CapEx!$F$40)/12,0)</f>
        <v>0</v>
      </c>
      <c r="BY34" s="295">
        <f>IF(AND(BY$3&gt;=$AC34,BY$3&lt;(CapEx!$F$40*12)+$AC$34,CapEx!$F$40&gt;1),SLN(CapEx!$C$40,CapEx!$G$40,CapEx!$F$40)/12,0)</f>
        <v>0</v>
      </c>
      <c r="BZ34" s="295">
        <f>IF(AND(BZ$3&gt;=$AC34,BZ$3&lt;(CapEx!$F$40*12)+$AC$34,CapEx!$F$40&gt;1),SLN(CapEx!$C$40,CapEx!$G$40,CapEx!$F$40)/12,0)</f>
        <v>0</v>
      </c>
      <c r="CA34" s="295">
        <f>IF(AND(CA$3&gt;=$AC34,CA$3&lt;(CapEx!$F$40*12)+$AC$34,CapEx!$F$40&gt;1),SLN(CapEx!$C$40,CapEx!$G$40,CapEx!$F$40)/12,0)</f>
        <v>0</v>
      </c>
      <c r="CB34" s="295">
        <f>IF(AND(CB$3&gt;=$AC34,CB$3&lt;(CapEx!$F$40*12)+$AC$34,CapEx!$F$40&gt;1),SLN(CapEx!$C$40,CapEx!$G$40,CapEx!$F$40)/12,0)</f>
        <v>0</v>
      </c>
      <c r="CC34" s="295">
        <f>IF(AND(CC$3&gt;=$AC34,CC$3&lt;(CapEx!$F$40*12)+$AC$34,CapEx!$F$40&gt;1),SLN(CapEx!$C$40,CapEx!$G$40,CapEx!$F$40)/12,0)</f>
        <v>0</v>
      </c>
      <c r="CD34" s="295">
        <f>IF(AND(CD$3&gt;=$AC34,CD$3&lt;(CapEx!$F$40*12)+$AC$34,CapEx!$F$40&gt;1),SLN(CapEx!$C$40,CapEx!$G$40,CapEx!$F$40)/12,0)</f>
        <v>0</v>
      </c>
      <c r="CE34" s="295">
        <f>IF(AND(CE$3&gt;=$AC34,CE$3&lt;(CapEx!$F$40*12)+$AC$34,CapEx!$F$40&gt;1),SLN(CapEx!$C$40,CapEx!$G$40,CapEx!$F$40)/12,0)</f>
        <v>0</v>
      </c>
      <c r="CF34" s="295">
        <f>IF(AND(CF$3&gt;=$AC34,CF$3&lt;(CapEx!$F$40*12)+$AC$34,CapEx!$F$40&gt;1),SLN(CapEx!$C$40,CapEx!$G$40,CapEx!$F$40)/12,0)</f>
        <v>0</v>
      </c>
      <c r="CG34" s="295">
        <f>IF(AND(CG$3&gt;=$AC34,CG$3&lt;(CapEx!$F$40*12)+$AC$34,CapEx!$F$40&gt;1),SLN(CapEx!$C$40,CapEx!$G$40,CapEx!$F$40)/12,0)</f>
        <v>0</v>
      </c>
      <c r="CH34" s="295">
        <f>IF(AND(CH$3&gt;=$AC34,CH$3&lt;(CapEx!$F$40*12)+$AC$34,CapEx!$F$40&gt;1),SLN(CapEx!$C$40,CapEx!$G$40,CapEx!$F$40)/12,0)</f>
        <v>0</v>
      </c>
      <c r="CI34" s="295">
        <f>IF(AND(CI$3&gt;=$AC34,CI$3&lt;(CapEx!$F$40*12)+$AC$34,CapEx!$F$40&gt;1),SLN(CapEx!$C$40,CapEx!$G$40,CapEx!$F$40)/12,0)</f>
        <v>0</v>
      </c>
      <c r="CJ34" s="295">
        <f>IF(AND(CJ$3&gt;=$AC34,CJ$3&lt;(CapEx!$F$40*12)+$AC$34,CapEx!$F$40&gt;1),SLN(CapEx!$C$40,CapEx!$G$40,CapEx!$F$40)/12,0)</f>
        <v>0</v>
      </c>
      <c r="CK34" s="295">
        <f>IF(AND(CK$3&gt;=$AC34,CK$3&lt;(CapEx!$F$40*12)+$AC$34,CapEx!$F$40&gt;1),SLN(CapEx!$C$40,CapEx!$G$40,CapEx!$F$40)/12,0)</f>
        <v>0</v>
      </c>
    </row>
    <row r="35" spans="1:89">
      <c r="A35" s="304" t="s">
        <v>328</v>
      </c>
      <c r="B35" t="str">
        <f>IF(cMonthStartup=1,TEXT(cYearStartup+2,"general"),TEXT(cYearStartup+2,"general")&amp;"-"&amp;TEXT(cYearStartup+3,"general"))</f>
        <v>2010-2011</v>
      </c>
      <c r="E35" s="823" t="str">
        <f>"Year 1: Cash Flow (" &amp; $B$33 &amp; ")"</f>
        <v>Year 1: Cash Flow (2008-2009)</v>
      </c>
      <c r="Y35" s="79">
        <f>CapEx!F41</f>
        <v>1</v>
      </c>
      <c r="Z35" s="145" t="s">
        <v>246</v>
      </c>
      <c r="AA35" s="297">
        <v>32</v>
      </c>
      <c r="AB35">
        <f>CapEx!C41</f>
        <v>0</v>
      </c>
      <c r="AC35" s="79">
        <f>IF(AB35=0,1,DATEDIF($K$12,DATEVALUE("01-"&amp;CapEx!$D41&amp;"-"&amp;CapEx!$E41),"m")+1)</f>
        <v>1</v>
      </c>
      <c r="AD35" s="295">
        <f>IF(AND(AD$3&gt;=$AC35,AD$3&lt;(CapEx!$F$41*12)+$AC$35,CapEx!$F$41&gt;1),SLN(CapEx!$C$41,CapEx!$G$41,CapEx!$F$41)/12,0)</f>
        <v>0</v>
      </c>
      <c r="AE35" s="295">
        <f>IF(AND(AE$3&gt;=$AC35,AE$3&lt;(CapEx!$F$41*12)+$AC$35,CapEx!$F$41&gt;1),SLN(CapEx!$C$41,CapEx!$G$41,CapEx!$F$41)/12,0)</f>
        <v>0</v>
      </c>
      <c r="AF35" s="295">
        <f>IF(AND(AF$3&gt;=$AC35,AF$3&lt;(CapEx!$F$41*12)+$AC$35,CapEx!$F$41&gt;1),SLN(CapEx!$C$41,CapEx!$G$41,CapEx!$F$41)/12,0)</f>
        <v>0</v>
      </c>
      <c r="AG35" s="295">
        <f>IF(AND(AG$3&gt;=$AC35,AG$3&lt;(CapEx!$F$41*12)+$AC$35,CapEx!$F$41&gt;1),SLN(CapEx!$C$41,CapEx!$G$41,CapEx!$F$41)/12,0)</f>
        <v>0</v>
      </c>
      <c r="AH35" s="295">
        <f>IF(AND(AH$3&gt;=$AC35,AH$3&lt;(CapEx!$F$41*12)+$AC$35,CapEx!$F$41&gt;1),SLN(CapEx!$C$41,CapEx!$G$41,CapEx!$F$41)/12,0)</f>
        <v>0</v>
      </c>
      <c r="AI35" s="295">
        <f>IF(AND(AI$3&gt;=$AC35,AI$3&lt;(CapEx!$F$41*12)+$AC$35,CapEx!$F$41&gt;1),SLN(CapEx!$C$41,CapEx!$G$41,CapEx!$F$41)/12,0)</f>
        <v>0</v>
      </c>
      <c r="AJ35" s="295">
        <f>IF(AND(AJ$3&gt;=$AC35,AJ$3&lt;(CapEx!$F$41*12)+$AC$35,CapEx!$F$41&gt;1),SLN(CapEx!$C$41,CapEx!$G$41,CapEx!$F$41)/12,0)</f>
        <v>0</v>
      </c>
      <c r="AK35" s="295">
        <f>IF(AND(AK$3&gt;=$AC35,AK$3&lt;(CapEx!$F$41*12)+$AC$35,CapEx!$F$41&gt;1),SLN(CapEx!$C$41,CapEx!$G$41,CapEx!$F$41)/12,0)</f>
        <v>0</v>
      </c>
      <c r="AL35" s="295">
        <f>IF(AND(AL$3&gt;=$AC35,AL$3&lt;(CapEx!$F$41*12)+$AC$35,CapEx!$F$41&gt;1),SLN(CapEx!$C$41,CapEx!$G$41,CapEx!$F$41)/12,0)</f>
        <v>0</v>
      </c>
      <c r="AM35" s="295">
        <f>IF(AND(AM$3&gt;=$AC35,AM$3&lt;(CapEx!$F$41*12)+$AC$35,CapEx!$F$41&gt;1),SLN(CapEx!$C$41,CapEx!$G$41,CapEx!$F$41)/12,0)</f>
        <v>0</v>
      </c>
      <c r="AN35" s="295">
        <f>IF(AND(AN$3&gt;=$AC35,AN$3&lt;(CapEx!$F$41*12)+$AC$35,CapEx!$F$41&gt;1),SLN(CapEx!$C$41,CapEx!$G$41,CapEx!$F$41)/12,0)</f>
        <v>0</v>
      </c>
      <c r="AO35" s="295">
        <f>IF(AND(AO$3&gt;=$AC35,AO$3&lt;(CapEx!$F$41*12)+$AC$35,CapEx!$F$41&gt;1),SLN(CapEx!$C$41,CapEx!$G$41,CapEx!$F$41)/12,0)</f>
        <v>0</v>
      </c>
      <c r="AP35" s="295">
        <f>IF(AND(AP$3&gt;=$AC35,AP$3&lt;(CapEx!$F$41*12)+$AC$35,CapEx!$F$41&gt;1),SLN(CapEx!$C$41,CapEx!$G$41,CapEx!$F$41)/12,0)</f>
        <v>0</v>
      </c>
      <c r="AQ35" s="295">
        <f>IF(AND(AQ$3&gt;=$AC35,AQ$3&lt;(CapEx!$F$41*12)+$AC$35,CapEx!$F$41&gt;1),SLN(CapEx!$C$41,CapEx!$G$41,CapEx!$F$41)/12,0)</f>
        <v>0</v>
      </c>
      <c r="AR35" s="295">
        <f>IF(AND(AR$3&gt;=$AC35,AR$3&lt;(CapEx!$F$41*12)+$AC$35,CapEx!$F$41&gt;1),SLN(CapEx!$C$41,CapEx!$G$41,CapEx!$F$41)/12,0)</f>
        <v>0</v>
      </c>
      <c r="AS35" s="295">
        <f>IF(AND(AS$3&gt;=$AC35,AS$3&lt;(CapEx!$F$41*12)+$AC$35,CapEx!$F$41&gt;1),SLN(CapEx!$C$41,CapEx!$G$41,CapEx!$F$41)/12,0)</f>
        <v>0</v>
      </c>
      <c r="AT35" s="295">
        <f>IF(AND(AT$3&gt;=$AC35,AT$3&lt;(CapEx!$F$41*12)+$AC$35,CapEx!$F$41&gt;1),SLN(CapEx!$C$41,CapEx!$G$41,CapEx!$F$41)/12,0)</f>
        <v>0</v>
      </c>
      <c r="AU35" s="295">
        <f>IF(AND(AU$3&gt;=$AC35,AU$3&lt;(CapEx!$F$41*12)+$AC$35,CapEx!$F$41&gt;1),SLN(CapEx!$C$41,CapEx!$G$41,CapEx!$F$41)/12,0)</f>
        <v>0</v>
      </c>
      <c r="AV35" s="295">
        <f>IF(AND(AV$3&gt;=$AC35,AV$3&lt;(CapEx!$F$41*12)+$AC$35,CapEx!$F$41&gt;1),SLN(CapEx!$C$41,CapEx!$G$41,CapEx!$F$41)/12,0)</f>
        <v>0</v>
      </c>
      <c r="AW35" s="295">
        <f>IF(AND(AW$3&gt;=$AC35,AW$3&lt;(CapEx!$F$41*12)+$AC$35,CapEx!$F$41&gt;1),SLN(CapEx!$C$41,CapEx!$G$41,CapEx!$F$41)/12,0)</f>
        <v>0</v>
      </c>
      <c r="AX35" s="295">
        <f>IF(AND(AX$3&gt;=$AC35,AX$3&lt;(CapEx!$F$41*12)+$AC$35,CapEx!$F$41&gt;1),SLN(CapEx!$C$41,CapEx!$G$41,CapEx!$F$41)/12,0)</f>
        <v>0</v>
      </c>
      <c r="AY35" s="295">
        <f>IF(AND(AY$3&gt;=$AC35,AY$3&lt;(CapEx!$F$41*12)+$AC$35,CapEx!$F$41&gt;1),SLN(CapEx!$C$41,CapEx!$G$41,CapEx!$F$41)/12,0)</f>
        <v>0</v>
      </c>
      <c r="AZ35" s="295">
        <f>IF(AND(AZ$3&gt;=$AC35,AZ$3&lt;(CapEx!$F$41*12)+$AC$35,CapEx!$F$41&gt;1),SLN(CapEx!$C$41,CapEx!$G$41,CapEx!$F$41)/12,0)</f>
        <v>0</v>
      </c>
      <c r="BA35" s="295">
        <f>IF(AND(BA$3&gt;=$AC35,BA$3&lt;(CapEx!$F$41*12)+$AC$35,CapEx!$F$41&gt;1),SLN(CapEx!$C$41,CapEx!$G$41,CapEx!$F$41)/12,0)</f>
        <v>0</v>
      </c>
      <c r="BB35" s="295">
        <f>IF(AND(BB$3&gt;=$AC35,BB$3&lt;(CapEx!$F$41*12)+$AC$35,CapEx!$F$41&gt;1),SLN(CapEx!$C$41,CapEx!$G$41,CapEx!$F$41)/12,0)</f>
        <v>0</v>
      </c>
      <c r="BC35" s="295">
        <f>IF(AND(BC$3&gt;=$AC35,BC$3&lt;(CapEx!$F$41*12)+$AC$35,CapEx!$F$41&gt;1),SLN(CapEx!$C$41,CapEx!$G$41,CapEx!$F$41)/12,0)</f>
        <v>0</v>
      </c>
      <c r="BD35" s="295">
        <f>IF(AND(BD$3&gt;=$AC35,BD$3&lt;(CapEx!$F$41*12)+$AC$35,CapEx!$F$41&gt;1),SLN(CapEx!$C$41,CapEx!$G$41,CapEx!$F$41)/12,0)</f>
        <v>0</v>
      </c>
      <c r="BE35" s="295">
        <f>IF(AND(BE$3&gt;=$AC35,BE$3&lt;(CapEx!$F$41*12)+$AC$35,CapEx!$F$41&gt;1),SLN(CapEx!$C$41,CapEx!$G$41,CapEx!$F$41)/12,0)</f>
        <v>0</v>
      </c>
      <c r="BF35" s="295">
        <f>IF(AND(BF$3&gt;=$AC35,BF$3&lt;(CapEx!$F$41*12)+$AC$35,CapEx!$F$41&gt;1),SLN(CapEx!$C$41,CapEx!$G$41,CapEx!$F$41)/12,0)</f>
        <v>0</v>
      </c>
      <c r="BG35" s="295">
        <f>IF(AND(BG$3&gt;=$AC35,BG$3&lt;(CapEx!$F$41*12)+$AC$35,CapEx!$F$41&gt;1),SLN(CapEx!$C$41,CapEx!$G$41,CapEx!$F$41)/12,0)</f>
        <v>0</v>
      </c>
      <c r="BH35" s="295">
        <f>IF(AND(BH$3&gt;=$AC35,BH$3&lt;(CapEx!$F$41*12)+$AC$35,CapEx!$F$41&gt;1),SLN(CapEx!$C$41,CapEx!$G$41,CapEx!$F$41)/12,0)</f>
        <v>0</v>
      </c>
      <c r="BI35" s="295">
        <f>IF(AND(BI$3&gt;=$AC35,BI$3&lt;(CapEx!$F$41*12)+$AC$35,CapEx!$F$41&gt;1),SLN(CapEx!$C$41,CapEx!$G$41,CapEx!$F$41)/12,0)</f>
        <v>0</v>
      </c>
      <c r="BJ35" s="295">
        <f>IF(AND(BJ$3&gt;=$AC35,BJ$3&lt;(CapEx!$F$41*12)+$AC$35,CapEx!$F$41&gt;1),SLN(CapEx!$C$41,CapEx!$G$41,CapEx!$F$41)/12,0)</f>
        <v>0</v>
      </c>
      <c r="BK35" s="295">
        <f>IF(AND(BK$3&gt;=$AC35,BK$3&lt;(CapEx!$F$41*12)+$AC$35,CapEx!$F$41&gt;1),SLN(CapEx!$C$41,CapEx!$G$41,CapEx!$F$41)/12,0)</f>
        <v>0</v>
      </c>
      <c r="BL35" s="295">
        <f>IF(AND(BL$3&gt;=$AC35,BL$3&lt;(CapEx!$F$41*12)+$AC$35,CapEx!$F$41&gt;1),SLN(CapEx!$C$41,CapEx!$G$41,CapEx!$F$41)/12,0)</f>
        <v>0</v>
      </c>
      <c r="BM35" s="295">
        <f>IF(AND(BM$3&gt;=$AC35,BM$3&lt;(CapEx!$F$41*12)+$AC$35,CapEx!$F$41&gt;1),SLN(CapEx!$C$41,CapEx!$G$41,CapEx!$F$41)/12,0)</f>
        <v>0</v>
      </c>
      <c r="BN35" s="295">
        <f>IF(AND(BN$3&gt;=$AC35,BN$3&lt;(CapEx!$F$41*12)+$AC$35,CapEx!$F$41&gt;1),SLN(CapEx!$C$41,CapEx!$G$41,CapEx!$F$41)/12,0)</f>
        <v>0</v>
      </c>
      <c r="BO35" s="295">
        <f>IF(AND(BO$3&gt;=$AC35,BO$3&lt;(CapEx!$F$41*12)+$AC$35,CapEx!$F$41&gt;1),SLN(CapEx!$C$41,CapEx!$G$41,CapEx!$F$41)/12,0)</f>
        <v>0</v>
      </c>
      <c r="BP35" s="295">
        <f>IF(AND(BP$3&gt;=$AC35,BP$3&lt;(CapEx!$F$41*12)+$AC$35,CapEx!$F$41&gt;1),SLN(CapEx!$C$41,CapEx!$G$41,CapEx!$F$41)/12,0)</f>
        <v>0</v>
      </c>
      <c r="BQ35" s="295">
        <f>IF(AND(BQ$3&gt;=$AC35,BQ$3&lt;(CapEx!$F$41*12)+$AC$35,CapEx!$F$41&gt;1),SLN(CapEx!$C$41,CapEx!$G$41,CapEx!$F$41)/12,0)</f>
        <v>0</v>
      </c>
      <c r="BR35" s="295">
        <f>IF(AND(BR$3&gt;=$AC35,BR$3&lt;(CapEx!$F$41*12)+$AC$35,CapEx!$F$41&gt;1),SLN(CapEx!$C$41,CapEx!$G$41,CapEx!$F$41)/12,0)</f>
        <v>0</v>
      </c>
      <c r="BS35" s="295">
        <f>IF(AND(BS$3&gt;=$AC35,BS$3&lt;(CapEx!$F$41*12)+$AC$35,CapEx!$F$41&gt;1),SLN(CapEx!$C$41,CapEx!$G$41,CapEx!$F$41)/12,0)</f>
        <v>0</v>
      </c>
      <c r="BT35" s="295">
        <f>IF(AND(BT$3&gt;=$AC35,BT$3&lt;(CapEx!$F$41*12)+$AC$35,CapEx!$F$41&gt;1),SLN(CapEx!$C$41,CapEx!$G$41,CapEx!$F$41)/12,0)</f>
        <v>0</v>
      </c>
      <c r="BU35" s="295">
        <f>IF(AND(BU$3&gt;=$AC35,BU$3&lt;(CapEx!$F$41*12)+$AC$35,CapEx!$F$41&gt;1),SLN(CapEx!$C$41,CapEx!$G$41,CapEx!$F$41)/12,0)</f>
        <v>0</v>
      </c>
      <c r="BV35" s="295">
        <f>IF(AND(BV$3&gt;=$AC35,BV$3&lt;(CapEx!$F$41*12)+$AC$35,CapEx!$F$41&gt;1),SLN(CapEx!$C$41,CapEx!$G$41,CapEx!$F$41)/12,0)</f>
        <v>0</v>
      </c>
      <c r="BW35" s="295">
        <f>IF(AND(BW$3&gt;=$AC35,BW$3&lt;(CapEx!$F$41*12)+$AC$35,CapEx!$F$41&gt;1),SLN(CapEx!$C$41,CapEx!$G$41,CapEx!$F$41)/12,0)</f>
        <v>0</v>
      </c>
      <c r="BX35" s="295">
        <f>IF(AND(BX$3&gt;=$AC35,BX$3&lt;(CapEx!$F$41*12)+$AC$35,CapEx!$F$41&gt;1),SLN(CapEx!$C$41,CapEx!$G$41,CapEx!$F$41)/12,0)</f>
        <v>0</v>
      </c>
      <c r="BY35" s="295">
        <f>IF(AND(BY$3&gt;=$AC35,BY$3&lt;(CapEx!$F$41*12)+$AC$35,CapEx!$F$41&gt;1),SLN(CapEx!$C$41,CapEx!$G$41,CapEx!$F$41)/12,0)</f>
        <v>0</v>
      </c>
      <c r="BZ35" s="295">
        <f>IF(AND(BZ$3&gt;=$AC35,BZ$3&lt;(CapEx!$F$41*12)+$AC$35,CapEx!$F$41&gt;1),SLN(CapEx!$C$41,CapEx!$G$41,CapEx!$F$41)/12,0)</f>
        <v>0</v>
      </c>
      <c r="CA35" s="295">
        <f>IF(AND(CA$3&gt;=$AC35,CA$3&lt;(CapEx!$F$41*12)+$AC$35,CapEx!$F$41&gt;1),SLN(CapEx!$C$41,CapEx!$G$41,CapEx!$F$41)/12,0)</f>
        <v>0</v>
      </c>
      <c r="CB35" s="295">
        <f>IF(AND(CB$3&gt;=$AC35,CB$3&lt;(CapEx!$F$41*12)+$AC$35,CapEx!$F$41&gt;1),SLN(CapEx!$C$41,CapEx!$G$41,CapEx!$F$41)/12,0)</f>
        <v>0</v>
      </c>
      <c r="CC35" s="295">
        <f>IF(AND(CC$3&gt;=$AC35,CC$3&lt;(CapEx!$F$41*12)+$AC$35,CapEx!$F$41&gt;1),SLN(CapEx!$C$41,CapEx!$G$41,CapEx!$F$41)/12,0)</f>
        <v>0</v>
      </c>
      <c r="CD35" s="295">
        <f>IF(AND(CD$3&gt;=$AC35,CD$3&lt;(CapEx!$F$41*12)+$AC$35,CapEx!$F$41&gt;1),SLN(CapEx!$C$41,CapEx!$G$41,CapEx!$F$41)/12,0)</f>
        <v>0</v>
      </c>
      <c r="CE35" s="295">
        <f>IF(AND(CE$3&gt;=$AC35,CE$3&lt;(CapEx!$F$41*12)+$AC$35,CapEx!$F$41&gt;1),SLN(CapEx!$C$41,CapEx!$G$41,CapEx!$F$41)/12,0)</f>
        <v>0</v>
      </c>
      <c r="CF35" s="295">
        <f>IF(AND(CF$3&gt;=$AC35,CF$3&lt;(CapEx!$F$41*12)+$AC$35,CapEx!$F$41&gt;1),SLN(CapEx!$C$41,CapEx!$G$41,CapEx!$F$41)/12,0)</f>
        <v>0</v>
      </c>
      <c r="CG35" s="295">
        <f>IF(AND(CG$3&gt;=$AC35,CG$3&lt;(CapEx!$F$41*12)+$AC$35,CapEx!$F$41&gt;1),SLN(CapEx!$C$41,CapEx!$G$41,CapEx!$F$41)/12,0)</f>
        <v>0</v>
      </c>
      <c r="CH35" s="295">
        <f>IF(AND(CH$3&gt;=$AC35,CH$3&lt;(CapEx!$F$41*12)+$AC$35,CapEx!$F$41&gt;1),SLN(CapEx!$C$41,CapEx!$G$41,CapEx!$F$41)/12,0)</f>
        <v>0</v>
      </c>
      <c r="CI35" s="295">
        <f>IF(AND(CI$3&gt;=$AC35,CI$3&lt;(CapEx!$F$41*12)+$AC$35,CapEx!$F$41&gt;1),SLN(CapEx!$C$41,CapEx!$G$41,CapEx!$F$41)/12,0)</f>
        <v>0</v>
      </c>
      <c r="CJ35" s="295">
        <f>IF(AND(CJ$3&gt;=$AC35,CJ$3&lt;(CapEx!$F$41*12)+$AC$35,CapEx!$F$41&gt;1),SLN(CapEx!$C$41,CapEx!$G$41,CapEx!$F$41)/12,0)</f>
        <v>0</v>
      </c>
      <c r="CK35" s="295">
        <f>IF(AND(CK$3&gt;=$AC35,CK$3&lt;(CapEx!$F$41*12)+$AC$35,CapEx!$F$41&gt;1),SLN(CapEx!$C$41,CapEx!$G$41,CapEx!$F$41)/12,0)</f>
        <v>0</v>
      </c>
    </row>
    <row r="36" spans="1:89">
      <c r="A36" s="304" t="s">
        <v>329</v>
      </c>
      <c r="B36" t="str">
        <f>IF(cMonthStartup=1,TEXT(cYearStartup+3,"general"),TEXT(cYearStartup+3,"general")&amp;"-"&amp;TEXT(cYearStartup+4,"general"))</f>
        <v>2011-2012</v>
      </c>
      <c r="E36" s="823" t="str">
        <f>"Year 2: Cash Flow (" &amp; $B$34 &amp; ")"</f>
        <v>Year 2: Cash Flow (2009-2010)</v>
      </c>
      <c r="Y36" s="79">
        <f>CapEx!F42</f>
        <v>1</v>
      </c>
      <c r="Z36" s="145" t="s">
        <v>246</v>
      </c>
      <c r="AA36" s="297">
        <v>33</v>
      </c>
      <c r="AB36">
        <f>CapEx!C42</f>
        <v>0</v>
      </c>
      <c r="AC36" s="79">
        <f>IF(AB36=0,1,DATEDIF($K$12,DATEVALUE("01-"&amp;CapEx!$D42&amp;"-"&amp;CapEx!$E42),"m")+1)</f>
        <v>1</v>
      </c>
      <c r="AD36" s="295">
        <f>IF(AND(AD$3&gt;=$AC36,AD$3&lt;(CapEx!$F$42*12)+$AC$36,CapEx!$F$42&gt;1),SLN(CapEx!$C$42,CapEx!$G$42,CapEx!$F$42)/12,0)</f>
        <v>0</v>
      </c>
      <c r="AE36" s="295">
        <f>IF(AND(AE$3&gt;=$AC36,AE$3&lt;(CapEx!$F$42*12)+$AC$36,CapEx!$F$42&gt;1),SLN(CapEx!$C$42,CapEx!$G$42,CapEx!$F$42)/12,0)</f>
        <v>0</v>
      </c>
      <c r="AF36" s="295">
        <f>IF(AND(AF$3&gt;=$AC36,AF$3&lt;(CapEx!$F$42*12)+$AC$36,CapEx!$F$42&gt;1),SLN(CapEx!$C$42,CapEx!$G$42,CapEx!$F$42)/12,0)</f>
        <v>0</v>
      </c>
      <c r="AG36" s="295">
        <f>IF(AND(AG$3&gt;=$AC36,AG$3&lt;(CapEx!$F$42*12)+$AC$36,CapEx!$F$42&gt;1),SLN(CapEx!$C$42,CapEx!$G$42,CapEx!$F$42)/12,0)</f>
        <v>0</v>
      </c>
      <c r="AH36" s="295">
        <f>IF(AND(AH$3&gt;=$AC36,AH$3&lt;(CapEx!$F$42*12)+$AC$36,CapEx!$F$42&gt;1),SLN(CapEx!$C$42,CapEx!$G$42,CapEx!$F$42)/12,0)</f>
        <v>0</v>
      </c>
      <c r="AI36" s="295">
        <f>IF(AND(AI$3&gt;=$AC36,AI$3&lt;(CapEx!$F$42*12)+$AC$36,CapEx!$F$42&gt;1),SLN(CapEx!$C$42,CapEx!$G$42,CapEx!$F$42)/12,0)</f>
        <v>0</v>
      </c>
      <c r="AJ36" s="295">
        <f>IF(AND(AJ$3&gt;=$AC36,AJ$3&lt;(CapEx!$F$42*12)+$AC$36,CapEx!$F$42&gt;1),SLN(CapEx!$C$42,CapEx!$G$42,CapEx!$F$42)/12,0)</f>
        <v>0</v>
      </c>
      <c r="AK36" s="295">
        <f>IF(AND(AK$3&gt;=$AC36,AK$3&lt;(CapEx!$F$42*12)+$AC$36,CapEx!$F$42&gt;1),SLN(CapEx!$C$42,CapEx!$G$42,CapEx!$F$42)/12,0)</f>
        <v>0</v>
      </c>
      <c r="AL36" s="295">
        <f>IF(AND(AL$3&gt;=$AC36,AL$3&lt;(CapEx!$F$42*12)+$AC$36,CapEx!$F$42&gt;1),SLN(CapEx!$C$42,CapEx!$G$42,CapEx!$F$42)/12,0)</f>
        <v>0</v>
      </c>
      <c r="AM36" s="295">
        <f>IF(AND(AM$3&gt;=$AC36,AM$3&lt;(CapEx!$F$42*12)+$AC$36,CapEx!$F$42&gt;1),SLN(CapEx!$C$42,CapEx!$G$42,CapEx!$F$42)/12,0)</f>
        <v>0</v>
      </c>
      <c r="AN36" s="295">
        <f>IF(AND(AN$3&gt;=$AC36,AN$3&lt;(CapEx!$F$42*12)+$AC$36,CapEx!$F$42&gt;1),SLN(CapEx!$C$42,CapEx!$G$42,CapEx!$F$42)/12,0)</f>
        <v>0</v>
      </c>
      <c r="AO36" s="295">
        <f>IF(AND(AO$3&gt;=$AC36,AO$3&lt;(CapEx!$F$42*12)+$AC$36,CapEx!$F$42&gt;1),SLN(CapEx!$C$42,CapEx!$G$42,CapEx!$F$42)/12,0)</f>
        <v>0</v>
      </c>
      <c r="AP36" s="295">
        <f>IF(AND(AP$3&gt;=$AC36,AP$3&lt;(CapEx!$F$42*12)+$AC$36,CapEx!$F$42&gt;1),SLN(CapEx!$C$42,CapEx!$G$42,CapEx!$F$42)/12,0)</f>
        <v>0</v>
      </c>
      <c r="AQ36" s="295">
        <f>IF(AND(AQ$3&gt;=$AC36,AQ$3&lt;(CapEx!$F$42*12)+$AC$36,CapEx!$F$42&gt;1),SLN(CapEx!$C$42,CapEx!$G$42,CapEx!$F$42)/12,0)</f>
        <v>0</v>
      </c>
      <c r="AR36" s="295">
        <f>IF(AND(AR$3&gt;=$AC36,AR$3&lt;(CapEx!$F$42*12)+$AC$36,CapEx!$F$42&gt;1),SLN(CapEx!$C$42,CapEx!$G$42,CapEx!$F$42)/12,0)</f>
        <v>0</v>
      </c>
      <c r="AS36" s="295">
        <f>IF(AND(AS$3&gt;=$AC36,AS$3&lt;(CapEx!$F$42*12)+$AC$36,CapEx!$F$42&gt;1),SLN(CapEx!$C$42,CapEx!$G$42,CapEx!$F$42)/12,0)</f>
        <v>0</v>
      </c>
      <c r="AT36" s="295">
        <f>IF(AND(AT$3&gt;=$AC36,AT$3&lt;(CapEx!$F$42*12)+$AC$36,CapEx!$F$42&gt;1),SLN(CapEx!$C$42,CapEx!$G$42,CapEx!$F$42)/12,0)</f>
        <v>0</v>
      </c>
      <c r="AU36" s="295">
        <f>IF(AND(AU$3&gt;=$AC36,AU$3&lt;(CapEx!$F$42*12)+$AC$36,CapEx!$F$42&gt;1),SLN(CapEx!$C$42,CapEx!$G$42,CapEx!$F$42)/12,0)</f>
        <v>0</v>
      </c>
      <c r="AV36" s="295">
        <f>IF(AND(AV$3&gt;=$AC36,AV$3&lt;(CapEx!$F$42*12)+$AC$36,CapEx!$F$42&gt;1),SLN(CapEx!$C$42,CapEx!$G$42,CapEx!$F$42)/12,0)</f>
        <v>0</v>
      </c>
      <c r="AW36" s="295">
        <f>IF(AND(AW$3&gt;=$AC36,AW$3&lt;(CapEx!$F$42*12)+$AC$36,CapEx!$F$42&gt;1),SLN(CapEx!$C$42,CapEx!$G$42,CapEx!$F$42)/12,0)</f>
        <v>0</v>
      </c>
      <c r="AX36" s="295">
        <f>IF(AND(AX$3&gt;=$AC36,AX$3&lt;(CapEx!$F$42*12)+$AC$36,CapEx!$F$42&gt;1),SLN(CapEx!$C$42,CapEx!$G$42,CapEx!$F$42)/12,0)</f>
        <v>0</v>
      </c>
      <c r="AY36" s="295">
        <f>IF(AND(AY$3&gt;=$AC36,AY$3&lt;(CapEx!$F$42*12)+$AC$36,CapEx!$F$42&gt;1),SLN(CapEx!$C$42,CapEx!$G$42,CapEx!$F$42)/12,0)</f>
        <v>0</v>
      </c>
      <c r="AZ36" s="295">
        <f>IF(AND(AZ$3&gt;=$AC36,AZ$3&lt;(CapEx!$F$42*12)+$AC$36,CapEx!$F$42&gt;1),SLN(CapEx!$C$42,CapEx!$G$42,CapEx!$F$42)/12,0)</f>
        <v>0</v>
      </c>
      <c r="BA36" s="295">
        <f>IF(AND(BA$3&gt;=$AC36,BA$3&lt;(CapEx!$F$42*12)+$AC$36,CapEx!$F$42&gt;1),SLN(CapEx!$C$42,CapEx!$G$42,CapEx!$F$42)/12,0)</f>
        <v>0</v>
      </c>
      <c r="BB36" s="295">
        <f>IF(AND(BB$3&gt;=$AC36,BB$3&lt;(CapEx!$F$42*12)+$AC$36,CapEx!$F$42&gt;1),SLN(CapEx!$C$42,CapEx!$G$42,CapEx!$F$42)/12,0)</f>
        <v>0</v>
      </c>
      <c r="BC36" s="295">
        <f>IF(AND(BC$3&gt;=$AC36,BC$3&lt;(CapEx!$F$42*12)+$AC$36,CapEx!$F$42&gt;1),SLN(CapEx!$C$42,CapEx!$G$42,CapEx!$F$42)/12,0)</f>
        <v>0</v>
      </c>
      <c r="BD36" s="295">
        <f>IF(AND(BD$3&gt;=$AC36,BD$3&lt;(CapEx!$F$42*12)+$AC$36,CapEx!$F$42&gt;1),SLN(CapEx!$C$42,CapEx!$G$42,CapEx!$F$42)/12,0)</f>
        <v>0</v>
      </c>
      <c r="BE36" s="295">
        <f>IF(AND(BE$3&gt;=$AC36,BE$3&lt;(CapEx!$F$42*12)+$AC$36,CapEx!$F$42&gt;1),SLN(CapEx!$C$42,CapEx!$G$42,CapEx!$F$42)/12,0)</f>
        <v>0</v>
      </c>
      <c r="BF36" s="295">
        <f>IF(AND(BF$3&gt;=$AC36,BF$3&lt;(CapEx!$F$42*12)+$AC$36,CapEx!$F$42&gt;1),SLN(CapEx!$C$42,CapEx!$G$42,CapEx!$F$42)/12,0)</f>
        <v>0</v>
      </c>
      <c r="BG36" s="295">
        <f>IF(AND(BG$3&gt;=$AC36,BG$3&lt;(CapEx!$F$42*12)+$AC$36,CapEx!$F$42&gt;1),SLN(CapEx!$C$42,CapEx!$G$42,CapEx!$F$42)/12,0)</f>
        <v>0</v>
      </c>
      <c r="BH36" s="295">
        <f>IF(AND(BH$3&gt;=$AC36,BH$3&lt;(CapEx!$F$42*12)+$AC$36,CapEx!$F$42&gt;1),SLN(CapEx!$C$42,CapEx!$G$42,CapEx!$F$42)/12,0)</f>
        <v>0</v>
      </c>
      <c r="BI36" s="295">
        <f>IF(AND(BI$3&gt;=$AC36,BI$3&lt;(CapEx!$F$42*12)+$AC$36,CapEx!$F$42&gt;1),SLN(CapEx!$C$42,CapEx!$G$42,CapEx!$F$42)/12,0)</f>
        <v>0</v>
      </c>
      <c r="BJ36" s="295">
        <f>IF(AND(BJ$3&gt;=$AC36,BJ$3&lt;(CapEx!$F$42*12)+$AC$36,CapEx!$F$42&gt;1),SLN(CapEx!$C$42,CapEx!$G$42,CapEx!$F$42)/12,0)</f>
        <v>0</v>
      </c>
      <c r="BK36" s="295">
        <f>IF(AND(BK$3&gt;=$AC36,BK$3&lt;(CapEx!$F$42*12)+$AC$36,CapEx!$F$42&gt;1),SLN(CapEx!$C$42,CapEx!$G$42,CapEx!$F$42)/12,0)</f>
        <v>0</v>
      </c>
      <c r="BL36" s="295">
        <f>IF(AND(BL$3&gt;=$AC36,BL$3&lt;(CapEx!$F$42*12)+$AC$36,CapEx!$F$42&gt;1),SLN(CapEx!$C$42,CapEx!$G$42,CapEx!$F$42)/12,0)</f>
        <v>0</v>
      </c>
      <c r="BM36" s="295">
        <f>IF(AND(BM$3&gt;=$AC36,BM$3&lt;(CapEx!$F$42*12)+$AC$36,CapEx!$F$42&gt;1),SLN(CapEx!$C$42,CapEx!$G$42,CapEx!$F$42)/12,0)</f>
        <v>0</v>
      </c>
      <c r="BN36" s="295">
        <f>IF(AND(BN$3&gt;=$AC36,BN$3&lt;(CapEx!$F$42*12)+$AC$36,CapEx!$F$42&gt;1),SLN(CapEx!$C$42,CapEx!$G$42,CapEx!$F$42)/12,0)</f>
        <v>0</v>
      </c>
      <c r="BO36" s="295">
        <f>IF(AND(BO$3&gt;=$AC36,BO$3&lt;(CapEx!$F$42*12)+$AC$36,CapEx!$F$42&gt;1),SLN(CapEx!$C$42,CapEx!$G$42,CapEx!$F$42)/12,0)</f>
        <v>0</v>
      </c>
      <c r="BP36" s="295">
        <f>IF(AND(BP$3&gt;=$AC36,BP$3&lt;(CapEx!$F$42*12)+$AC$36,CapEx!$F$42&gt;1),SLN(CapEx!$C$42,CapEx!$G$42,CapEx!$F$42)/12,0)</f>
        <v>0</v>
      </c>
      <c r="BQ36" s="295">
        <f>IF(AND(BQ$3&gt;=$AC36,BQ$3&lt;(CapEx!$F$42*12)+$AC$36,CapEx!$F$42&gt;1),SLN(CapEx!$C$42,CapEx!$G$42,CapEx!$F$42)/12,0)</f>
        <v>0</v>
      </c>
      <c r="BR36" s="295">
        <f>IF(AND(BR$3&gt;=$AC36,BR$3&lt;(CapEx!$F$42*12)+$AC$36,CapEx!$F$42&gt;1),SLN(CapEx!$C$42,CapEx!$G$42,CapEx!$F$42)/12,0)</f>
        <v>0</v>
      </c>
      <c r="BS36" s="295">
        <f>IF(AND(BS$3&gt;=$AC36,BS$3&lt;(CapEx!$F$42*12)+$AC$36,CapEx!$F$42&gt;1),SLN(CapEx!$C$42,CapEx!$G$42,CapEx!$F$42)/12,0)</f>
        <v>0</v>
      </c>
      <c r="BT36" s="295">
        <f>IF(AND(BT$3&gt;=$AC36,BT$3&lt;(CapEx!$F$42*12)+$AC$36,CapEx!$F$42&gt;1),SLN(CapEx!$C$42,CapEx!$G$42,CapEx!$F$42)/12,0)</f>
        <v>0</v>
      </c>
      <c r="BU36" s="295">
        <f>IF(AND(BU$3&gt;=$AC36,BU$3&lt;(CapEx!$F$42*12)+$AC$36,CapEx!$F$42&gt;1),SLN(CapEx!$C$42,CapEx!$G$42,CapEx!$F$42)/12,0)</f>
        <v>0</v>
      </c>
      <c r="BV36" s="295">
        <f>IF(AND(BV$3&gt;=$AC36,BV$3&lt;(CapEx!$F$42*12)+$AC$36,CapEx!$F$42&gt;1),SLN(CapEx!$C$42,CapEx!$G$42,CapEx!$F$42)/12,0)</f>
        <v>0</v>
      </c>
      <c r="BW36" s="295">
        <f>IF(AND(BW$3&gt;=$AC36,BW$3&lt;(CapEx!$F$42*12)+$AC$36,CapEx!$F$42&gt;1),SLN(CapEx!$C$42,CapEx!$G$42,CapEx!$F$42)/12,0)</f>
        <v>0</v>
      </c>
      <c r="BX36" s="295">
        <f>IF(AND(BX$3&gt;=$AC36,BX$3&lt;(CapEx!$F$42*12)+$AC$36,CapEx!$F$42&gt;1),SLN(CapEx!$C$42,CapEx!$G$42,CapEx!$F$42)/12,0)</f>
        <v>0</v>
      </c>
      <c r="BY36" s="295">
        <f>IF(AND(BY$3&gt;=$AC36,BY$3&lt;(CapEx!$F$42*12)+$AC$36,CapEx!$F$42&gt;1),SLN(CapEx!$C$42,CapEx!$G$42,CapEx!$F$42)/12,0)</f>
        <v>0</v>
      </c>
      <c r="BZ36" s="295">
        <f>IF(AND(BZ$3&gt;=$AC36,BZ$3&lt;(CapEx!$F$42*12)+$AC$36,CapEx!$F$42&gt;1),SLN(CapEx!$C$42,CapEx!$G$42,CapEx!$F$42)/12,0)</f>
        <v>0</v>
      </c>
      <c r="CA36" s="295">
        <f>IF(AND(CA$3&gt;=$AC36,CA$3&lt;(CapEx!$F$42*12)+$AC$36,CapEx!$F$42&gt;1),SLN(CapEx!$C$42,CapEx!$G$42,CapEx!$F$42)/12,0)</f>
        <v>0</v>
      </c>
      <c r="CB36" s="295">
        <f>IF(AND(CB$3&gt;=$AC36,CB$3&lt;(CapEx!$F$42*12)+$AC$36,CapEx!$F$42&gt;1),SLN(CapEx!$C$42,CapEx!$G$42,CapEx!$F$42)/12,0)</f>
        <v>0</v>
      </c>
      <c r="CC36" s="295">
        <f>IF(AND(CC$3&gt;=$AC36,CC$3&lt;(CapEx!$F$42*12)+$AC$36,CapEx!$F$42&gt;1),SLN(CapEx!$C$42,CapEx!$G$42,CapEx!$F$42)/12,0)</f>
        <v>0</v>
      </c>
      <c r="CD36" s="295">
        <f>IF(AND(CD$3&gt;=$AC36,CD$3&lt;(CapEx!$F$42*12)+$AC$36,CapEx!$F$42&gt;1),SLN(CapEx!$C$42,CapEx!$G$42,CapEx!$F$42)/12,0)</f>
        <v>0</v>
      </c>
      <c r="CE36" s="295">
        <f>IF(AND(CE$3&gt;=$AC36,CE$3&lt;(CapEx!$F$42*12)+$AC$36,CapEx!$F$42&gt;1),SLN(CapEx!$C$42,CapEx!$G$42,CapEx!$F$42)/12,0)</f>
        <v>0</v>
      </c>
      <c r="CF36" s="295">
        <f>IF(AND(CF$3&gt;=$AC36,CF$3&lt;(CapEx!$F$42*12)+$AC$36,CapEx!$F$42&gt;1),SLN(CapEx!$C$42,CapEx!$G$42,CapEx!$F$42)/12,0)</f>
        <v>0</v>
      </c>
      <c r="CG36" s="295">
        <f>IF(AND(CG$3&gt;=$AC36,CG$3&lt;(CapEx!$F$42*12)+$AC$36,CapEx!$F$42&gt;1),SLN(CapEx!$C$42,CapEx!$G$42,CapEx!$F$42)/12,0)</f>
        <v>0</v>
      </c>
      <c r="CH36" s="295">
        <f>IF(AND(CH$3&gt;=$AC36,CH$3&lt;(CapEx!$F$42*12)+$AC$36,CapEx!$F$42&gt;1),SLN(CapEx!$C$42,CapEx!$G$42,CapEx!$F$42)/12,0)</f>
        <v>0</v>
      </c>
      <c r="CI36" s="295">
        <f>IF(AND(CI$3&gt;=$AC36,CI$3&lt;(CapEx!$F$42*12)+$AC$36,CapEx!$F$42&gt;1),SLN(CapEx!$C$42,CapEx!$G$42,CapEx!$F$42)/12,0)</f>
        <v>0</v>
      </c>
      <c r="CJ36" s="295">
        <f>IF(AND(CJ$3&gt;=$AC36,CJ$3&lt;(CapEx!$F$42*12)+$AC$36,CapEx!$F$42&gt;1),SLN(CapEx!$C$42,CapEx!$G$42,CapEx!$F$42)/12,0)</f>
        <v>0</v>
      </c>
      <c r="CK36" s="295">
        <f>IF(AND(CK$3&gt;=$AC36,CK$3&lt;(CapEx!$F$42*12)+$AC$36,CapEx!$F$42&gt;1),SLN(CapEx!$C$42,CapEx!$G$42,CapEx!$F$42)/12,0)</f>
        <v>0</v>
      </c>
    </row>
    <row r="37" spans="1:89">
      <c r="A37" s="304" t="s">
        <v>330</v>
      </c>
      <c r="B37" t="str">
        <f>IF(cMonthStartup=1,TEXT(cYearStartup+4,"general"),TEXT(cYearStartup+4,"general")&amp;"-"&amp;TEXT(cYearStartup+5,"general"))</f>
        <v>2012-2013</v>
      </c>
      <c r="E37" s="823" t="s">
        <v>333</v>
      </c>
      <c r="Y37" s="79">
        <f>CapEx!F43</f>
        <v>1</v>
      </c>
      <c r="Z37" s="145" t="s">
        <v>246</v>
      </c>
      <c r="AA37" s="297">
        <v>34</v>
      </c>
      <c r="AB37">
        <f>CapEx!C43</f>
        <v>0</v>
      </c>
      <c r="AC37" s="79">
        <f>IF(AB37=0,1,DATEDIF($K$12,DATEVALUE("01-"&amp;CapEx!$D43&amp;"-"&amp;CapEx!$E43),"m")+1)</f>
        <v>1</v>
      </c>
      <c r="AD37" s="295">
        <f>IF(AND(AD$3&gt;=$AC37,AD$3&lt;(CapEx!$F$43*12)+$AC$37,CapEx!$F$43&gt;1),SLN(CapEx!$C$43,CapEx!$G$43,CapEx!$F$43)/12,0)</f>
        <v>0</v>
      </c>
      <c r="AE37" s="295">
        <f>IF(AND(AE$3&gt;=$AC37,AE$3&lt;(CapEx!$F$43*12)+$AC$37,CapEx!$F$43&gt;1),SLN(CapEx!$C$43,CapEx!$G$43,CapEx!$F$43)/12,0)</f>
        <v>0</v>
      </c>
      <c r="AF37" s="295">
        <f>IF(AND(AF$3&gt;=$AC37,AF$3&lt;(CapEx!$F$43*12)+$AC$37,CapEx!$F$43&gt;1),SLN(CapEx!$C$43,CapEx!$G$43,CapEx!$F$43)/12,0)</f>
        <v>0</v>
      </c>
      <c r="AG37" s="295">
        <f>IF(AND(AG$3&gt;=$AC37,AG$3&lt;(CapEx!$F$43*12)+$AC$37,CapEx!$F$43&gt;1),SLN(CapEx!$C$43,CapEx!$G$43,CapEx!$F$43)/12,0)</f>
        <v>0</v>
      </c>
      <c r="AH37" s="295">
        <f>IF(AND(AH$3&gt;=$AC37,AH$3&lt;(CapEx!$F$43*12)+$AC$37,CapEx!$F$43&gt;1),SLN(CapEx!$C$43,CapEx!$G$43,CapEx!$F$43)/12,0)</f>
        <v>0</v>
      </c>
      <c r="AI37" s="295">
        <f>IF(AND(AI$3&gt;=$AC37,AI$3&lt;(CapEx!$F$43*12)+$AC$37,CapEx!$F$43&gt;1),SLN(CapEx!$C$43,CapEx!$G$43,CapEx!$F$43)/12,0)</f>
        <v>0</v>
      </c>
      <c r="AJ37" s="295">
        <f>IF(AND(AJ$3&gt;=$AC37,AJ$3&lt;(CapEx!$F$43*12)+$AC$37,CapEx!$F$43&gt;1),SLN(CapEx!$C$43,CapEx!$G$43,CapEx!$F$43)/12,0)</f>
        <v>0</v>
      </c>
      <c r="AK37" s="295">
        <f>IF(AND(AK$3&gt;=$AC37,AK$3&lt;(CapEx!$F$43*12)+$AC$37,CapEx!$F$43&gt;1),SLN(CapEx!$C$43,CapEx!$G$43,CapEx!$F$43)/12,0)</f>
        <v>0</v>
      </c>
      <c r="AL37" s="295">
        <f>IF(AND(AL$3&gt;=$AC37,AL$3&lt;(CapEx!$F$43*12)+$AC$37,CapEx!$F$43&gt;1),SLN(CapEx!$C$43,CapEx!$G$43,CapEx!$F$43)/12,0)</f>
        <v>0</v>
      </c>
      <c r="AM37" s="295">
        <f>IF(AND(AM$3&gt;=$AC37,AM$3&lt;(CapEx!$F$43*12)+$AC$37,CapEx!$F$43&gt;1),SLN(CapEx!$C$43,CapEx!$G$43,CapEx!$F$43)/12,0)</f>
        <v>0</v>
      </c>
      <c r="AN37" s="295">
        <f>IF(AND(AN$3&gt;=$AC37,AN$3&lt;(CapEx!$F$43*12)+$AC$37,CapEx!$F$43&gt;1),SLN(CapEx!$C$43,CapEx!$G$43,CapEx!$F$43)/12,0)</f>
        <v>0</v>
      </c>
      <c r="AO37" s="295">
        <f>IF(AND(AO$3&gt;=$AC37,AO$3&lt;(CapEx!$F$43*12)+$AC$37,CapEx!$F$43&gt;1),SLN(CapEx!$C$43,CapEx!$G$43,CapEx!$F$43)/12,0)</f>
        <v>0</v>
      </c>
      <c r="AP37" s="295">
        <f>IF(AND(AP$3&gt;=$AC37,AP$3&lt;(CapEx!$F$43*12)+$AC$37,CapEx!$F$43&gt;1),SLN(CapEx!$C$43,CapEx!$G$43,CapEx!$F$43)/12,0)</f>
        <v>0</v>
      </c>
      <c r="AQ37" s="295">
        <f>IF(AND(AQ$3&gt;=$AC37,AQ$3&lt;(CapEx!$F$43*12)+$AC$37,CapEx!$F$43&gt;1),SLN(CapEx!$C$43,CapEx!$G$43,CapEx!$F$43)/12,0)</f>
        <v>0</v>
      </c>
      <c r="AR37" s="295">
        <f>IF(AND(AR$3&gt;=$AC37,AR$3&lt;(CapEx!$F$43*12)+$AC$37,CapEx!$F$43&gt;1),SLN(CapEx!$C$43,CapEx!$G$43,CapEx!$F$43)/12,0)</f>
        <v>0</v>
      </c>
      <c r="AS37" s="295">
        <f>IF(AND(AS$3&gt;=$AC37,AS$3&lt;(CapEx!$F$43*12)+$AC$37,CapEx!$F$43&gt;1),SLN(CapEx!$C$43,CapEx!$G$43,CapEx!$F$43)/12,0)</f>
        <v>0</v>
      </c>
      <c r="AT37" s="295">
        <f>IF(AND(AT$3&gt;=$AC37,AT$3&lt;(CapEx!$F$43*12)+$AC$37,CapEx!$F$43&gt;1),SLN(CapEx!$C$43,CapEx!$G$43,CapEx!$F$43)/12,0)</f>
        <v>0</v>
      </c>
      <c r="AU37" s="295">
        <f>IF(AND(AU$3&gt;=$AC37,AU$3&lt;(CapEx!$F$43*12)+$AC$37,CapEx!$F$43&gt;1),SLN(CapEx!$C$43,CapEx!$G$43,CapEx!$F$43)/12,0)</f>
        <v>0</v>
      </c>
      <c r="AV37" s="295">
        <f>IF(AND(AV$3&gt;=$AC37,AV$3&lt;(CapEx!$F$43*12)+$AC$37,CapEx!$F$43&gt;1),SLN(CapEx!$C$43,CapEx!$G$43,CapEx!$F$43)/12,0)</f>
        <v>0</v>
      </c>
      <c r="AW37" s="295">
        <f>IF(AND(AW$3&gt;=$AC37,AW$3&lt;(CapEx!$F$43*12)+$AC$37,CapEx!$F$43&gt;1),SLN(CapEx!$C$43,CapEx!$G$43,CapEx!$F$43)/12,0)</f>
        <v>0</v>
      </c>
      <c r="AX37" s="295">
        <f>IF(AND(AX$3&gt;=$AC37,AX$3&lt;(CapEx!$F$43*12)+$AC$37,CapEx!$F$43&gt;1),SLN(CapEx!$C$43,CapEx!$G$43,CapEx!$F$43)/12,0)</f>
        <v>0</v>
      </c>
      <c r="AY37" s="295">
        <f>IF(AND(AY$3&gt;=$AC37,AY$3&lt;(CapEx!$F$43*12)+$AC$37,CapEx!$F$43&gt;1),SLN(CapEx!$C$43,CapEx!$G$43,CapEx!$F$43)/12,0)</f>
        <v>0</v>
      </c>
      <c r="AZ37" s="295">
        <f>IF(AND(AZ$3&gt;=$AC37,AZ$3&lt;(CapEx!$F$43*12)+$AC$37,CapEx!$F$43&gt;1),SLN(CapEx!$C$43,CapEx!$G$43,CapEx!$F$43)/12,0)</f>
        <v>0</v>
      </c>
      <c r="BA37" s="295">
        <f>IF(AND(BA$3&gt;=$AC37,BA$3&lt;(CapEx!$F$43*12)+$AC$37,CapEx!$F$43&gt;1),SLN(CapEx!$C$43,CapEx!$G$43,CapEx!$F$43)/12,0)</f>
        <v>0</v>
      </c>
      <c r="BB37" s="295">
        <f>IF(AND(BB$3&gt;=$AC37,BB$3&lt;(CapEx!$F$43*12)+$AC$37,CapEx!$F$43&gt;1),SLN(CapEx!$C$43,CapEx!$G$43,CapEx!$F$43)/12,0)</f>
        <v>0</v>
      </c>
      <c r="BC37" s="295">
        <f>IF(AND(BC$3&gt;=$AC37,BC$3&lt;(CapEx!$F$43*12)+$AC$37,CapEx!$F$43&gt;1),SLN(CapEx!$C$43,CapEx!$G$43,CapEx!$F$43)/12,0)</f>
        <v>0</v>
      </c>
      <c r="BD37" s="295">
        <f>IF(AND(BD$3&gt;=$AC37,BD$3&lt;(CapEx!$F$43*12)+$AC$37,CapEx!$F$43&gt;1),SLN(CapEx!$C$43,CapEx!$G$43,CapEx!$F$43)/12,0)</f>
        <v>0</v>
      </c>
      <c r="BE37" s="295">
        <f>IF(AND(BE$3&gt;=$AC37,BE$3&lt;(CapEx!$F$43*12)+$AC$37,CapEx!$F$43&gt;1),SLN(CapEx!$C$43,CapEx!$G$43,CapEx!$F$43)/12,0)</f>
        <v>0</v>
      </c>
      <c r="BF37" s="295">
        <f>IF(AND(BF$3&gt;=$AC37,BF$3&lt;(CapEx!$F$43*12)+$AC$37,CapEx!$F$43&gt;1),SLN(CapEx!$C$43,CapEx!$G$43,CapEx!$F$43)/12,0)</f>
        <v>0</v>
      </c>
      <c r="BG37" s="295">
        <f>IF(AND(BG$3&gt;=$AC37,BG$3&lt;(CapEx!$F$43*12)+$AC$37,CapEx!$F$43&gt;1),SLN(CapEx!$C$43,CapEx!$G$43,CapEx!$F$43)/12,0)</f>
        <v>0</v>
      </c>
      <c r="BH37" s="295">
        <f>IF(AND(BH$3&gt;=$AC37,BH$3&lt;(CapEx!$F$43*12)+$AC$37,CapEx!$F$43&gt;1),SLN(CapEx!$C$43,CapEx!$G$43,CapEx!$F$43)/12,0)</f>
        <v>0</v>
      </c>
      <c r="BI37" s="295">
        <f>IF(AND(BI$3&gt;=$AC37,BI$3&lt;(CapEx!$F$43*12)+$AC$37,CapEx!$F$43&gt;1),SLN(CapEx!$C$43,CapEx!$G$43,CapEx!$F$43)/12,0)</f>
        <v>0</v>
      </c>
      <c r="BJ37" s="295">
        <f>IF(AND(BJ$3&gt;=$AC37,BJ$3&lt;(CapEx!$F$43*12)+$AC$37,CapEx!$F$43&gt;1),SLN(CapEx!$C$43,CapEx!$G$43,CapEx!$F$43)/12,0)</f>
        <v>0</v>
      </c>
      <c r="BK37" s="295">
        <f>IF(AND(BK$3&gt;=$AC37,BK$3&lt;(CapEx!$F$43*12)+$AC$37,CapEx!$F$43&gt;1),SLN(CapEx!$C$43,CapEx!$G$43,CapEx!$F$43)/12,0)</f>
        <v>0</v>
      </c>
      <c r="BL37" s="295">
        <f>IF(AND(BL$3&gt;=$AC37,BL$3&lt;(CapEx!$F$43*12)+$AC$37,CapEx!$F$43&gt;1),SLN(CapEx!$C$43,CapEx!$G$43,CapEx!$F$43)/12,0)</f>
        <v>0</v>
      </c>
      <c r="BM37" s="295">
        <f>IF(AND(BM$3&gt;=$AC37,BM$3&lt;(CapEx!$F$43*12)+$AC$37,CapEx!$F$43&gt;1),SLN(CapEx!$C$43,CapEx!$G$43,CapEx!$F$43)/12,0)</f>
        <v>0</v>
      </c>
      <c r="BN37" s="295">
        <f>IF(AND(BN$3&gt;=$AC37,BN$3&lt;(CapEx!$F$43*12)+$AC$37,CapEx!$F$43&gt;1),SLN(CapEx!$C$43,CapEx!$G$43,CapEx!$F$43)/12,0)</f>
        <v>0</v>
      </c>
      <c r="BO37" s="295">
        <f>IF(AND(BO$3&gt;=$AC37,BO$3&lt;(CapEx!$F$43*12)+$AC$37,CapEx!$F$43&gt;1),SLN(CapEx!$C$43,CapEx!$G$43,CapEx!$F$43)/12,0)</f>
        <v>0</v>
      </c>
      <c r="BP37" s="295">
        <f>IF(AND(BP$3&gt;=$AC37,BP$3&lt;(CapEx!$F$43*12)+$AC$37,CapEx!$F$43&gt;1),SLN(CapEx!$C$43,CapEx!$G$43,CapEx!$F$43)/12,0)</f>
        <v>0</v>
      </c>
      <c r="BQ37" s="295">
        <f>IF(AND(BQ$3&gt;=$AC37,BQ$3&lt;(CapEx!$F$43*12)+$AC$37,CapEx!$F$43&gt;1),SLN(CapEx!$C$43,CapEx!$G$43,CapEx!$F$43)/12,0)</f>
        <v>0</v>
      </c>
      <c r="BR37" s="295">
        <f>IF(AND(BR$3&gt;=$AC37,BR$3&lt;(CapEx!$F$43*12)+$AC$37,CapEx!$F$43&gt;1),SLN(CapEx!$C$43,CapEx!$G$43,CapEx!$F$43)/12,0)</f>
        <v>0</v>
      </c>
      <c r="BS37" s="295">
        <f>IF(AND(BS$3&gt;=$AC37,BS$3&lt;(CapEx!$F$43*12)+$AC$37,CapEx!$F$43&gt;1),SLN(CapEx!$C$43,CapEx!$G$43,CapEx!$F$43)/12,0)</f>
        <v>0</v>
      </c>
      <c r="BT37" s="295">
        <f>IF(AND(BT$3&gt;=$AC37,BT$3&lt;(CapEx!$F$43*12)+$AC$37,CapEx!$F$43&gt;1),SLN(CapEx!$C$43,CapEx!$G$43,CapEx!$F$43)/12,0)</f>
        <v>0</v>
      </c>
      <c r="BU37" s="295">
        <f>IF(AND(BU$3&gt;=$AC37,BU$3&lt;(CapEx!$F$43*12)+$AC$37,CapEx!$F$43&gt;1),SLN(CapEx!$C$43,CapEx!$G$43,CapEx!$F$43)/12,0)</f>
        <v>0</v>
      </c>
      <c r="BV37" s="295">
        <f>IF(AND(BV$3&gt;=$AC37,BV$3&lt;(CapEx!$F$43*12)+$AC$37,CapEx!$F$43&gt;1),SLN(CapEx!$C$43,CapEx!$G$43,CapEx!$F$43)/12,0)</f>
        <v>0</v>
      </c>
      <c r="BW37" s="295">
        <f>IF(AND(BW$3&gt;=$AC37,BW$3&lt;(CapEx!$F$43*12)+$AC$37,CapEx!$F$43&gt;1),SLN(CapEx!$C$43,CapEx!$G$43,CapEx!$F$43)/12,0)</f>
        <v>0</v>
      </c>
      <c r="BX37" s="295">
        <f>IF(AND(BX$3&gt;=$AC37,BX$3&lt;(CapEx!$F$43*12)+$AC$37,CapEx!$F$43&gt;1),SLN(CapEx!$C$43,CapEx!$G$43,CapEx!$F$43)/12,0)</f>
        <v>0</v>
      </c>
      <c r="BY37" s="295">
        <f>IF(AND(BY$3&gt;=$AC37,BY$3&lt;(CapEx!$F$43*12)+$AC$37,CapEx!$F$43&gt;1),SLN(CapEx!$C$43,CapEx!$G$43,CapEx!$F$43)/12,0)</f>
        <v>0</v>
      </c>
      <c r="BZ37" s="295">
        <f>IF(AND(BZ$3&gt;=$AC37,BZ$3&lt;(CapEx!$F$43*12)+$AC$37,CapEx!$F$43&gt;1),SLN(CapEx!$C$43,CapEx!$G$43,CapEx!$F$43)/12,0)</f>
        <v>0</v>
      </c>
      <c r="CA37" s="295">
        <f>IF(AND(CA$3&gt;=$AC37,CA$3&lt;(CapEx!$F$43*12)+$AC$37,CapEx!$F$43&gt;1),SLN(CapEx!$C$43,CapEx!$G$43,CapEx!$F$43)/12,0)</f>
        <v>0</v>
      </c>
      <c r="CB37" s="295">
        <f>IF(AND(CB$3&gt;=$AC37,CB$3&lt;(CapEx!$F$43*12)+$AC$37,CapEx!$F$43&gt;1),SLN(CapEx!$C$43,CapEx!$G$43,CapEx!$F$43)/12,0)</f>
        <v>0</v>
      </c>
      <c r="CC37" s="295">
        <f>IF(AND(CC$3&gt;=$AC37,CC$3&lt;(CapEx!$F$43*12)+$AC$37,CapEx!$F$43&gt;1),SLN(CapEx!$C$43,CapEx!$G$43,CapEx!$F$43)/12,0)</f>
        <v>0</v>
      </c>
      <c r="CD37" s="295">
        <f>IF(AND(CD$3&gt;=$AC37,CD$3&lt;(CapEx!$F$43*12)+$AC$37,CapEx!$F$43&gt;1),SLN(CapEx!$C$43,CapEx!$G$43,CapEx!$F$43)/12,0)</f>
        <v>0</v>
      </c>
      <c r="CE37" s="295">
        <f>IF(AND(CE$3&gt;=$AC37,CE$3&lt;(CapEx!$F$43*12)+$AC$37,CapEx!$F$43&gt;1),SLN(CapEx!$C$43,CapEx!$G$43,CapEx!$F$43)/12,0)</f>
        <v>0</v>
      </c>
      <c r="CF37" s="295">
        <f>IF(AND(CF$3&gt;=$AC37,CF$3&lt;(CapEx!$F$43*12)+$AC$37,CapEx!$F$43&gt;1),SLN(CapEx!$C$43,CapEx!$G$43,CapEx!$F$43)/12,0)</f>
        <v>0</v>
      </c>
      <c r="CG37" s="295">
        <f>IF(AND(CG$3&gt;=$AC37,CG$3&lt;(CapEx!$F$43*12)+$AC$37,CapEx!$F$43&gt;1),SLN(CapEx!$C$43,CapEx!$G$43,CapEx!$F$43)/12,0)</f>
        <v>0</v>
      </c>
      <c r="CH37" s="295">
        <f>IF(AND(CH$3&gt;=$AC37,CH$3&lt;(CapEx!$F$43*12)+$AC$37,CapEx!$F$43&gt;1),SLN(CapEx!$C$43,CapEx!$G$43,CapEx!$F$43)/12,0)</f>
        <v>0</v>
      </c>
      <c r="CI37" s="295">
        <f>IF(AND(CI$3&gt;=$AC37,CI$3&lt;(CapEx!$F$43*12)+$AC$37,CapEx!$F$43&gt;1),SLN(CapEx!$C$43,CapEx!$G$43,CapEx!$F$43)/12,0)</f>
        <v>0</v>
      </c>
      <c r="CJ37" s="295">
        <f>IF(AND(CJ$3&gt;=$AC37,CJ$3&lt;(CapEx!$F$43*12)+$AC$37,CapEx!$F$43&gt;1),SLN(CapEx!$C$43,CapEx!$G$43,CapEx!$F$43)/12,0)</f>
        <v>0</v>
      </c>
      <c r="CK37" s="295">
        <f>IF(AND(CK$3&gt;=$AC37,CK$3&lt;(CapEx!$F$43*12)+$AC$37,CapEx!$F$43&gt;1),SLN(CapEx!$C$43,CapEx!$G$43,CapEx!$F$43)/12,0)</f>
        <v>0</v>
      </c>
    </row>
    <row r="38" spans="1:89">
      <c r="A38" s="290"/>
      <c r="E38" s="823" t="s">
        <v>332</v>
      </c>
      <c r="Y38" s="79">
        <f>CapEx!F44</f>
        <v>1</v>
      </c>
      <c r="Z38" s="145" t="s">
        <v>246</v>
      </c>
      <c r="AA38" s="297">
        <v>35</v>
      </c>
      <c r="AB38">
        <f>CapEx!C44</f>
        <v>0</v>
      </c>
      <c r="AC38" s="79">
        <f>IF(AB38=0,1,DATEDIF($K$12,DATEVALUE("01-"&amp;CapEx!$D44&amp;"-"&amp;CapEx!$E44),"m")+1)</f>
        <v>1</v>
      </c>
      <c r="AD38" s="295">
        <f>IF(AND(AD$3&gt;=$AC38,AD$3&lt;(CapEx!$F$44*12)+$AC$38,CapEx!$F$44&gt;1),SLN(CapEx!$C$44,CapEx!$G$44,CapEx!$F$44)/12,0)</f>
        <v>0</v>
      </c>
      <c r="AE38" s="295">
        <f>IF(AND(AE$3&gt;=$AC38,AE$3&lt;(CapEx!$F$44*12)+$AC$38,CapEx!$F$44&gt;1),SLN(CapEx!$C$44,CapEx!$G$44,CapEx!$F$44)/12,0)</f>
        <v>0</v>
      </c>
      <c r="AF38" s="295">
        <f>IF(AND(AF$3&gt;=$AC38,AF$3&lt;(CapEx!$F$44*12)+$AC$38,CapEx!$F$44&gt;1),SLN(CapEx!$C$44,CapEx!$G$44,CapEx!$F$44)/12,0)</f>
        <v>0</v>
      </c>
      <c r="AG38" s="295">
        <f>IF(AND(AG$3&gt;=$AC38,AG$3&lt;(CapEx!$F$44*12)+$AC$38,CapEx!$F$44&gt;1),SLN(CapEx!$C$44,CapEx!$G$44,CapEx!$F$44)/12,0)</f>
        <v>0</v>
      </c>
      <c r="AH38" s="295">
        <f>IF(AND(AH$3&gt;=$AC38,AH$3&lt;(CapEx!$F$44*12)+$AC$38,CapEx!$F$44&gt;1),SLN(CapEx!$C$44,CapEx!$G$44,CapEx!$F$44)/12,0)</f>
        <v>0</v>
      </c>
      <c r="AI38" s="295">
        <f>IF(AND(AI$3&gt;=$AC38,AI$3&lt;(CapEx!$F$44*12)+$AC$38,CapEx!$F$44&gt;1),SLN(CapEx!$C$44,CapEx!$G$44,CapEx!$F$44)/12,0)</f>
        <v>0</v>
      </c>
      <c r="AJ38" s="295">
        <f>IF(AND(AJ$3&gt;=$AC38,AJ$3&lt;(CapEx!$F$44*12)+$AC$38,CapEx!$F$44&gt;1),SLN(CapEx!$C$44,CapEx!$G$44,CapEx!$F$44)/12,0)</f>
        <v>0</v>
      </c>
      <c r="AK38" s="295">
        <f>IF(AND(AK$3&gt;=$AC38,AK$3&lt;(CapEx!$F$44*12)+$AC$38,CapEx!$F$44&gt;1),SLN(CapEx!$C$44,CapEx!$G$44,CapEx!$F$44)/12,0)</f>
        <v>0</v>
      </c>
      <c r="AL38" s="295">
        <f>IF(AND(AL$3&gt;=$AC38,AL$3&lt;(CapEx!$F$44*12)+$AC$38,CapEx!$F$44&gt;1),SLN(CapEx!$C$44,CapEx!$G$44,CapEx!$F$44)/12,0)</f>
        <v>0</v>
      </c>
      <c r="AM38" s="295">
        <f>IF(AND(AM$3&gt;=$AC38,AM$3&lt;(CapEx!$F$44*12)+$AC$38,CapEx!$F$44&gt;1),SLN(CapEx!$C$44,CapEx!$G$44,CapEx!$F$44)/12,0)</f>
        <v>0</v>
      </c>
      <c r="AN38" s="295">
        <f>IF(AND(AN$3&gt;=$AC38,AN$3&lt;(CapEx!$F$44*12)+$AC$38,CapEx!$F$44&gt;1),SLN(CapEx!$C$44,CapEx!$G$44,CapEx!$F$44)/12,0)</f>
        <v>0</v>
      </c>
      <c r="AO38" s="295">
        <f>IF(AND(AO$3&gt;=$AC38,AO$3&lt;(CapEx!$F$44*12)+$AC$38,CapEx!$F$44&gt;1),SLN(CapEx!$C$44,CapEx!$G$44,CapEx!$F$44)/12,0)</f>
        <v>0</v>
      </c>
      <c r="AP38" s="295">
        <f>IF(AND(AP$3&gt;=$AC38,AP$3&lt;(CapEx!$F$44*12)+$AC$38,CapEx!$F$44&gt;1),SLN(CapEx!$C$44,CapEx!$G$44,CapEx!$F$44)/12,0)</f>
        <v>0</v>
      </c>
      <c r="AQ38" s="295">
        <f>IF(AND(AQ$3&gt;=$AC38,AQ$3&lt;(CapEx!$F$44*12)+$AC$38,CapEx!$F$44&gt;1),SLN(CapEx!$C$44,CapEx!$G$44,CapEx!$F$44)/12,0)</f>
        <v>0</v>
      </c>
      <c r="AR38" s="295">
        <f>IF(AND(AR$3&gt;=$AC38,AR$3&lt;(CapEx!$F$44*12)+$AC$38,CapEx!$F$44&gt;1),SLN(CapEx!$C$44,CapEx!$G$44,CapEx!$F$44)/12,0)</f>
        <v>0</v>
      </c>
      <c r="AS38" s="295">
        <f>IF(AND(AS$3&gt;=$AC38,AS$3&lt;(CapEx!$F$44*12)+$AC$38,CapEx!$F$44&gt;1),SLN(CapEx!$C$44,CapEx!$G$44,CapEx!$F$44)/12,0)</f>
        <v>0</v>
      </c>
      <c r="AT38" s="295">
        <f>IF(AND(AT$3&gt;=$AC38,AT$3&lt;(CapEx!$F$44*12)+$AC$38,CapEx!$F$44&gt;1),SLN(CapEx!$C$44,CapEx!$G$44,CapEx!$F$44)/12,0)</f>
        <v>0</v>
      </c>
      <c r="AU38" s="295">
        <f>IF(AND(AU$3&gt;=$AC38,AU$3&lt;(CapEx!$F$44*12)+$AC$38,CapEx!$F$44&gt;1),SLN(CapEx!$C$44,CapEx!$G$44,CapEx!$F$44)/12,0)</f>
        <v>0</v>
      </c>
      <c r="AV38" s="295">
        <f>IF(AND(AV$3&gt;=$AC38,AV$3&lt;(CapEx!$F$44*12)+$AC$38,CapEx!$F$44&gt;1),SLN(CapEx!$C$44,CapEx!$G$44,CapEx!$F$44)/12,0)</f>
        <v>0</v>
      </c>
      <c r="AW38" s="295">
        <f>IF(AND(AW$3&gt;=$AC38,AW$3&lt;(CapEx!$F$44*12)+$AC$38,CapEx!$F$44&gt;1),SLN(CapEx!$C$44,CapEx!$G$44,CapEx!$F$44)/12,0)</f>
        <v>0</v>
      </c>
      <c r="AX38" s="295">
        <f>IF(AND(AX$3&gt;=$AC38,AX$3&lt;(CapEx!$F$44*12)+$AC$38,CapEx!$F$44&gt;1),SLN(CapEx!$C$44,CapEx!$G$44,CapEx!$F$44)/12,0)</f>
        <v>0</v>
      </c>
      <c r="AY38" s="295">
        <f>IF(AND(AY$3&gt;=$AC38,AY$3&lt;(CapEx!$F$44*12)+$AC$38,CapEx!$F$44&gt;1),SLN(CapEx!$C$44,CapEx!$G$44,CapEx!$F$44)/12,0)</f>
        <v>0</v>
      </c>
      <c r="AZ38" s="295">
        <f>IF(AND(AZ$3&gt;=$AC38,AZ$3&lt;(CapEx!$F$44*12)+$AC$38,CapEx!$F$44&gt;1),SLN(CapEx!$C$44,CapEx!$G$44,CapEx!$F$44)/12,0)</f>
        <v>0</v>
      </c>
      <c r="BA38" s="295">
        <f>IF(AND(BA$3&gt;=$AC38,BA$3&lt;(CapEx!$F$44*12)+$AC$38,CapEx!$F$44&gt;1),SLN(CapEx!$C$44,CapEx!$G$44,CapEx!$F$44)/12,0)</f>
        <v>0</v>
      </c>
      <c r="BB38" s="295">
        <f>IF(AND(BB$3&gt;=$AC38,BB$3&lt;(CapEx!$F$44*12)+$AC$38,CapEx!$F$44&gt;1),SLN(CapEx!$C$44,CapEx!$G$44,CapEx!$F$44)/12,0)</f>
        <v>0</v>
      </c>
      <c r="BC38" s="295">
        <f>IF(AND(BC$3&gt;=$AC38,BC$3&lt;(CapEx!$F$44*12)+$AC$38,CapEx!$F$44&gt;1),SLN(CapEx!$C$44,CapEx!$G$44,CapEx!$F$44)/12,0)</f>
        <v>0</v>
      </c>
      <c r="BD38" s="295">
        <f>IF(AND(BD$3&gt;=$AC38,BD$3&lt;(CapEx!$F$44*12)+$AC$38,CapEx!$F$44&gt;1),SLN(CapEx!$C$44,CapEx!$G$44,CapEx!$F$44)/12,0)</f>
        <v>0</v>
      </c>
      <c r="BE38" s="295">
        <f>IF(AND(BE$3&gt;=$AC38,BE$3&lt;(CapEx!$F$44*12)+$AC$38,CapEx!$F$44&gt;1),SLN(CapEx!$C$44,CapEx!$G$44,CapEx!$F$44)/12,0)</f>
        <v>0</v>
      </c>
      <c r="BF38" s="295">
        <f>IF(AND(BF$3&gt;=$AC38,BF$3&lt;(CapEx!$F$44*12)+$AC$38,CapEx!$F$44&gt;1),SLN(CapEx!$C$44,CapEx!$G$44,CapEx!$F$44)/12,0)</f>
        <v>0</v>
      </c>
      <c r="BG38" s="295">
        <f>IF(AND(BG$3&gt;=$AC38,BG$3&lt;(CapEx!$F$44*12)+$AC$38,CapEx!$F$44&gt;1),SLN(CapEx!$C$44,CapEx!$G$44,CapEx!$F$44)/12,0)</f>
        <v>0</v>
      </c>
      <c r="BH38" s="295">
        <f>IF(AND(BH$3&gt;=$AC38,BH$3&lt;(CapEx!$F$44*12)+$AC$38,CapEx!$F$44&gt;1),SLN(CapEx!$C$44,CapEx!$G$44,CapEx!$F$44)/12,0)</f>
        <v>0</v>
      </c>
      <c r="BI38" s="295">
        <f>IF(AND(BI$3&gt;=$AC38,BI$3&lt;(CapEx!$F$44*12)+$AC$38,CapEx!$F$44&gt;1),SLN(CapEx!$C$44,CapEx!$G$44,CapEx!$F$44)/12,0)</f>
        <v>0</v>
      </c>
      <c r="BJ38" s="295">
        <f>IF(AND(BJ$3&gt;=$AC38,BJ$3&lt;(CapEx!$F$44*12)+$AC$38,CapEx!$F$44&gt;1),SLN(CapEx!$C$44,CapEx!$G$44,CapEx!$F$44)/12,0)</f>
        <v>0</v>
      </c>
      <c r="BK38" s="295">
        <f>IF(AND(BK$3&gt;=$AC38,BK$3&lt;(CapEx!$F$44*12)+$AC$38,CapEx!$F$44&gt;1),SLN(CapEx!$C$44,CapEx!$G$44,CapEx!$F$44)/12,0)</f>
        <v>0</v>
      </c>
      <c r="BL38" s="295">
        <f>IF(AND(BL$3&gt;=$AC38,BL$3&lt;(CapEx!$F$44*12)+$AC$38,CapEx!$F$44&gt;1),SLN(CapEx!$C$44,CapEx!$G$44,CapEx!$F$44)/12,0)</f>
        <v>0</v>
      </c>
      <c r="BM38" s="295">
        <f>IF(AND(BM$3&gt;=$AC38,BM$3&lt;(CapEx!$F$44*12)+$AC$38,CapEx!$F$44&gt;1),SLN(CapEx!$C$44,CapEx!$G$44,CapEx!$F$44)/12,0)</f>
        <v>0</v>
      </c>
      <c r="BN38" s="295">
        <f>IF(AND(BN$3&gt;=$AC38,BN$3&lt;(CapEx!$F$44*12)+$AC$38,CapEx!$F$44&gt;1),SLN(CapEx!$C$44,CapEx!$G$44,CapEx!$F$44)/12,0)</f>
        <v>0</v>
      </c>
      <c r="BO38" s="295">
        <f>IF(AND(BO$3&gt;=$AC38,BO$3&lt;(CapEx!$F$44*12)+$AC$38,CapEx!$F$44&gt;1),SLN(CapEx!$C$44,CapEx!$G$44,CapEx!$F$44)/12,0)</f>
        <v>0</v>
      </c>
      <c r="BP38" s="295">
        <f>IF(AND(BP$3&gt;=$AC38,BP$3&lt;(CapEx!$F$44*12)+$AC$38,CapEx!$F$44&gt;1),SLN(CapEx!$C$44,CapEx!$G$44,CapEx!$F$44)/12,0)</f>
        <v>0</v>
      </c>
      <c r="BQ38" s="295">
        <f>IF(AND(BQ$3&gt;=$AC38,BQ$3&lt;(CapEx!$F$44*12)+$AC$38,CapEx!$F$44&gt;1),SLN(CapEx!$C$44,CapEx!$G$44,CapEx!$F$44)/12,0)</f>
        <v>0</v>
      </c>
      <c r="BR38" s="295">
        <f>IF(AND(BR$3&gt;=$AC38,BR$3&lt;(CapEx!$F$44*12)+$AC$38,CapEx!$F$44&gt;1),SLN(CapEx!$C$44,CapEx!$G$44,CapEx!$F$44)/12,0)</f>
        <v>0</v>
      </c>
      <c r="BS38" s="295">
        <f>IF(AND(BS$3&gt;=$AC38,BS$3&lt;(CapEx!$F$44*12)+$AC$38,CapEx!$F$44&gt;1),SLN(CapEx!$C$44,CapEx!$G$44,CapEx!$F$44)/12,0)</f>
        <v>0</v>
      </c>
      <c r="BT38" s="295">
        <f>IF(AND(BT$3&gt;=$AC38,BT$3&lt;(CapEx!$F$44*12)+$AC$38,CapEx!$F$44&gt;1),SLN(CapEx!$C$44,CapEx!$G$44,CapEx!$F$44)/12,0)</f>
        <v>0</v>
      </c>
      <c r="BU38" s="295">
        <f>IF(AND(BU$3&gt;=$AC38,BU$3&lt;(CapEx!$F$44*12)+$AC$38,CapEx!$F$44&gt;1),SLN(CapEx!$C$44,CapEx!$G$44,CapEx!$F$44)/12,0)</f>
        <v>0</v>
      </c>
      <c r="BV38" s="295">
        <f>IF(AND(BV$3&gt;=$AC38,BV$3&lt;(CapEx!$F$44*12)+$AC$38,CapEx!$F$44&gt;1),SLN(CapEx!$C$44,CapEx!$G$44,CapEx!$F$44)/12,0)</f>
        <v>0</v>
      </c>
      <c r="BW38" s="295">
        <f>IF(AND(BW$3&gt;=$AC38,BW$3&lt;(CapEx!$F$44*12)+$AC$38,CapEx!$F$44&gt;1),SLN(CapEx!$C$44,CapEx!$G$44,CapEx!$F$44)/12,0)</f>
        <v>0</v>
      </c>
      <c r="BX38" s="295">
        <f>IF(AND(BX$3&gt;=$AC38,BX$3&lt;(CapEx!$F$44*12)+$AC$38,CapEx!$F$44&gt;1),SLN(CapEx!$C$44,CapEx!$G$44,CapEx!$F$44)/12,0)</f>
        <v>0</v>
      </c>
      <c r="BY38" s="295">
        <f>IF(AND(BY$3&gt;=$AC38,BY$3&lt;(CapEx!$F$44*12)+$AC$38,CapEx!$F$44&gt;1),SLN(CapEx!$C$44,CapEx!$G$44,CapEx!$F$44)/12,0)</f>
        <v>0</v>
      </c>
      <c r="BZ38" s="295">
        <f>IF(AND(BZ$3&gt;=$AC38,BZ$3&lt;(CapEx!$F$44*12)+$AC$38,CapEx!$F$44&gt;1),SLN(CapEx!$C$44,CapEx!$G$44,CapEx!$F$44)/12,0)</f>
        <v>0</v>
      </c>
      <c r="CA38" s="295">
        <f>IF(AND(CA$3&gt;=$AC38,CA$3&lt;(CapEx!$F$44*12)+$AC$38,CapEx!$F$44&gt;1),SLN(CapEx!$C$44,CapEx!$G$44,CapEx!$F$44)/12,0)</f>
        <v>0</v>
      </c>
      <c r="CB38" s="295">
        <f>IF(AND(CB$3&gt;=$AC38,CB$3&lt;(CapEx!$F$44*12)+$AC$38,CapEx!$F$44&gt;1),SLN(CapEx!$C$44,CapEx!$G$44,CapEx!$F$44)/12,0)</f>
        <v>0</v>
      </c>
      <c r="CC38" s="295">
        <f>IF(AND(CC$3&gt;=$AC38,CC$3&lt;(CapEx!$F$44*12)+$AC$38,CapEx!$F$44&gt;1),SLN(CapEx!$C$44,CapEx!$G$44,CapEx!$F$44)/12,0)</f>
        <v>0</v>
      </c>
      <c r="CD38" s="295">
        <f>IF(AND(CD$3&gt;=$AC38,CD$3&lt;(CapEx!$F$44*12)+$AC$38,CapEx!$F$44&gt;1),SLN(CapEx!$C$44,CapEx!$G$44,CapEx!$F$44)/12,0)</f>
        <v>0</v>
      </c>
      <c r="CE38" s="295">
        <f>IF(AND(CE$3&gt;=$AC38,CE$3&lt;(CapEx!$F$44*12)+$AC$38,CapEx!$F$44&gt;1),SLN(CapEx!$C$44,CapEx!$G$44,CapEx!$F$44)/12,0)</f>
        <v>0</v>
      </c>
      <c r="CF38" s="295">
        <f>IF(AND(CF$3&gt;=$AC38,CF$3&lt;(CapEx!$F$44*12)+$AC$38,CapEx!$F$44&gt;1),SLN(CapEx!$C$44,CapEx!$G$44,CapEx!$F$44)/12,0)</f>
        <v>0</v>
      </c>
      <c r="CG38" s="295">
        <f>IF(AND(CG$3&gt;=$AC38,CG$3&lt;(CapEx!$F$44*12)+$AC$38,CapEx!$F$44&gt;1),SLN(CapEx!$C$44,CapEx!$G$44,CapEx!$F$44)/12,0)</f>
        <v>0</v>
      </c>
      <c r="CH38" s="295">
        <f>IF(AND(CH$3&gt;=$AC38,CH$3&lt;(CapEx!$F$44*12)+$AC$38,CapEx!$F$44&gt;1),SLN(CapEx!$C$44,CapEx!$G$44,CapEx!$F$44)/12,0)</f>
        <v>0</v>
      </c>
      <c r="CI38" s="295">
        <f>IF(AND(CI$3&gt;=$AC38,CI$3&lt;(CapEx!$F$44*12)+$AC$38,CapEx!$F$44&gt;1),SLN(CapEx!$C$44,CapEx!$G$44,CapEx!$F$44)/12,0)</f>
        <v>0</v>
      </c>
      <c r="CJ38" s="295">
        <f>IF(AND(CJ$3&gt;=$AC38,CJ$3&lt;(CapEx!$F$44*12)+$AC$38,CapEx!$F$44&gt;1),SLN(CapEx!$C$44,CapEx!$G$44,CapEx!$F$44)/12,0)</f>
        <v>0</v>
      </c>
      <c r="CK38" s="295">
        <f>IF(AND(CK$3&gt;=$AC38,CK$3&lt;(CapEx!$F$44*12)+$AC$38,CapEx!$F$44&gt;1),SLN(CapEx!$C$44,CapEx!$G$44,CapEx!$F$44)/12,0)</f>
        <v>0</v>
      </c>
    </row>
    <row r="39" spans="1:89">
      <c r="A39" s="290"/>
      <c r="Y39" s="79">
        <f>CapEx!F45</f>
        <v>1</v>
      </c>
      <c r="Z39" s="145" t="s">
        <v>246</v>
      </c>
      <c r="AA39" s="297">
        <v>36</v>
      </c>
      <c r="AB39">
        <f>CapEx!C45</f>
        <v>0</v>
      </c>
      <c r="AC39" s="79">
        <f>IF(AB39=0,1,DATEDIF($K$12,DATEVALUE("01-"&amp;CapEx!$D45&amp;"-"&amp;CapEx!$E45),"m")+1)</f>
        <v>1</v>
      </c>
      <c r="AD39" s="295">
        <f>IF(AND(AD$3&gt;=$AC39,AD$3&lt;(CapEx!$F$45*12)+$AC$39,CapEx!$F$45&gt;1),SLN(CapEx!$C$45,CapEx!$G$45,CapEx!$F$45)/12,0)</f>
        <v>0</v>
      </c>
      <c r="AE39" s="295">
        <f>IF(AND(AE$3&gt;=$AC39,AE$3&lt;(CapEx!$F$45*12)+$AC$39,CapEx!$F$45&gt;1),SLN(CapEx!$C$45,CapEx!$G$45,CapEx!$F$45)/12,0)</f>
        <v>0</v>
      </c>
      <c r="AF39" s="295">
        <f>IF(AND(AF$3&gt;=$AC39,AF$3&lt;(CapEx!$F$45*12)+$AC$39,CapEx!$F$45&gt;1),SLN(CapEx!$C$45,CapEx!$G$45,CapEx!$F$45)/12,0)</f>
        <v>0</v>
      </c>
      <c r="AG39" s="295">
        <f>IF(AND(AG$3&gt;=$AC39,AG$3&lt;(CapEx!$F$45*12)+$AC$39,CapEx!$F$45&gt;1),SLN(CapEx!$C$45,CapEx!$G$45,CapEx!$F$45)/12,0)</f>
        <v>0</v>
      </c>
      <c r="AH39" s="295">
        <f>IF(AND(AH$3&gt;=$AC39,AH$3&lt;(CapEx!$F$45*12)+$AC$39,CapEx!$F$45&gt;1),SLN(CapEx!$C$45,CapEx!$G$45,CapEx!$F$45)/12,0)</f>
        <v>0</v>
      </c>
      <c r="AI39" s="295">
        <f>IF(AND(AI$3&gt;=$AC39,AI$3&lt;(CapEx!$F$45*12)+$AC$39,CapEx!$F$45&gt;1),SLN(CapEx!$C$45,CapEx!$G$45,CapEx!$F$45)/12,0)</f>
        <v>0</v>
      </c>
      <c r="AJ39" s="295">
        <f>IF(AND(AJ$3&gt;=$AC39,AJ$3&lt;(CapEx!$F$45*12)+$AC$39,CapEx!$F$45&gt;1),SLN(CapEx!$C$45,CapEx!$G$45,CapEx!$F$45)/12,0)</f>
        <v>0</v>
      </c>
      <c r="AK39" s="295">
        <f>IF(AND(AK$3&gt;=$AC39,AK$3&lt;(CapEx!$F$45*12)+$AC$39,CapEx!$F$45&gt;1),SLN(CapEx!$C$45,CapEx!$G$45,CapEx!$F$45)/12,0)</f>
        <v>0</v>
      </c>
      <c r="AL39" s="295">
        <f>IF(AND(AL$3&gt;=$AC39,AL$3&lt;(CapEx!$F$45*12)+$AC$39,CapEx!$F$45&gt;1),SLN(CapEx!$C$45,CapEx!$G$45,CapEx!$F$45)/12,0)</f>
        <v>0</v>
      </c>
      <c r="AM39" s="295">
        <f>IF(AND(AM$3&gt;=$AC39,AM$3&lt;(CapEx!$F$45*12)+$AC$39,CapEx!$F$45&gt;1),SLN(CapEx!$C$45,CapEx!$G$45,CapEx!$F$45)/12,0)</f>
        <v>0</v>
      </c>
      <c r="AN39" s="295">
        <f>IF(AND(AN$3&gt;=$AC39,AN$3&lt;(CapEx!$F$45*12)+$AC$39,CapEx!$F$45&gt;1),SLN(CapEx!$C$45,CapEx!$G$45,CapEx!$F$45)/12,0)</f>
        <v>0</v>
      </c>
      <c r="AO39" s="295">
        <f>IF(AND(AO$3&gt;=$AC39,AO$3&lt;(CapEx!$F$45*12)+$AC$39,CapEx!$F$45&gt;1),SLN(CapEx!$C$45,CapEx!$G$45,CapEx!$F$45)/12,0)</f>
        <v>0</v>
      </c>
      <c r="AP39" s="295">
        <f>IF(AND(AP$3&gt;=$AC39,AP$3&lt;(CapEx!$F$45*12)+$AC$39,CapEx!$F$45&gt;1),SLN(CapEx!$C$45,CapEx!$G$45,CapEx!$F$45)/12,0)</f>
        <v>0</v>
      </c>
      <c r="AQ39" s="295">
        <f>IF(AND(AQ$3&gt;=$AC39,AQ$3&lt;(CapEx!$F$45*12)+$AC$39,CapEx!$F$45&gt;1),SLN(CapEx!$C$45,CapEx!$G$45,CapEx!$F$45)/12,0)</f>
        <v>0</v>
      </c>
      <c r="AR39" s="295">
        <f>IF(AND(AR$3&gt;=$AC39,AR$3&lt;(CapEx!$F$45*12)+$AC$39,CapEx!$F$45&gt;1),SLN(CapEx!$C$45,CapEx!$G$45,CapEx!$F$45)/12,0)</f>
        <v>0</v>
      </c>
      <c r="AS39" s="295">
        <f>IF(AND(AS$3&gt;=$AC39,AS$3&lt;(CapEx!$F$45*12)+$AC$39,CapEx!$F$45&gt;1),SLN(CapEx!$C$45,CapEx!$G$45,CapEx!$F$45)/12,0)</f>
        <v>0</v>
      </c>
      <c r="AT39" s="295">
        <f>IF(AND(AT$3&gt;=$AC39,AT$3&lt;(CapEx!$F$45*12)+$AC$39,CapEx!$F$45&gt;1),SLN(CapEx!$C$45,CapEx!$G$45,CapEx!$F$45)/12,0)</f>
        <v>0</v>
      </c>
      <c r="AU39" s="295">
        <f>IF(AND(AU$3&gt;=$AC39,AU$3&lt;(CapEx!$F$45*12)+$AC$39,CapEx!$F$45&gt;1),SLN(CapEx!$C$45,CapEx!$G$45,CapEx!$F$45)/12,0)</f>
        <v>0</v>
      </c>
      <c r="AV39" s="295">
        <f>IF(AND(AV$3&gt;=$AC39,AV$3&lt;(CapEx!$F$45*12)+$AC$39,CapEx!$F$45&gt;1),SLN(CapEx!$C$45,CapEx!$G$45,CapEx!$F$45)/12,0)</f>
        <v>0</v>
      </c>
      <c r="AW39" s="295">
        <f>IF(AND(AW$3&gt;=$AC39,AW$3&lt;(CapEx!$F$45*12)+$AC$39,CapEx!$F$45&gt;1),SLN(CapEx!$C$45,CapEx!$G$45,CapEx!$F$45)/12,0)</f>
        <v>0</v>
      </c>
      <c r="AX39" s="295">
        <f>IF(AND(AX$3&gt;=$AC39,AX$3&lt;(CapEx!$F$45*12)+$AC$39,CapEx!$F$45&gt;1),SLN(CapEx!$C$45,CapEx!$G$45,CapEx!$F$45)/12,0)</f>
        <v>0</v>
      </c>
      <c r="AY39" s="295">
        <f>IF(AND(AY$3&gt;=$AC39,AY$3&lt;(CapEx!$F$45*12)+$AC$39,CapEx!$F$45&gt;1),SLN(CapEx!$C$45,CapEx!$G$45,CapEx!$F$45)/12,0)</f>
        <v>0</v>
      </c>
      <c r="AZ39" s="295">
        <f>IF(AND(AZ$3&gt;=$AC39,AZ$3&lt;(CapEx!$F$45*12)+$AC$39,CapEx!$F$45&gt;1),SLN(CapEx!$C$45,CapEx!$G$45,CapEx!$F$45)/12,0)</f>
        <v>0</v>
      </c>
      <c r="BA39" s="295">
        <f>IF(AND(BA$3&gt;=$AC39,BA$3&lt;(CapEx!$F$45*12)+$AC$39,CapEx!$F$45&gt;1),SLN(CapEx!$C$45,CapEx!$G$45,CapEx!$F$45)/12,0)</f>
        <v>0</v>
      </c>
      <c r="BB39" s="295">
        <f>IF(AND(BB$3&gt;=$AC39,BB$3&lt;(CapEx!$F$45*12)+$AC$39,CapEx!$F$45&gt;1),SLN(CapEx!$C$45,CapEx!$G$45,CapEx!$F$45)/12,0)</f>
        <v>0</v>
      </c>
      <c r="BC39" s="295">
        <f>IF(AND(BC$3&gt;=$AC39,BC$3&lt;(CapEx!$F$45*12)+$AC$39,CapEx!$F$45&gt;1),SLN(CapEx!$C$45,CapEx!$G$45,CapEx!$F$45)/12,0)</f>
        <v>0</v>
      </c>
      <c r="BD39" s="295">
        <f>IF(AND(BD$3&gt;=$AC39,BD$3&lt;(CapEx!$F$45*12)+$AC$39,CapEx!$F$45&gt;1),SLN(CapEx!$C$45,CapEx!$G$45,CapEx!$F$45)/12,0)</f>
        <v>0</v>
      </c>
      <c r="BE39" s="295">
        <f>IF(AND(BE$3&gt;=$AC39,BE$3&lt;(CapEx!$F$45*12)+$AC$39,CapEx!$F$45&gt;1),SLN(CapEx!$C$45,CapEx!$G$45,CapEx!$F$45)/12,0)</f>
        <v>0</v>
      </c>
      <c r="BF39" s="295">
        <f>IF(AND(BF$3&gt;=$AC39,BF$3&lt;(CapEx!$F$45*12)+$AC$39,CapEx!$F$45&gt;1),SLN(CapEx!$C$45,CapEx!$G$45,CapEx!$F$45)/12,0)</f>
        <v>0</v>
      </c>
      <c r="BG39" s="295">
        <f>IF(AND(BG$3&gt;=$AC39,BG$3&lt;(CapEx!$F$45*12)+$AC$39,CapEx!$F$45&gt;1),SLN(CapEx!$C$45,CapEx!$G$45,CapEx!$F$45)/12,0)</f>
        <v>0</v>
      </c>
      <c r="BH39" s="295">
        <f>IF(AND(BH$3&gt;=$AC39,BH$3&lt;(CapEx!$F$45*12)+$AC$39,CapEx!$F$45&gt;1),SLN(CapEx!$C$45,CapEx!$G$45,CapEx!$F$45)/12,0)</f>
        <v>0</v>
      </c>
      <c r="BI39" s="295">
        <f>IF(AND(BI$3&gt;=$AC39,BI$3&lt;(CapEx!$F$45*12)+$AC$39,CapEx!$F$45&gt;1),SLN(CapEx!$C$45,CapEx!$G$45,CapEx!$F$45)/12,0)</f>
        <v>0</v>
      </c>
      <c r="BJ39" s="295">
        <f>IF(AND(BJ$3&gt;=$AC39,BJ$3&lt;(CapEx!$F$45*12)+$AC$39,CapEx!$F$45&gt;1),SLN(CapEx!$C$45,CapEx!$G$45,CapEx!$F$45)/12,0)</f>
        <v>0</v>
      </c>
      <c r="BK39" s="295">
        <f>IF(AND(BK$3&gt;=$AC39,BK$3&lt;(CapEx!$F$45*12)+$AC$39,CapEx!$F$45&gt;1),SLN(CapEx!$C$45,CapEx!$G$45,CapEx!$F$45)/12,0)</f>
        <v>0</v>
      </c>
      <c r="BL39" s="295">
        <f>IF(AND(BL$3&gt;=$AC39,BL$3&lt;(CapEx!$F$45*12)+$AC$39,CapEx!$F$45&gt;1),SLN(CapEx!$C$45,CapEx!$G$45,CapEx!$F$45)/12,0)</f>
        <v>0</v>
      </c>
      <c r="BM39" s="295">
        <f>IF(AND(BM$3&gt;=$AC39,BM$3&lt;(CapEx!$F$45*12)+$AC$39,CapEx!$F$45&gt;1),SLN(CapEx!$C$45,CapEx!$G$45,CapEx!$F$45)/12,0)</f>
        <v>0</v>
      </c>
      <c r="BN39" s="295">
        <f>IF(AND(BN$3&gt;=$AC39,BN$3&lt;(CapEx!$F$45*12)+$AC$39,CapEx!$F$45&gt;1),SLN(CapEx!$C$45,CapEx!$G$45,CapEx!$F$45)/12,0)</f>
        <v>0</v>
      </c>
      <c r="BO39" s="295">
        <f>IF(AND(BO$3&gt;=$AC39,BO$3&lt;(CapEx!$F$45*12)+$AC$39,CapEx!$F$45&gt;1),SLN(CapEx!$C$45,CapEx!$G$45,CapEx!$F$45)/12,0)</f>
        <v>0</v>
      </c>
      <c r="BP39" s="295">
        <f>IF(AND(BP$3&gt;=$AC39,BP$3&lt;(CapEx!$F$45*12)+$AC$39,CapEx!$F$45&gt;1),SLN(CapEx!$C$45,CapEx!$G$45,CapEx!$F$45)/12,0)</f>
        <v>0</v>
      </c>
      <c r="BQ39" s="295">
        <f>IF(AND(BQ$3&gt;=$AC39,BQ$3&lt;(CapEx!$F$45*12)+$AC$39,CapEx!$F$45&gt;1),SLN(CapEx!$C$45,CapEx!$G$45,CapEx!$F$45)/12,0)</f>
        <v>0</v>
      </c>
      <c r="BR39" s="295">
        <f>IF(AND(BR$3&gt;=$AC39,BR$3&lt;(CapEx!$F$45*12)+$AC$39,CapEx!$F$45&gt;1),SLN(CapEx!$C$45,CapEx!$G$45,CapEx!$F$45)/12,0)</f>
        <v>0</v>
      </c>
      <c r="BS39" s="295">
        <f>IF(AND(BS$3&gt;=$AC39,BS$3&lt;(CapEx!$F$45*12)+$AC$39,CapEx!$F$45&gt;1),SLN(CapEx!$C$45,CapEx!$G$45,CapEx!$F$45)/12,0)</f>
        <v>0</v>
      </c>
      <c r="BT39" s="295">
        <f>IF(AND(BT$3&gt;=$AC39,BT$3&lt;(CapEx!$F$45*12)+$AC$39,CapEx!$F$45&gt;1),SLN(CapEx!$C$45,CapEx!$G$45,CapEx!$F$45)/12,0)</f>
        <v>0</v>
      </c>
      <c r="BU39" s="295">
        <f>IF(AND(BU$3&gt;=$AC39,BU$3&lt;(CapEx!$F$45*12)+$AC$39,CapEx!$F$45&gt;1),SLN(CapEx!$C$45,CapEx!$G$45,CapEx!$F$45)/12,0)</f>
        <v>0</v>
      </c>
      <c r="BV39" s="295">
        <f>IF(AND(BV$3&gt;=$AC39,BV$3&lt;(CapEx!$F$45*12)+$AC$39,CapEx!$F$45&gt;1),SLN(CapEx!$C$45,CapEx!$G$45,CapEx!$F$45)/12,0)</f>
        <v>0</v>
      </c>
      <c r="BW39" s="295">
        <f>IF(AND(BW$3&gt;=$AC39,BW$3&lt;(CapEx!$F$45*12)+$AC$39,CapEx!$F$45&gt;1),SLN(CapEx!$C$45,CapEx!$G$45,CapEx!$F$45)/12,0)</f>
        <v>0</v>
      </c>
      <c r="BX39" s="295">
        <f>IF(AND(BX$3&gt;=$AC39,BX$3&lt;(CapEx!$F$45*12)+$AC$39,CapEx!$F$45&gt;1),SLN(CapEx!$C$45,CapEx!$G$45,CapEx!$F$45)/12,0)</f>
        <v>0</v>
      </c>
      <c r="BY39" s="295">
        <f>IF(AND(BY$3&gt;=$AC39,BY$3&lt;(CapEx!$F$45*12)+$AC$39,CapEx!$F$45&gt;1),SLN(CapEx!$C$45,CapEx!$G$45,CapEx!$F$45)/12,0)</f>
        <v>0</v>
      </c>
      <c r="BZ39" s="295">
        <f>IF(AND(BZ$3&gt;=$AC39,BZ$3&lt;(CapEx!$F$45*12)+$AC$39,CapEx!$F$45&gt;1),SLN(CapEx!$C$45,CapEx!$G$45,CapEx!$F$45)/12,0)</f>
        <v>0</v>
      </c>
      <c r="CA39" s="295">
        <f>IF(AND(CA$3&gt;=$AC39,CA$3&lt;(CapEx!$F$45*12)+$AC$39,CapEx!$F$45&gt;1),SLN(CapEx!$C$45,CapEx!$G$45,CapEx!$F$45)/12,0)</f>
        <v>0</v>
      </c>
      <c r="CB39" s="295">
        <f>IF(AND(CB$3&gt;=$AC39,CB$3&lt;(CapEx!$F$45*12)+$AC$39,CapEx!$F$45&gt;1),SLN(CapEx!$C$45,CapEx!$G$45,CapEx!$F$45)/12,0)</f>
        <v>0</v>
      </c>
      <c r="CC39" s="295">
        <f>IF(AND(CC$3&gt;=$AC39,CC$3&lt;(CapEx!$F$45*12)+$AC$39,CapEx!$F$45&gt;1),SLN(CapEx!$C$45,CapEx!$G$45,CapEx!$F$45)/12,0)</f>
        <v>0</v>
      </c>
      <c r="CD39" s="295">
        <f>IF(AND(CD$3&gt;=$AC39,CD$3&lt;(CapEx!$F$45*12)+$AC$39,CapEx!$F$45&gt;1),SLN(CapEx!$C$45,CapEx!$G$45,CapEx!$F$45)/12,0)</f>
        <v>0</v>
      </c>
      <c r="CE39" s="295">
        <f>IF(AND(CE$3&gt;=$AC39,CE$3&lt;(CapEx!$F$45*12)+$AC$39,CapEx!$F$45&gt;1),SLN(CapEx!$C$45,CapEx!$G$45,CapEx!$F$45)/12,0)</f>
        <v>0</v>
      </c>
      <c r="CF39" s="295">
        <f>IF(AND(CF$3&gt;=$AC39,CF$3&lt;(CapEx!$F$45*12)+$AC$39,CapEx!$F$45&gt;1),SLN(CapEx!$C$45,CapEx!$G$45,CapEx!$F$45)/12,0)</f>
        <v>0</v>
      </c>
      <c r="CG39" s="295">
        <f>IF(AND(CG$3&gt;=$AC39,CG$3&lt;(CapEx!$F$45*12)+$AC$39,CapEx!$F$45&gt;1),SLN(CapEx!$C$45,CapEx!$G$45,CapEx!$F$45)/12,0)</f>
        <v>0</v>
      </c>
      <c r="CH39" s="295">
        <f>IF(AND(CH$3&gt;=$AC39,CH$3&lt;(CapEx!$F$45*12)+$AC$39,CapEx!$F$45&gt;1),SLN(CapEx!$C$45,CapEx!$G$45,CapEx!$F$45)/12,0)</f>
        <v>0</v>
      </c>
      <c r="CI39" s="295">
        <f>IF(AND(CI$3&gt;=$AC39,CI$3&lt;(CapEx!$F$45*12)+$AC$39,CapEx!$F$45&gt;1),SLN(CapEx!$C$45,CapEx!$G$45,CapEx!$F$45)/12,0)</f>
        <v>0</v>
      </c>
      <c r="CJ39" s="295">
        <f>IF(AND(CJ$3&gt;=$AC39,CJ$3&lt;(CapEx!$F$45*12)+$AC$39,CapEx!$F$45&gt;1),SLN(CapEx!$C$45,CapEx!$G$45,CapEx!$F$45)/12,0)</f>
        <v>0</v>
      </c>
      <c r="CK39" s="295">
        <f>IF(AND(CK$3&gt;=$AC39,CK$3&lt;(CapEx!$F$45*12)+$AC$39,CapEx!$F$45&gt;1),SLN(CapEx!$C$45,CapEx!$G$45,CapEx!$F$45)/12,0)</f>
        <v>0</v>
      </c>
    </row>
    <row r="40" spans="1:89">
      <c r="A40" s="828" t="s">
        <v>334</v>
      </c>
      <c r="Y40" s="79">
        <f>CapEx!F46</f>
        <v>1</v>
      </c>
      <c r="Z40" s="145" t="s">
        <v>246</v>
      </c>
      <c r="AA40" s="297">
        <v>37</v>
      </c>
      <c r="AB40">
        <f>CapEx!C46</f>
        <v>0</v>
      </c>
      <c r="AC40" s="79">
        <f>IF(AB40=0,1,DATEDIF($K$12,DATEVALUE("01-"&amp;CapEx!$D46&amp;"-"&amp;CapEx!$E46),"m")+1)</f>
        <v>1</v>
      </c>
      <c r="AD40" s="295">
        <f>IF(AND(AD$3&gt;=$AC40,AD$3&lt;(CapEx!$F$46*12)+$AC$40,CapEx!$F$46&gt;1),SLN(CapEx!$C$46,CapEx!$G$46,CapEx!$F$46)/12,0)</f>
        <v>0</v>
      </c>
      <c r="AE40" s="295">
        <f>IF(AND(AE$3&gt;=$AC40,AE$3&lt;(CapEx!$F$46*12)+$AC$40,CapEx!$F$46&gt;1),SLN(CapEx!$C$46,CapEx!$G$46,CapEx!$F$46)/12,0)</f>
        <v>0</v>
      </c>
      <c r="AF40" s="295">
        <f>IF(AND(AF$3&gt;=$AC40,AF$3&lt;(CapEx!$F$46*12)+$AC$40,CapEx!$F$46&gt;1),SLN(CapEx!$C$46,CapEx!$G$46,CapEx!$F$46)/12,0)</f>
        <v>0</v>
      </c>
      <c r="AG40" s="295">
        <f>IF(AND(AG$3&gt;=$AC40,AG$3&lt;(CapEx!$F$46*12)+$AC$40,CapEx!$F$46&gt;1),SLN(CapEx!$C$46,CapEx!$G$46,CapEx!$F$46)/12,0)</f>
        <v>0</v>
      </c>
      <c r="AH40" s="295">
        <f>IF(AND(AH$3&gt;=$AC40,AH$3&lt;(CapEx!$F$46*12)+$AC$40,CapEx!$F$46&gt;1),SLN(CapEx!$C$46,CapEx!$G$46,CapEx!$F$46)/12,0)</f>
        <v>0</v>
      </c>
      <c r="AI40" s="295">
        <f>IF(AND(AI$3&gt;=$AC40,AI$3&lt;(CapEx!$F$46*12)+$AC$40,CapEx!$F$46&gt;1),SLN(CapEx!$C$46,CapEx!$G$46,CapEx!$F$46)/12,0)</f>
        <v>0</v>
      </c>
      <c r="AJ40" s="295">
        <f>IF(AND(AJ$3&gt;=$AC40,AJ$3&lt;(CapEx!$F$46*12)+$AC$40,CapEx!$F$46&gt;1),SLN(CapEx!$C$46,CapEx!$G$46,CapEx!$F$46)/12,0)</f>
        <v>0</v>
      </c>
      <c r="AK40" s="295">
        <f>IF(AND(AK$3&gt;=$AC40,AK$3&lt;(CapEx!$F$46*12)+$AC$40,CapEx!$F$46&gt;1),SLN(CapEx!$C$46,CapEx!$G$46,CapEx!$F$46)/12,0)</f>
        <v>0</v>
      </c>
      <c r="AL40" s="295">
        <f>IF(AND(AL$3&gt;=$AC40,AL$3&lt;(CapEx!$F$46*12)+$AC$40,CapEx!$F$46&gt;1),SLN(CapEx!$C$46,CapEx!$G$46,CapEx!$F$46)/12,0)</f>
        <v>0</v>
      </c>
      <c r="AM40" s="295">
        <f>IF(AND(AM$3&gt;=$AC40,AM$3&lt;(CapEx!$F$46*12)+$AC$40,CapEx!$F$46&gt;1),SLN(CapEx!$C$46,CapEx!$G$46,CapEx!$F$46)/12,0)</f>
        <v>0</v>
      </c>
      <c r="AN40" s="295">
        <f>IF(AND(AN$3&gt;=$AC40,AN$3&lt;(CapEx!$F$46*12)+$AC$40,CapEx!$F$46&gt;1),SLN(CapEx!$C$46,CapEx!$G$46,CapEx!$F$46)/12,0)</f>
        <v>0</v>
      </c>
      <c r="AO40" s="295">
        <f>IF(AND(AO$3&gt;=$AC40,AO$3&lt;(CapEx!$F$46*12)+$AC$40,CapEx!$F$46&gt;1),SLN(CapEx!$C$46,CapEx!$G$46,CapEx!$F$46)/12,0)</f>
        <v>0</v>
      </c>
      <c r="AP40" s="295">
        <f>IF(AND(AP$3&gt;=$AC40,AP$3&lt;(CapEx!$F$46*12)+$AC$40,CapEx!$F$46&gt;1),SLN(CapEx!$C$46,CapEx!$G$46,CapEx!$F$46)/12,0)</f>
        <v>0</v>
      </c>
      <c r="AQ40" s="295">
        <f>IF(AND(AQ$3&gt;=$AC40,AQ$3&lt;(CapEx!$F$46*12)+$AC$40,CapEx!$F$46&gt;1),SLN(CapEx!$C$46,CapEx!$G$46,CapEx!$F$46)/12,0)</f>
        <v>0</v>
      </c>
      <c r="AR40" s="295">
        <f>IF(AND(AR$3&gt;=$AC40,AR$3&lt;(CapEx!$F$46*12)+$AC$40,CapEx!$F$46&gt;1),SLN(CapEx!$C$46,CapEx!$G$46,CapEx!$F$46)/12,0)</f>
        <v>0</v>
      </c>
      <c r="AS40" s="295">
        <f>IF(AND(AS$3&gt;=$AC40,AS$3&lt;(CapEx!$F$46*12)+$AC$40,CapEx!$F$46&gt;1),SLN(CapEx!$C$46,CapEx!$G$46,CapEx!$F$46)/12,0)</f>
        <v>0</v>
      </c>
      <c r="AT40" s="295">
        <f>IF(AND(AT$3&gt;=$AC40,AT$3&lt;(CapEx!$F$46*12)+$AC$40,CapEx!$F$46&gt;1),SLN(CapEx!$C$46,CapEx!$G$46,CapEx!$F$46)/12,0)</f>
        <v>0</v>
      </c>
      <c r="AU40" s="295">
        <f>IF(AND(AU$3&gt;=$AC40,AU$3&lt;(CapEx!$F$46*12)+$AC$40,CapEx!$F$46&gt;1),SLN(CapEx!$C$46,CapEx!$G$46,CapEx!$F$46)/12,0)</f>
        <v>0</v>
      </c>
      <c r="AV40" s="295">
        <f>IF(AND(AV$3&gt;=$AC40,AV$3&lt;(CapEx!$F$46*12)+$AC$40,CapEx!$F$46&gt;1),SLN(CapEx!$C$46,CapEx!$G$46,CapEx!$F$46)/12,0)</f>
        <v>0</v>
      </c>
      <c r="AW40" s="295">
        <f>IF(AND(AW$3&gt;=$AC40,AW$3&lt;(CapEx!$F$46*12)+$AC$40,CapEx!$F$46&gt;1),SLN(CapEx!$C$46,CapEx!$G$46,CapEx!$F$46)/12,0)</f>
        <v>0</v>
      </c>
      <c r="AX40" s="295">
        <f>IF(AND(AX$3&gt;=$AC40,AX$3&lt;(CapEx!$F$46*12)+$AC$40,CapEx!$F$46&gt;1),SLN(CapEx!$C$46,CapEx!$G$46,CapEx!$F$46)/12,0)</f>
        <v>0</v>
      </c>
      <c r="AY40" s="295">
        <f>IF(AND(AY$3&gt;=$AC40,AY$3&lt;(CapEx!$F$46*12)+$AC$40,CapEx!$F$46&gt;1),SLN(CapEx!$C$46,CapEx!$G$46,CapEx!$F$46)/12,0)</f>
        <v>0</v>
      </c>
      <c r="AZ40" s="295">
        <f>IF(AND(AZ$3&gt;=$AC40,AZ$3&lt;(CapEx!$F$46*12)+$AC$40,CapEx!$F$46&gt;1),SLN(CapEx!$C$46,CapEx!$G$46,CapEx!$F$46)/12,0)</f>
        <v>0</v>
      </c>
      <c r="BA40" s="295">
        <f>IF(AND(BA$3&gt;=$AC40,BA$3&lt;(CapEx!$F$46*12)+$AC$40,CapEx!$F$46&gt;1),SLN(CapEx!$C$46,CapEx!$G$46,CapEx!$F$46)/12,0)</f>
        <v>0</v>
      </c>
      <c r="BB40" s="295">
        <f>IF(AND(BB$3&gt;=$AC40,BB$3&lt;(CapEx!$F$46*12)+$AC$40,CapEx!$F$46&gt;1),SLN(CapEx!$C$46,CapEx!$G$46,CapEx!$F$46)/12,0)</f>
        <v>0</v>
      </c>
      <c r="BC40" s="295">
        <f>IF(AND(BC$3&gt;=$AC40,BC$3&lt;(CapEx!$F$46*12)+$AC$40,CapEx!$F$46&gt;1),SLN(CapEx!$C$46,CapEx!$G$46,CapEx!$F$46)/12,0)</f>
        <v>0</v>
      </c>
      <c r="BD40" s="295">
        <f>IF(AND(BD$3&gt;=$AC40,BD$3&lt;(CapEx!$F$46*12)+$AC$40,CapEx!$F$46&gt;1),SLN(CapEx!$C$46,CapEx!$G$46,CapEx!$F$46)/12,0)</f>
        <v>0</v>
      </c>
      <c r="BE40" s="295">
        <f>IF(AND(BE$3&gt;=$AC40,BE$3&lt;(CapEx!$F$46*12)+$AC$40,CapEx!$F$46&gt;1),SLN(CapEx!$C$46,CapEx!$G$46,CapEx!$F$46)/12,0)</f>
        <v>0</v>
      </c>
      <c r="BF40" s="295">
        <f>IF(AND(BF$3&gt;=$AC40,BF$3&lt;(CapEx!$F$46*12)+$AC$40,CapEx!$F$46&gt;1),SLN(CapEx!$C$46,CapEx!$G$46,CapEx!$F$46)/12,0)</f>
        <v>0</v>
      </c>
      <c r="BG40" s="295">
        <f>IF(AND(BG$3&gt;=$AC40,BG$3&lt;(CapEx!$F$46*12)+$AC$40,CapEx!$F$46&gt;1),SLN(CapEx!$C$46,CapEx!$G$46,CapEx!$F$46)/12,0)</f>
        <v>0</v>
      </c>
      <c r="BH40" s="295">
        <f>IF(AND(BH$3&gt;=$AC40,BH$3&lt;(CapEx!$F$46*12)+$AC$40,CapEx!$F$46&gt;1),SLN(CapEx!$C$46,CapEx!$G$46,CapEx!$F$46)/12,0)</f>
        <v>0</v>
      </c>
      <c r="BI40" s="295">
        <f>IF(AND(BI$3&gt;=$AC40,BI$3&lt;(CapEx!$F$46*12)+$AC$40,CapEx!$F$46&gt;1),SLN(CapEx!$C$46,CapEx!$G$46,CapEx!$F$46)/12,0)</f>
        <v>0</v>
      </c>
      <c r="BJ40" s="295">
        <f>IF(AND(BJ$3&gt;=$AC40,BJ$3&lt;(CapEx!$F$46*12)+$AC$40,CapEx!$F$46&gt;1),SLN(CapEx!$C$46,CapEx!$G$46,CapEx!$F$46)/12,0)</f>
        <v>0</v>
      </c>
      <c r="BK40" s="295">
        <f>IF(AND(BK$3&gt;=$AC40,BK$3&lt;(CapEx!$F$46*12)+$AC$40,CapEx!$F$46&gt;1),SLN(CapEx!$C$46,CapEx!$G$46,CapEx!$F$46)/12,0)</f>
        <v>0</v>
      </c>
      <c r="BL40" s="295">
        <f>IF(AND(BL$3&gt;=$AC40,BL$3&lt;(CapEx!$F$46*12)+$AC$40,CapEx!$F$46&gt;1),SLN(CapEx!$C$46,CapEx!$G$46,CapEx!$F$46)/12,0)</f>
        <v>0</v>
      </c>
      <c r="BM40" s="295">
        <f>IF(AND(BM$3&gt;=$AC40,BM$3&lt;(CapEx!$F$46*12)+$AC$40,CapEx!$F$46&gt;1),SLN(CapEx!$C$46,CapEx!$G$46,CapEx!$F$46)/12,0)</f>
        <v>0</v>
      </c>
      <c r="BN40" s="295">
        <f>IF(AND(BN$3&gt;=$AC40,BN$3&lt;(CapEx!$F$46*12)+$AC$40,CapEx!$F$46&gt;1),SLN(CapEx!$C$46,CapEx!$G$46,CapEx!$F$46)/12,0)</f>
        <v>0</v>
      </c>
      <c r="BO40" s="295">
        <f>IF(AND(BO$3&gt;=$AC40,BO$3&lt;(CapEx!$F$46*12)+$AC$40,CapEx!$F$46&gt;1),SLN(CapEx!$C$46,CapEx!$G$46,CapEx!$F$46)/12,0)</f>
        <v>0</v>
      </c>
      <c r="BP40" s="295">
        <f>IF(AND(BP$3&gt;=$AC40,BP$3&lt;(CapEx!$F$46*12)+$AC$40,CapEx!$F$46&gt;1),SLN(CapEx!$C$46,CapEx!$G$46,CapEx!$F$46)/12,0)</f>
        <v>0</v>
      </c>
      <c r="BQ40" s="295">
        <f>IF(AND(BQ$3&gt;=$AC40,BQ$3&lt;(CapEx!$F$46*12)+$AC$40,CapEx!$F$46&gt;1),SLN(CapEx!$C$46,CapEx!$G$46,CapEx!$F$46)/12,0)</f>
        <v>0</v>
      </c>
      <c r="BR40" s="295">
        <f>IF(AND(BR$3&gt;=$AC40,BR$3&lt;(CapEx!$F$46*12)+$AC$40,CapEx!$F$46&gt;1),SLN(CapEx!$C$46,CapEx!$G$46,CapEx!$F$46)/12,0)</f>
        <v>0</v>
      </c>
      <c r="BS40" s="295">
        <f>IF(AND(BS$3&gt;=$AC40,BS$3&lt;(CapEx!$F$46*12)+$AC$40,CapEx!$F$46&gt;1),SLN(CapEx!$C$46,CapEx!$G$46,CapEx!$F$46)/12,0)</f>
        <v>0</v>
      </c>
      <c r="BT40" s="295">
        <f>IF(AND(BT$3&gt;=$AC40,BT$3&lt;(CapEx!$F$46*12)+$AC$40,CapEx!$F$46&gt;1),SLN(CapEx!$C$46,CapEx!$G$46,CapEx!$F$46)/12,0)</f>
        <v>0</v>
      </c>
      <c r="BU40" s="295">
        <f>IF(AND(BU$3&gt;=$AC40,BU$3&lt;(CapEx!$F$46*12)+$AC$40,CapEx!$F$46&gt;1),SLN(CapEx!$C$46,CapEx!$G$46,CapEx!$F$46)/12,0)</f>
        <v>0</v>
      </c>
      <c r="BV40" s="295">
        <f>IF(AND(BV$3&gt;=$AC40,BV$3&lt;(CapEx!$F$46*12)+$AC$40,CapEx!$F$46&gt;1),SLN(CapEx!$C$46,CapEx!$G$46,CapEx!$F$46)/12,0)</f>
        <v>0</v>
      </c>
      <c r="BW40" s="295">
        <f>IF(AND(BW$3&gt;=$AC40,BW$3&lt;(CapEx!$F$46*12)+$AC$40,CapEx!$F$46&gt;1),SLN(CapEx!$C$46,CapEx!$G$46,CapEx!$F$46)/12,0)</f>
        <v>0</v>
      </c>
      <c r="BX40" s="295">
        <f>IF(AND(BX$3&gt;=$AC40,BX$3&lt;(CapEx!$F$46*12)+$AC$40,CapEx!$F$46&gt;1),SLN(CapEx!$C$46,CapEx!$G$46,CapEx!$F$46)/12,0)</f>
        <v>0</v>
      </c>
      <c r="BY40" s="295">
        <f>IF(AND(BY$3&gt;=$AC40,BY$3&lt;(CapEx!$F$46*12)+$AC$40,CapEx!$F$46&gt;1),SLN(CapEx!$C$46,CapEx!$G$46,CapEx!$F$46)/12,0)</f>
        <v>0</v>
      </c>
      <c r="BZ40" s="295">
        <f>IF(AND(BZ$3&gt;=$AC40,BZ$3&lt;(CapEx!$F$46*12)+$AC$40,CapEx!$F$46&gt;1),SLN(CapEx!$C$46,CapEx!$G$46,CapEx!$F$46)/12,0)</f>
        <v>0</v>
      </c>
      <c r="CA40" s="295">
        <f>IF(AND(CA$3&gt;=$AC40,CA$3&lt;(CapEx!$F$46*12)+$AC$40,CapEx!$F$46&gt;1),SLN(CapEx!$C$46,CapEx!$G$46,CapEx!$F$46)/12,0)</f>
        <v>0</v>
      </c>
      <c r="CB40" s="295">
        <f>IF(AND(CB$3&gt;=$AC40,CB$3&lt;(CapEx!$F$46*12)+$AC$40,CapEx!$F$46&gt;1),SLN(CapEx!$C$46,CapEx!$G$46,CapEx!$F$46)/12,0)</f>
        <v>0</v>
      </c>
      <c r="CC40" s="295">
        <f>IF(AND(CC$3&gt;=$AC40,CC$3&lt;(CapEx!$F$46*12)+$AC$40,CapEx!$F$46&gt;1),SLN(CapEx!$C$46,CapEx!$G$46,CapEx!$F$46)/12,0)</f>
        <v>0</v>
      </c>
      <c r="CD40" s="295">
        <f>IF(AND(CD$3&gt;=$AC40,CD$3&lt;(CapEx!$F$46*12)+$AC$40,CapEx!$F$46&gt;1),SLN(CapEx!$C$46,CapEx!$G$46,CapEx!$F$46)/12,0)</f>
        <v>0</v>
      </c>
      <c r="CE40" s="295">
        <f>IF(AND(CE$3&gt;=$AC40,CE$3&lt;(CapEx!$F$46*12)+$AC$40,CapEx!$F$46&gt;1),SLN(CapEx!$C$46,CapEx!$G$46,CapEx!$F$46)/12,0)</f>
        <v>0</v>
      </c>
      <c r="CF40" s="295">
        <f>IF(AND(CF$3&gt;=$AC40,CF$3&lt;(CapEx!$F$46*12)+$AC$40,CapEx!$F$46&gt;1),SLN(CapEx!$C$46,CapEx!$G$46,CapEx!$F$46)/12,0)</f>
        <v>0</v>
      </c>
      <c r="CG40" s="295">
        <f>IF(AND(CG$3&gt;=$AC40,CG$3&lt;(CapEx!$F$46*12)+$AC$40,CapEx!$F$46&gt;1),SLN(CapEx!$C$46,CapEx!$G$46,CapEx!$F$46)/12,0)</f>
        <v>0</v>
      </c>
      <c r="CH40" s="295">
        <f>IF(AND(CH$3&gt;=$AC40,CH$3&lt;(CapEx!$F$46*12)+$AC$40,CapEx!$F$46&gt;1),SLN(CapEx!$C$46,CapEx!$G$46,CapEx!$F$46)/12,0)</f>
        <v>0</v>
      </c>
      <c r="CI40" s="295">
        <f>IF(AND(CI$3&gt;=$AC40,CI$3&lt;(CapEx!$F$46*12)+$AC$40,CapEx!$F$46&gt;1),SLN(CapEx!$C$46,CapEx!$G$46,CapEx!$F$46)/12,0)</f>
        <v>0</v>
      </c>
      <c r="CJ40" s="295">
        <f>IF(AND(CJ$3&gt;=$AC40,CJ$3&lt;(CapEx!$F$46*12)+$AC$40,CapEx!$F$46&gt;1),SLN(CapEx!$C$46,CapEx!$G$46,CapEx!$F$46)/12,0)</f>
        <v>0</v>
      </c>
      <c r="CK40" s="295">
        <f>IF(AND(CK$3&gt;=$AC40,CK$3&lt;(CapEx!$F$46*12)+$AC$40,CapEx!$F$46&gt;1),SLN(CapEx!$C$46,CapEx!$G$46,CapEx!$F$46)/12,0)</f>
        <v>0</v>
      </c>
    </row>
    <row r="41" spans="1:89">
      <c r="A41" t="s">
        <v>7</v>
      </c>
      <c r="Y41" s="79">
        <f>CapEx!F47</f>
        <v>1</v>
      </c>
      <c r="Z41" s="145" t="s">
        <v>246</v>
      </c>
      <c r="AA41" s="297">
        <v>38</v>
      </c>
      <c r="AB41">
        <f>CapEx!C47</f>
        <v>0</v>
      </c>
      <c r="AC41" s="79">
        <f>IF(AB41=0,1,DATEDIF($K$12,DATEVALUE("01-"&amp;CapEx!$D47&amp;"-"&amp;CapEx!$E47),"m")+1)</f>
        <v>1</v>
      </c>
      <c r="AD41" s="295">
        <f>IF(AND(AD$3&gt;=$AC41,AD$3&lt;(CapEx!$F$47*12)+$AC$41,CapEx!$F$47&gt;1),SLN(CapEx!$C$47,CapEx!$G$47,CapEx!$F$47)/12,0)</f>
        <v>0</v>
      </c>
      <c r="AE41" s="295">
        <f>IF(AND(AE$3&gt;=$AC41,AE$3&lt;(CapEx!$F$47*12)+$AC$41,CapEx!$F$47&gt;1),SLN(CapEx!$C$47,CapEx!$G$47,CapEx!$F$47)/12,0)</f>
        <v>0</v>
      </c>
      <c r="AF41" s="295">
        <f>IF(AND(AF$3&gt;=$AC41,AF$3&lt;(CapEx!$F$47*12)+$AC$41,CapEx!$F$47&gt;1),SLN(CapEx!$C$47,CapEx!$G$47,CapEx!$F$47)/12,0)</f>
        <v>0</v>
      </c>
      <c r="AG41" s="295">
        <f>IF(AND(AG$3&gt;=$AC41,AG$3&lt;(CapEx!$F$47*12)+$AC$41,CapEx!$F$47&gt;1),SLN(CapEx!$C$47,CapEx!$G$47,CapEx!$F$47)/12,0)</f>
        <v>0</v>
      </c>
      <c r="AH41" s="295">
        <f>IF(AND(AH$3&gt;=$AC41,AH$3&lt;(CapEx!$F$47*12)+$AC$41,CapEx!$F$47&gt;1),SLN(CapEx!$C$47,CapEx!$G$47,CapEx!$F$47)/12,0)</f>
        <v>0</v>
      </c>
      <c r="AI41" s="295">
        <f>IF(AND(AI$3&gt;=$AC41,AI$3&lt;(CapEx!$F$47*12)+$AC$41,CapEx!$F$47&gt;1),SLN(CapEx!$C$47,CapEx!$G$47,CapEx!$F$47)/12,0)</f>
        <v>0</v>
      </c>
      <c r="AJ41" s="295">
        <f>IF(AND(AJ$3&gt;=$AC41,AJ$3&lt;(CapEx!$F$47*12)+$AC$41,CapEx!$F$47&gt;1),SLN(CapEx!$C$47,CapEx!$G$47,CapEx!$F$47)/12,0)</f>
        <v>0</v>
      </c>
      <c r="AK41" s="295">
        <f>IF(AND(AK$3&gt;=$AC41,AK$3&lt;(CapEx!$F$47*12)+$AC$41,CapEx!$F$47&gt;1),SLN(CapEx!$C$47,CapEx!$G$47,CapEx!$F$47)/12,0)</f>
        <v>0</v>
      </c>
      <c r="AL41" s="295">
        <f>IF(AND(AL$3&gt;=$AC41,AL$3&lt;(CapEx!$F$47*12)+$AC$41,CapEx!$F$47&gt;1),SLN(CapEx!$C$47,CapEx!$G$47,CapEx!$F$47)/12,0)</f>
        <v>0</v>
      </c>
      <c r="AM41" s="295">
        <f>IF(AND(AM$3&gt;=$AC41,AM$3&lt;(CapEx!$F$47*12)+$AC$41,CapEx!$F$47&gt;1),SLN(CapEx!$C$47,CapEx!$G$47,CapEx!$F$47)/12,0)</f>
        <v>0</v>
      </c>
      <c r="AN41" s="295">
        <f>IF(AND(AN$3&gt;=$AC41,AN$3&lt;(CapEx!$F$47*12)+$AC$41,CapEx!$F$47&gt;1),SLN(CapEx!$C$47,CapEx!$G$47,CapEx!$F$47)/12,0)</f>
        <v>0</v>
      </c>
      <c r="AO41" s="295">
        <f>IF(AND(AO$3&gt;=$AC41,AO$3&lt;(CapEx!$F$47*12)+$AC$41,CapEx!$F$47&gt;1),SLN(CapEx!$C$47,CapEx!$G$47,CapEx!$F$47)/12,0)</f>
        <v>0</v>
      </c>
      <c r="AP41" s="295">
        <f>IF(AND(AP$3&gt;=$AC41,AP$3&lt;(CapEx!$F$47*12)+$AC$41,CapEx!$F$47&gt;1),SLN(CapEx!$C$47,CapEx!$G$47,CapEx!$F$47)/12,0)</f>
        <v>0</v>
      </c>
      <c r="AQ41" s="295">
        <f>IF(AND(AQ$3&gt;=$AC41,AQ$3&lt;(CapEx!$F$47*12)+$AC$41,CapEx!$F$47&gt;1),SLN(CapEx!$C$47,CapEx!$G$47,CapEx!$F$47)/12,0)</f>
        <v>0</v>
      </c>
      <c r="AR41" s="295">
        <f>IF(AND(AR$3&gt;=$AC41,AR$3&lt;(CapEx!$F$47*12)+$AC$41,CapEx!$F$47&gt;1),SLN(CapEx!$C$47,CapEx!$G$47,CapEx!$F$47)/12,0)</f>
        <v>0</v>
      </c>
      <c r="AS41" s="295">
        <f>IF(AND(AS$3&gt;=$AC41,AS$3&lt;(CapEx!$F$47*12)+$AC$41,CapEx!$F$47&gt;1),SLN(CapEx!$C$47,CapEx!$G$47,CapEx!$F$47)/12,0)</f>
        <v>0</v>
      </c>
      <c r="AT41" s="295">
        <f>IF(AND(AT$3&gt;=$AC41,AT$3&lt;(CapEx!$F$47*12)+$AC$41,CapEx!$F$47&gt;1),SLN(CapEx!$C$47,CapEx!$G$47,CapEx!$F$47)/12,0)</f>
        <v>0</v>
      </c>
      <c r="AU41" s="295">
        <f>IF(AND(AU$3&gt;=$AC41,AU$3&lt;(CapEx!$F$47*12)+$AC$41,CapEx!$F$47&gt;1),SLN(CapEx!$C$47,CapEx!$G$47,CapEx!$F$47)/12,0)</f>
        <v>0</v>
      </c>
      <c r="AV41" s="295">
        <f>IF(AND(AV$3&gt;=$AC41,AV$3&lt;(CapEx!$F$47*12)+$AC$41,CapEx!$F$47&gt;1),SLN(CapEx!$C$47,CapEx!$G$47,CapEx!$F$47)/12,0)</f>
        <v>0</v>
      </c>
      <c r="AW41" s="295">
        <f>IF(AND(AW$3&gt;=$AC41,AW$3&lt;(CapEx!$F$47*12)+$AC$41,CapEx!$F$47&gt;1),SLN(CapEx!$C$47,CapEx!$G$47,CapEx!$F$47)/12,0)</f>
        <v>0</v>
      </c>
      <c r="AX41" s="295">
        <f>IF(AND(AX$3&gt;=$AC41,AX$3&lt;(CapEx!$F$47*12)+$AC$41,CapEx!$F$47&gt;1),SLN(CapEx!$C$47,CapEx!$G$47,CapEx!$F$47)/12,0)</f>
        <v>0</v>
      </c>
      <c r="AY41" s="295">
        <f>IF(AND(AY$3&gt;=$AC41,AY$3&lt;(CapEx!$F$47*12)+$AC$41,CapEx!$F$47&gt;1),SLN(CapEx!$C$47,CapEx!$G$47,CapEx!$F$47)/12,0)</f>
        <v>0</v>
      </c>
      <c r="AZ41" s="295">
        <f>IF(AND(AZ$3&gt;=$AC41,AZ$3&lt;(CapEx!$F$47*12)+$AC$41,CapEx!$F$47&gt;1),SLN(CapEx!$C$47,CapEx!$G$47,CapEx!$F$47)/12,0)</f>
        <v>0</v>
      </c>
      <c r="BA41" s="295">
        <f>IF(AND(BA$3&gt;=$AC41,BA$3&lt;(CapEx!$F$47*12)+$AC$41,CapEx!$F$47&gt;1),SLN(CapEx!$C$47,CapEx!$G$47,CapEx!$F$47)/12,0)</f>
        <v>0</v>
      </c>
      <c r="BB41" s="295">
        <f>IF(AND(BB$3&gt;=$AC41,BB$3&lt;(CapEx!$F$47*12)+$AC$41,CapEx!$F$47&gt;1),SLN(CapEx!$C$47,CapEx!$G$47,CapEx!$F$47)/12,0)</f>
        <v>0</v>
      </c>
      <c r="BC41" s="295">
        <f>IF(AND(BC$3&gt;=$AC41,BC$3&lt;(CapEx!$F$47*12)+$AC$41,CapEx!$F$47&gt;1),SLN(CapEx!$C$47,CapEx!$G$47,CapEx!$F$47)/12,0)</f>
        <v>0</v>
      </c>
      <c r="BD41" s="295">
        <f>IF(AND(BD$3&gt;=$AC41,BD$3&lt;(CapEx!$F$47*12)+$AC$41,CapEx!$F$47&gt;1),SLN(CapEx!$C$47,CapEx!$G$47,CapEx!$F$47)/12,0)</f>
        <v>0</v>
      </c>
      <c r="BE41" s="295">
        <f>IF(AND(BE$3&gt;=$AC41,BE$3&lt;(CapEx!$F$47*12)+$AC$41,CapEx!$F$47&gt;1),SLN(CapEx!$C$47,CapEx!$G$47,CapEx!$F$47)/12,0)</f>
        <v>0</v>
      </c>
      <c r="BF41" s="295">
        <f>IF(AND(BF$3&gt;=$AC41,BF$3&lt;(CapEx!$F$47*12)+$AC$41,CapEx!$F$47&gt;1),SLN(CapEx!$C$47,CapEx!$G$47,CapEx!$F$47)/12,0)</f>
        <v>0</v>
      </c>
      <c r="BG41" s="295">
        <f>IF(AND(BG$3&gt;=$AC41,BG$3&lt;(CapEx!$F$47*12)+$AC$41,CapEx!$F$47&gt;1),SLN(CapEx!$C$47,CapEx!$G$47,CapEx!$F$47)/12,0)</f>
        <v>0</v>
      </c>
      <c r="BH41" s="295">
        <f>IF(AND(BH$3&gt;=$AC41,BH$3&lt;(CapEx!$F$47*12)+$AC$41,CapEx!$F$47&gt;1),SLN(CapEx!$C$47,CapEx!$G$47,CapEx!$F$47)/12,0)</f>
        <v>0</v>
      </c>
      <c r="BI41" s="295">
        <f>IF(AND(BI$3&gt;=$AC41,BI$3&lt;(CapEx!$F$47*12)+$AC$41,CapEx!$F$47&gt;1),SLN(CapEx!$C$47,CapEx!$G$47,CapEx!$F$47)/12,0)</f>
        <v>0</v>
      </c>
      <c r="BJ41" s="295">
        <f>IF(AND(BJ$3&gt;=$AC41,BJ$3&lt;(CapEx!$F$47*12)+$AC$41,CapEx!$F$47&gt;1),SLN(CapEx!$C$47,CapEx!$G$47,CapEx!$F$47)/12,0)</f>
        <v>0</v>
      </c>
      <c r="BK41" s="295">
        <f>IF(AND(BK$3&gt;=$AC41,BK$3&lt;(CapEx!$F$47*12)+$AC$41,CapEx!$F$47&gt;1),SLN(CapEx!$C$47,CapEx!$G$47,CapEx!$F$47)/12,0)</f>
        <v>0</v>
      </c>
      <c r="BL41" s="295">
        <f>IF(AND(BL$3&gt;=$AC41,BL$3&lt;(CapEx!$F$47*12)+$AC$41,CapEx!$F$47&gt;1),SLN(CapEx!$C$47,CapEx!$G$47,CapEx!$F$47)/12,0)</f>
        <v>0</v>
      </c>
      <c r="BM41" s="295">
        <f>IF(AND(BM$3&gt;=$AC41,BM$3&lt;(CapEx!$F$47*12)+$AC$41,CapEx!$F$47&gt;1),SLN(CapEx!$C$47,CapEx!$G$47,CapEx!$F$47)/12,0)</f>
        <v>0</v>
      </c>
      <c r="BN41" s="295">
        <f>IF(AND(BN$3&gt;=$AC41,BN$3&lt;(CapEx!$F$47*12)+$AC$41,CapEx!$F$47&gt;1),SLN(CapEx!$C$47,CapEx!$G$47,CapEx!$F$47)/12,0)</f>
        <v>0</v>
      </c>
      <c r="BO41" s="295">
        <f>IF(AND(BO$3&gt;=$AC41,BO$3&lt;(CapEx!$F$47*12)+$AC$41,CapEx!$F$47&gt;1),SLN(CapEx!$C$47,CapEx!$G$47,CapEx!$F$47)/12,0)</f>
        <v>0</v>
      </c>
      <c r="BP41" s="295">
        <f>IF(AND(BP$3&gt;=$AC41,BP$3&lt;(CapEx!$F$47*12)+$AC$41,CapEx!$F$47&gt;1),SLN(CapEx!$C$47,CapEx!$G$47,CapEx!$F$47)/12,0)</f>
        <v>0</v>
      </c>
      <c r="BQ41" s="295">
        <f>IF(AND(BQ$3&gt;=$AC41,BQ$3&lt;(CapEx!$F$47*12)+$AC$41,CapEx!$F$47&gt;1),SLN(CapEx!$C$47,CapEx!$G$47,CapEx!$F$47)/12,0)</f>
        <v>0</v>
      </c>
      <c r="BR41" s="295">
        <f>IF(AND(BR$3&gt;=$AC41,BR$3&lt;(CapEx!$F$47*12)+$AC$41,CapEx!$F$47&gt;1),SLN(CapEx!$C$47,CapEx!$G$47,CapEx!$F$47)/12,0)</f>
        <v>0</v>
      </c>
      <c r="BS41" s="295">
        <f>IF(AND(BS$3&gt;=$AC41,BS$3&lt;(CapEx!$F$47*12)+$AC$41,CapEx!$F$47&gt;1),SLN(CapEx!$C$47,CapEx!$G$47,CapEx!$F$47)/12,0)</f>
        <v>0</v>
      </c>
      <c r="BT41" s="295">
        <f>IF(AND(BT$3&gt;=$AC41,BT$3&lt;(CapEx!$F$47*12)+$AC$41,CapEx!$F$47&gt;1),SLN(CapEx!$C$47,CapEx!$G$47,CapEx!$F$47)/12,0)</f>
        <v>0</v>
      </c>
      <c r="BU41" s="295">
        <f>IF(AND(BU$3&gt;=$AC41,BU$3&lt;(CapEx!$F$47*12)+$AC$41,CapEx!$F$47&gt;1),SLN(CapEx!$C$47,CapEx!$G$47,CapEx!$F$47)/12,0)</f>
        <v>0</v>
      </c>
      <c r="BV41" s="295">
        <f>IF(AND(BV$3&gt;=$AC41,BV$3&lt;(CapEx!$F$47*12)+$AC$41,CapEx!$F$47&gt;1),SLN(CapEx!$C$47,CapEx!$G$47,CapEx!$F$47)/12,0)</f>
        <v>0</v>
      </c>
      <c r="BW41" s="295">
        <f>IF(AND(BW$3&gt;=$AC41,BW$3&lt;(CapEx!$F$47*12)+$AC$41,CapEx!$F$47&gt;1),SLN(CapEx!$C$47,CapEx!$G$47,CapEx!$F$47)/12,0)</f>
        <v>0</v>
      </c>
      <c r="BX41" s="295">
        <f>IF(AND(BX$3&gt;=$AC41,BX$3&lt;(CapEx!$F$47*12)+$AC$41,CapEx!$F$47&gt;1),SLN(CapEx!$C$47,CapEx!$G$47,CapEx!$F$47)/12,0)</f>
        <v>0</v>
      </c>
      <c r="BY41" s="295">
        <f>IF(AND(BY$3&gt;=$AC41,BY$3&lt;(CapEx!$F$47*12)+$AC$41,CapEx!$F$47&gt;1),SLN(CapEx!$C$47,CapEx!$G$47,CapEx!$F$47)/12,0)</f>
        <v>0</v>
      </c>
      <c r="BZ41" s="295">
        <f>IF(AND(BZ$3&gt;=$AC41,BZ$3&lt;(CapEx!$F$47*12)+$AC$41,CapEx!$F$47&gt;1),SLN(CapEx!$C$47,CapEx!$G$47,CapEx!$F$47)/12,0)</f>
        <v>0</v>
      </c>
      <c r="CA41" s="295">
        <f>IF(AND(CA$3&gt;=$AC41,CA$3&lt;(CapEx!$F$47*12)+$AC$41,CapEx!$F$47&gt;1),SLN(CapEx!$C$47,CapEx!$G$47,CapEx!$F$47)/12,0)</f>
        <v>0</v>
      </c>
      <c r="CB41" s="295">
        <f>IF(AND(CB$3&gt;=$AC41,CB$3&lt;(CapEx!$F$47*12)+$AC$41,CapEx!$F$47&gt;1),SLN(CapEx!$C$47,CapEx!$G$47,CapEx!$F$47)/12,0)</f>
        <v>0</v>
      </c>
      <c r="CC41" s="295">
        <f>IF(AND(CC$3&gt;=$AC41,CC$3&lt;(CapEx!$F$47*12)+$AC$41,CapEx!$F$47&gt;1),SLN(CapEx!$C$47,CapEx!$G$47,CapEx!$F$47)/12,0)</f>
        <v>0</v>
      </c>
      <c r="CD41" s="295">
        <f>IF(AND(CD$3&gt;=$AC41,CD$3&lt;(CapEx!$F$47*12)+$AC$41,CapEx!$F$47&gt;1),SLN(CapEx!$C$47,CapEx!$G$47,CapEx!$F$47)/12,0)</f>
        <v>0</v>
      </c>
      <c r="CE41" s="295">
        <f>IF(AND(CE$3&gt;=$AC41,CE$3&lt;(CapEx!$F$47*12)+$AC$41,CapEx!$F$47&gt;1),SLN(CapEx!$C$47,CapEx!$G$47,CapEx!$F$47)/12,0)</f>
        <v>0</v>
      </c>
      <c r="CF41" s="295">
        <f>IF(AND(CF$3&gt;=$AC41,CF$3&lt;(CapEx!$F$47*12)+$AC$41,CapEx!$F$47&gt;1),SLN(CapEx!$C$47,CapEx!$G$47,CapEx!$F$47)/12,0)</f>
        <v>0</v>
      </c>
      <c r="CG41" s="295">
        <f>IF(AND(CG$3&gt;=$AC41,CG$3&lt;(CapEx!$F$47*12)+$AC$41,CapEx!$F$47&gt;1),SLN(CapEx!$C$47,CapEx!$G$47,CapEx!$F$47)/12,0)</f>
        <v>0</v>
      </c>
      <c r="CH41" s="295">
        <f>IF(AND(CH$3&gt;=$AC41,CH$3&lt;(CapEx!$F$47*12)+$AC$41,CapEx!$F$47&gt;1),SLN(CapEx!$C$47,CapEx!$G$47,CapEx!$F$47)/12,0)</f>
        <v>0</v>
      </c>
      <c r="CI41" s="295">
        <f>IF(AND(CI$3&gt;=$AC41,CI$3&lt;(CapEx!$F$47*12)+$AC$41,CapEx!$F$47&gt;1),SLN(CapEx!$C$47,CapEx!$G$47,CapEx!$F$47)/12,0)</f>
        <v>0</v>
      </c>
      <c r="CJ41" s="295">
        <f>IF(AND(CJ$3&gt;=$AC41,CJ$3&lt;(CapEx!$F$47*12)+$AC$41,CapEx!$F$47&gt;1),SLN(CapEx!$C$47,CapEx!$G$47,CapEx!$F$47)/12,0)</f>
        <v>0</v>
      </c>
      <c r="CK41" s="295">
        <f>IF(AND(CK$3&gt;=$AC41,CK$3&lt;(CapEx!$F$47*12)+$AC$41,CapEx!$F$47&gt;1),SLN(CapEx!$C$47,CapEx!$G$47,CapEx!$F$47)/12,0)</f>
        <v>0</v>
      </c>
    </row>
    <row r="42" spans="1:89">
      <c r="A42" t="s">
        <v>8</v>
      </c>
      <c r="Y42" s="79">
        <f>CapEx!F48</f>
        <v>1</v>
      </c>
      <c r="Z42" s="145" t="s">
        <v>246</v>
      </c>
      <c r="AA42" s="297">
        <v>39</v>
      </c>
      <c r="AB42">
        <f>CapEx!C48</f>
        <v>0</v>
      </c>
      <c r="AC42" s="79">
        <f>IF(AB42=0,1,DATEDIF($K$12,DATEVALUE("01-"&amp;CapEx!$D48&amp;"-"&amp;CapEx!$E48),"m")+1)</f>
        <v>1</v>
      </c>
      <c r="AD42" s="295">
        <f>IF(AND(AD$3&gt;=$AC42,AD$3&lt;(CapEx!$F$48*12)+$AC$42,CapEx!$F$48&gt;1),SLN(CapEx!$C$48,CapEx!$G$48,CapEx!$F$48)/12,0)</f>
        <v>0</v>
      </c>
      <c r="AE42" s="295">
        <f>IF(AND(AE$3&gt;=$AC42,AE$3&lt;(CapEx!$F$48*12)+$AC$42,CapEx!$F$48&gt;1),SLN(CapEx!$C$48,CapEx!$G$48,CapEx!$F$48)/12,0)</f>
        <v>0</v>
      </c>
      <c r="AF42" s="295">
        <f>IF(AND(AF$3&gt;=$AC42,AF$3&lt;(CapEx!$F$48*12)+$AC$42,CapEx!$F$48&gt;1),SLN(CapEx!$C$48,CapEx!$G$48,CapEx!$F$48)/12,0)</f>
        <v>0</v>
      </c>
      <c r="AG42" s="295">
        <f>IF(AND(AG$3&gt;=$AC42,AG$3&lt;(CapEx!$F$48*12)+$AC$42,CapEx!$F$48&gt;1),SLN(CapEx!$C$48,CapEx!$G$48,CapEx!$F$48)/12,0)</f>
        <v>0</v>
      </c>
      <c r="AH42" s="295">
        <f>IF(AND(AH$3&gt;=$AC42,AH$3&lt;(CapEx!$F$48*12)+$AC$42,CapEx!$F$48&gt;1),SLN(CapEx!$C$48,CapEx!$G$48,CapEx!$F$48)/12,0)</f>
        <v>0</v>
      </c>
      <c r="AI42" s="295">
        <f>IF(AND(AI$3&gt;=$AC42,AI$3&lt;(CapEx!$F$48*12)+$AC$42,CapEx!$F$48&gt;1),SLN(CapEx!$C$48,CapEx!$G$48,CapEx!$F$48)/12,0)</f>
        <v>0</v>
      </c>
      <c r="AJ42" s="295">
        <f>IF(AND(AJ$3&gt;=$AC42,AJ$3&lt;(CapEx!$F$48*12)+$AC$42,CapEx!$F$48&gt;1),SLN(CapEx!$C$48,CapEx!$G$48,CapEx!$F$48)/12,0)</f>
        <v>0</v>
      </c>
      <c r="AK42" s="295">
        <f>IF(AND(AK$3&gt;=$AC42,AK$3&lt;(CapEx!$F$48*12)+$AC$42,CapEx!$F$48&gt;1),SLN(CapEx!$C$48,CapEx!$G$48,CapEx!$F$48)/12,0)</f>
        <v>0</v>
      </c>
      <c r="AL42" s="295">
        <f>IF(AND(AL$3&gt;=$AC42,AL$3&lt;(CapEx!$F$48*12)+$AC$42,CapEx!$F$48&gt;1),SLN(CapEx!$C$48,CapEx!$G$48,CapEx!$F$48)/12,0)</f>
        <v>0</v>
      </c>
      <c r="AM42" s="295">
        <f>IF(AND(AM$3&gt;=$AC42,AM$3&lt;(CapEx!$F$48*12)+$AC$42,CapEx!$F$48&gt;1),SLN(CapEx!$C$48,CapEx!$G$48,CapEx!$F$48)/12,0)</f>
        <v>0</v>
      </c>
      <c r="AN42" s="295">
        <f>IF(AND(AN$3&gt;=$AC42,AN$3&lt;(CapEx!$F$48*12)+$AC$42,CapEx!$F$48&gt;1),SLN(CapEx!$C$48,CapEx!$G$48,CapEx!$F$48)/12,0)</f>
        <v>0</v>
      </c>
      <c r="AO42" s="295">
        <f>IF(AND(AO$3&gt;=$AC42,AO$3&lt;(CapEx!$F$48*12)+$AC$42,CapEx!$F$48&gt;1),SLN(CapEx!$C$48,CapEx!$G$48,CapEx!$F$48)/12,0)</f>
        <v>0</v>
      </c>
      <c r="AP42" s="295">
        <f>IF(AND(AP$3&gt;=$AC42,AP$3&lt;(CapEx!$F$48*12)+$AC$42,CapEx!$F$48&gt;1),SLN(CapEx!$C$48,CapEx!$G$48,CapEx!$F$48)/12,0)</f>
        <v>0</v>
      </c>
      <c r="AQ42" s="295">
        <f>IF(AND(AQ$3&gt;=$AC42,AQ$3&lt;(CapEx!$F$48*12)+$AC$42,CapEx!$F$48&gt;1),SLN(CapEx!$C$48,CapEx!$G$48,CapEx!$F$48)/12,0)</f>
        <v>0</v>
      </c>
      <c r="AR42" s="295">
        <f>IF(AND(AR$3&gt;=$AC42,AR$3&lt;(CapEx!$F$48*12)+$AC$42,CapEx!$F$48&gt;1),SLN(CapEx!$C$48,CapEx!$G$48,CapEx!$F$48)/12,0)</f>
        <v>0</v>
      </c>
      <c r="AS42" s="295">
        <f>IF(AND(AS$3&gt;=$AC42,AS$3&lt;(CapEx!$F$48*12)+$AC$42,CapEx!$F$48&gt;1),SLN(CapEx!$C$48,CapEx!$G$48,CapEx!$F$48)/12,0)</f>
        <v>0</v>
      </c>
      <c r="AT42" s="295">
        <f>IF(AND(AT$3&gt;=$AC42,AT$3&lt;(CapEx!$F$48*12)+$AC$42,CapEx!$F$48&gt;1),SLN(CapEx!$C$48,CapEx!$G$48,CapEx!$F$48)/12,0)</f>
        <v>0</v>
      </c>
      <c r="AU42" s="295">
        <f>IF(AND(AU$3&gt;=$AC42,AU$3&lt;(CapEx!$F$48*12)+$AC$42,CapEx!$F$48&gt;1),SLN(CapEx!$C$48,CapEx!$G$48,CapEx!$F$48)/12,0)</f>
        <v>0</v>
      </c>
      <c r="AV42" s="295">
        <f>IF(AND(AV$3&gt;=$AC42,AV$3&lt;(CapEx!$F$48*12)+$AC$42,CapEx!$F$48&gt;1),SLN(CapEx!$C$48,CapEx!$G$48,CapEx!$F$48)/12,0)</f>
        <v>0</v>
      </c>
      <c r="AW42" s="295">
        <f>IF(AND(AW$3&gt;=$AC42,AW$3&lt;(CapEx!$F$48*12)+$AC$42,CapEx!$F$48&gt;1),SLN(CapEx!$C$48,CapEx!$G$48,CapEx!$F$48)/12,0)</f>
        <v>0</v>
      </c>
      <c r="AX42" s="295">
        <f>IF(AND(AX$3&gt;=$AC42,AX$3&lt;(CapEx!$F$48*12)+$AC$42,CapEx!$F$48&gt;1),SLN(CapEx!$C$48,CapEx!$G$48,CapEx!$F$48)/12,0)</f>
        <v>0</v>
      </c>
      <c r="AY42" s="295">
        <f>IF(AND(AY$3&gt;=$AC42,AY$3&lt;(CapEx!$F$48*12)+$AC$42,CapEx!$F$48&gt;1),SLN(CapEx!$C$48,CapEx!$G$48,CapEx!$F$48)/12,0)</f>
        <v>0</v>
      </c>
      <c r="AZ42" s="295">
        <f>IF(AND(AZ$3&gt;=$AC42,AZ$3&lt;(CapEx!$F$48*12)+$AC$42,CapEx!$F$48&gt;1),SLN(CapEx!$C$48,CapEx!$G$48,CapEx!$F$48)/12,0)</f>
        <v>0</v>
      </c>
      <c r="BA42" s="295">
        <f>IF(AND(BA$3&gt;=$AC42,BA$3&lt;(CapEx!$F$48*12)+$AC$42,CapEx!$F$48&gt;1),SLN(CapEx!$C$48,CapEx!$G$48,CapEx!$F$48)/12,0)</f>
        <v>0</v>
      </c>
      <c r="BB42" s="295">
        <f>IF(AND(BB$3&gt;=$AC42,BB$3&lt;(CapEx!$F$48*12)+$AC$42,CapEx!$F$48&gt;1),SLN(CapEx!$C$48,CapEx!$G$48,CapEx!$F$48)/12,0)</f>
        <v>0</v>
      </c>
      <c r="BC42" s="295">
        <f>IF(AND(BC$3&gt;=$AC42,BC$3&lt;(CapEx!$F$48*12)+$AC$42,CapEx!$F$48&gt;1),SLN(CapEx!$C$48,CapEx!$G$48,CapEx!$F$48)/12,0)</f>
        <v>0</v>
      </c>
      <c r="BD42" s="295">
        <f>IF(AND(BD$3&gt;=$AC42,BD$3&lt;(CapEx!$F$48*12)+$AC$42,CapEx!$F$48&gt;1),SLN(CapEx!$C$48,CapEx!$G$48,CapEx!$F$48)/12,0)</f>
        <v>0</v>
      </c>
      <c r="BE42" s="295">
        <f>IF(AND(BE$3&gt;=$AC42,BE$3&lt;(CapEx!$F$48*12)+$AC$42,CapEx!$F$48&gt;1),SLN(CapEx!$C$48,CapEx!$G$48,CapEx!$F$48)/12,0)</f>
        <v>0</v>
      </c>
      <c r="BF42" s="295">
        <f>IF(AND(BF$3&gt;=$AC42,BF$3&lt;(CapEx!$F$48*12)+$AC$42,CapEx!$F$48&gt;1),SLN(CapEx!$C$48,CapEx!$G$48,CapEx!$F$48)/12,0)</f>
        <v>0</v>
      </c>
      <c r="BG42" s="295">
        <f>IF(AND(BG$3&gt;=$AC42,BG$3&lt;(CapEx!$F$48*12)+$AC$42,CapEx!$F$48&gt;1),SLN(CapEx!$C$48,CapEx!$G$48,CapEx!$F$48)/12,0)</f>
        <v>0</v>
      </c>
      <c r="BH42" s="295">
        <f>IF(AND(BH$3&gt;=$AC42,BH$3&lt;(CapEx!$F$48*12)+$AC$42,CapEx!$F$48&gt;1),SLN(CapEx!$C$48,CapEx!$G$48,CapEx!$F$48)/12,0)</f>
        <v>0</v>
      </c>
      <c r="BI42" s="295">
        <f>IF(AND(BI$3&gt;=$AC42,BI$3&lt;(CapEx!$F$48*12)+$AC$42,CapEx!$F$48&gt;1),SLN(CapEx!$C$48,CapEx!$G$48,CapEx!$F$48)/12,0)</f>
        <v>0</v>
      </c>
      <c r="BJ42" s="295">
        <f>IF(AND(BJ$3&gt;=$AC42,BJ$3&lt;(CapEx!$F$48*12)+$AC$42,CapEx!$F$48&gt;1),SLN(CapEx!$C$48,CapEx!$G$48,CapEx!$F$48)/12,0)</f>
        <v>0</v>
      </c>
      <c r="BK42" s="295">
        <f>IF(AND(BK$3&gt;=$AC42,BK$3&lt;(CapEx!$F$48*12)+$AC$42,CapEx!$F$48&gt;1),SLN(CapEx!$C$48,CapEx!$G$48,CapEx!$F$48)/12,0)</f>
        <v>0</v>
      </c>
      <c r="BL42" s="295">
        <f>IF(AND(BL$3&gt;=$AC42,BL$3&lt;(CapEx!$F$48*12)+$AC$42,CapEx!$F$48&gt;1),SLN(CapEx!$C$48,CapEx!$G$48,CapEx!$F$48)/12,0)</f>
        <v>0</v>
      </c>
      <c r="BM42" s="295">
        <f>IF(AND(BM$3&gt;=$AC42,BM$3&lt;(CapEx!$F$48*12)+$AC$42,CapEx!$F$48&gt;1),SLN(CapEx!$C$48,CapEx!$G$48,CapEx!$F$48)/12,0)</f>
        <v>0</v>
      </c>
      <c r="BN42" s="295">
        <f>IF(AND(BN$3&gt;=$AC42,BN$3&lt;(CapEx!$F$48*12)+$AC$42,CapEx!$F$48&gt;1),SLN(CapEx!$C$48,CapEx!$G$48,CapEx!$F$48)/12,0)</f>
        <v>0</v>
      </c>
      <c r="BO42" s="295">
        <f>IF(AND(BO$3&gt;=$AC42,BO$3&lt;(CapEx!$F$48*12)+$AC$42,CapEx!$F$48&gt;1),SLN(CapEx!$C$48,CapEx!$G$48,CapEx!$F$48)/12,0)</f>
        <v>0</v>
      </c>
      <c r="BP42" s="295">
        <f>IF(AND(BP$3&gt;=$AC42,BP$3&lt;(CapEx!$F$48*12)+$AC$42,CapEx!$F$48&gt;1),SLN(CapEx!$C$48,CapEx!$G$48,CapEx!$F$48)/12,0)</f>
        <v>0</v>
      </c>
      <c r="BQ42" s="295">
        <f>IF(AND(BQ$3&gt;=$AC42,BQ$3&lt;(CapEx!$F$48*12)+$AC$42,CapEx!$F$48&gt;1),SLN(CapEx!$C$48,CapEx!$G$48,CapEx!$F$48)/12,0)</f>
        <v>0</v>
      </c>
      <c r="BR42" s="295">
        <f>IF(AND(BR$3&gt;=$AC42,BR$3&lt;(CapEx!$F$48*12)+$AC$42,CapEx!$F$48&gt;1),SLN(CapEx!$C$48,CapEx!$G$48,CapEx!$F$48)/12,0)</f>
        <v>0</v>
      </c>
      <c r="BS42" s="295">
        <f>IF(AND(BS$3&gt;=$AC42,BS$3&lt;(CapEx!$F$48*12)+$AC$42,CapEx!$F$48&gt;1),SLN(CapEx!$C$48,CapEx!$G$48,CapEx!$F$48)/12,0)</f>
        <v>0</v>
      </c>
      <c r="BT42" s="295">
        <f>IF(AND(BT$3&gt;=$AC42,BT$3&lt;(CapEx!$F$48*12)+$AC$42,CapEx!$F$48&gt;1),SLN(CapEx!$C$48,CapEx!$G$48,CapEx!$F$48)/12,0)</f>
        <v>0</v>
      </c>
      <c r="BU42" s="295">
        <f>IF(AND(BU$3&gt;=$AC42,BU$3&lt;(CapEx!$F$48*12)+$AC$42,CapEx!$F$48&gt;1),SLN(CapEx!$C$48,CapEx!$G$48,CapEx!$F$48)/12,0)</f>
        <v>0</v>
      </c>
      <c r="BV42" s="295">
        <f>IF(AND(BV$3&gt;=$AC42,BV$3&lt;(CapEx!$F$48*12)+$AC$42,CapEx!$F$48&gt;1),SLN(CapEx!$C$48,CapEx!$G$48,CapEx!$F$48)/12,0)</f>
        <v>0</v>
      </c>
      <c r="BW42" s="295">
        <f>IF(AND(BW$3&gt;=$AC42,BW$3&lt;(CapEx!$F$48*12)+$AC$42,CapEx!$F$48&gt;1),SLN(CapEx!$C$48,CapEx!$G$48,CapEx!$F$48)/12,0)</f>
        <v>0</v>
      </c>
      <c r="BX42" s="295">
        <f>IF(AND(BX$3&gt;=$AC42,BX$3&lt;(CapEx!$F$48*12)+$AC$42,CapEx!$F$48&gt;1),SLN(CapEx!$C$48,CapEx!$G$48,CapEx!$F$48)/12,0)</f>
        <v>0</v>
      </c>
      <c r="BY42" s="295">
        <f>IF(AND(BY$3&gt;=$AC42,BY$3&lt;(CapEx!$F$48*12)+$AC$42,CapEx!$F$48&gt;1),SLN(CapEx!$C$48,CapEx!$G$48,CapEx!$F$48)/12,0)</f>
        <v>0</v>
      </c>
      <c r="BZ42" s="295">
        <f>IF(AND(BZ$3&gt;=$AC42,BZ$3&lt;(CapEx!$F$48*12)+$AC$42,CapEx!$F$48&gt;1),SLN(CapEx!$C$48,CapEx!$G$48,CapEx!$F$48)/12,0)</f>
        <v>0</v>
      </c>
      <c r="CA42" s="295">
        <f>IF(AND(CA$3&gt;=$AC42,CA$3&lt;(CapEx!$F$48*12)+$AC$42,CapEx!$F$48&gt;1),SLN(CapEx!$C$48,CapEx!$G$48,CapEx!$F$48)/12,0)</f>
        <v>0</v>
      </c>
      <c r="CB42" s="295">
        <f>IF(AND(CB$3&gt;=$AC42,CB$3&lt;(CapEx!$F$48*12)+$AC$42,CapEx!$F$48&gt;1),SLN(CapEx!$C$48,CapEx!$G$48,CapEx!$F$48)/12,0)</f>
        <v>0</v>
      </c>
      <c r="CC42" s="295">
        <f>IF(AND(CC$3&gt;=$AC42,CC$3&lt;(CapEx!$F$48*12)+$AC$42,CapEx!$F$48&gt;1),SLN(CapEx!$C$48,CapEx!$G$48,CapEx!$F$48)/12,0)</f>
        <v>0</v>
      </c>
      <c r="CD42" s="295">
        <f>IF(AND(CD$3&gt;=$AC42,CD$3&lt;(CapEx!$F$48*12)+$AC$42,CapEx!$F$48&gt;1),SLN(CapEx!$C$48,CapEx!$G$48,CapEx!$F$48)/12,0)</f>
        <v>0</v>
      </c>
      <c r="CE42" s="295">
        <f>IF(AND(CE$3&gt;=$AC42,CE$3&lt;(CapEx!$F$48*12)+$AC$42,CapEx!$F$48&gt;1),SLN(CapEx!$C$48,CapEx!$G$48,CapEx!$F$48)/12,0)</f>
        <v>0</v>
      </c>
      <c r="CF42" s="295">
        <f>IF(AND(CF$3&gt;=$AC42,CF$3&lt;(CapEx!$F$48*12)+$AC$42,CapEx!$F$48&gt;1),SLN(CapEx!$C$48,CapEx!$G$48,CapEx!$F$48)/12,0)</f>
        <v>0</v>
      </c>
      <c r="CG42" s="295">
        <f>IF(AND(CG$3&gt;=$AC42,CG$3&lt;(CapEx!$F$48*12)+$AC$42,CapEx!$F$48&gt;1),SLN(CapEx!$C$48,CapEx!$G$48,CapEx!$F$48)/12,0)</f>
        <v>0</v>
      </c>
      <c r="CH42" s="295">
        <f>IF(AND(CH$3&gt;=$AC42,CH$3&lt;(CapEx!$F$48*12)+$AC$42,CapEx!$F$48&gt;1),SLN(CapEx!$C$48,CapEx!$G$48,CapEx!$F$48)/12,0)</f>
        <v>0</v>
      </c>
      <c r="CI42" s="295">
        <f>IF(AND(CI$3&gt;=$AC42,CI$3&lt;(CapEx!$F$48*12)+$AC$42,CapEx!$F$48&gt;1),SLN(CapEx!$C$48,CapEx!$G$48,CapEx!$F$48)/12,0)</f>
        <v>0</v>
      </c>
      <c r="CJ42" s="295">
        <f>IF(AND(CJ$3&gt;=$AC42,CJ$3&lt;(CapEx!$F$48*12)+$AC$42,CapEx!$F$48&gt;1),SLN(CapEx!$C$48,CapEx!$G$48,CapEx!$F$48)/12,0)</f>
        <v>0</v>
      </c>
      <c r="CK42" s="295">
        <f>IF(AND(CK$3&gt;=$AC42,CK$3&lt;(CapEx!$F$48*12)+$AC$42,CapEx!$F$48&gt;1),SLN(CapEx!$C$48,CapEx!$G$48,CapEx!$F$48)/12,0)</f>
        <v>0</v>
      </c>
    </row>
    <row r="43" spans="1:89">
      <c r="A43" t="s">
        <v>9</v>
      </c>
      <c r="Y43" s="79">
        <f>CapEx!F49</f>
        <v>1</v>
      </c>
      <c r="Z43" s="145" t="s">
        <v>246</v>
      </c>
      <c r="AA43" s="297">
        <v>40</v>
      </c>
      <c r="AB43">
        <f>CapEx!C49</f>
        <v>0</v>
      </c>
      <c r="AC43" s="79">
        <f>IF(AB43=0,1,DATEDIF($K$12,DATEVALUE("01-"&amp;CapEx!$D49&amp;"-"&amp;CapEx!$E49),"m")+1)</f>
        <v>1</v>
      </c>
      <c r="AD43" s="295">
        <f>IF(AND(AD$3&gt;=$AC43,AD$3&lt;(CapEx!$F$49*12)+$AC$43,CapEx!$F$49&gt;1),SLN(CapEx!$C$49,CapEx!$G$49,CapEx!$F$49)/12,0)</f>
        <v>0</v>
      </c>
      <c r="AE43" s="295">
        <f>IF(AND(AE$3&gt;=$AC43,AE$3&lt;(CapEx!$F$49*12)+$AC$43,CapEx!$F$49&gt;1),SLN(CapEx!$C$49,CapEx!$G$49,CapEx!$F$49)/12,0)</f>
        <v>0</v>
      </c>
      <c r="AF43" s="295">
        <f>IF(AND(AF$3&gt;=$AC43,AF$3&lt;(CapEx!$F$49*12)+$AC$43,CapEx!$F$49&gt;1),SLN(CapEx!$C$49,CapEx!$G$49,CapEx!$F$49)/12,0)</f>
        <v>0</v>
      </c>
      <c r="AG43" s="295">
        <f>IF(AND(AG$3&gt;=$AC43,AG$3&lt;(CapEx!$F$49*12)+$AC$43,CapEx!$F$49&gt;1),SLN(CapEx!$C$49,CapEx!$G$49,CapEx!$F$49)/12,0)</f>
        <v>0</v>
      </c>
      <c r="AH43" s="295">
        <f>IF(AND(AH$3&gt;=$AC43,AH$3&lt;(CapEx!$F$49*12)+$AC$43,CapEx!$F$49&gt;1),SLN(CapEx!$C$49,CapEx!$G$49,CapEx!$F$49)/12,0)</f>
        <v>0</v>
      </c>
      <c r="AI43" s="295">
        <f>IF(AND(AI$3&gt;=$AC43,AI$3&lt;(CapEx!$F$49*12)+$AC$43,CapEx!$F$49&gt;1),SLN(CapEx!$C$49,CapEx!$G$49,CapEx!$F$49)/12,0)</f>
        <v>0</v>
      </c>
      <c r="AJ43" s="295">
        <f>IF(AND(AJ$3&gt;=$AC43,AJ$3&lt;(CapEx!$F$49*12)+$AC$43,CapEx!$F$49&gt;1),SLN(CapEx!$C$49,CapEx!$G$49,CapEx!$F$49)/12,0)</f>
        <v>0</v>
      </c>
      <c r="AK43" s="295">
        <f>IF(AND(AK$3&gt;=$AC43,AK$3&lt;(CapEx!$F$49*12)+$AC$43,CapEx!$F$49&gt;1),SLN(CapEx!$C$49,CapEx!$G$49,CapEx!$F$49)/12,0)</f>
        <v>0</v>
      </c>
      <c r="AL43" s="295">
        <f>IF(AND(AL$3&gt;=$AC43,AL$3&lt;(CapEx!$F$49*12)+$AC$43,CapEx!$F$49&gt;1),SLN(CapEx!$C$49,CapEx!$G$49,CapEx!$F$49)/12,0)</f>
        <v>0</v>
      </c>
      <c r="AM43" s="295">
        <f>IF(AND(AM$3&gt;=$AC43,AM$3&lt;(CapEx!$F$49*12)+$AC$43,CapEx!$F$49&gt;1),SLN(CapEx!$C$49,CapEx!$G$49,CapEx!$F$49)/12,0)</f>
        <v>0</v>
      </c>
      <c r="AN43" s="295">
        <f>IF(AND(AN$3&gt;=$AC43,AN$3&lt;(CapEx!$F$49*12)+$AC$43,CapEx!$F$49&gt;1),SLN(CapEx!$C$49,CapEx!$G$49,CapEx!$F$49)/12,0)</f>
        <v>0</v>
      </c>
      <c r="AO43" s="295">
        <f>IF(AND(AO$3&gt;=$AC43,AO$3&lt;(CapEx!$F$49*12)+$AC$43,CapEx!$F$49&gt;1),SLN(CapEx!$C$49,CapEx!$G$49,CapEx!$F$49)/12,0)</f>
        <v>0</v>
      </c>
      <c r="AP43" s="295">
        <f>IF(AND(AP$3&gt;=$AC43,AP$3&lt;(CapEx!$F$49*12)+$AC$43,CapEx!$F$49&gt;1),SLN(CapEx!$C$49,CapEx!$G$49,CapEx!$F$49)/12,0)</f>
        <v>0</v>
      </c>
      <c r="AQ43" s="295">
        <f>IF(AND(AQ$3&gt;=$AC43,AQ$3&lt;(CapEx!$F$49*12)+$AC$43,CapEx!$F$49&gt;1),SLN(CapEx!$C$49,CapEx!$G$49,CapEx!$F$49)/12,0)</f>
        <v>0</v>
      </c>
      <c r="AR43" s="295">
        <f>IF(AND(AR$3&gt;=$AC43,AR$3&lt;(CapEx!$F$49*12)+$AC$43,CapEx!$F$49&gt;1),SLN(CapEx!$C$49,CapEx!$G$49,CapEx!$F$49)/12,0)</f>
        <v>0</v>
      </c>
      <c r="AS43" s="295">
        <f>IF(AND(AS$3&gt;=$AC43,AS$3&lt;(CapEx!$F$49*12)+$AC$43,CapEx!$F$49&gt;1),SLN(CapEx!$C$49,CapEx!$G$49,CapEx!$F$49)/12,0)</f>
        <v>0</v>
      </c>
      <c r="AT43" s="295">
        <f>IF(AND(AT$3&gt;=$AC43,AT$3&lt;(CapEx!$F$49*12)+$AC$43,CapEx!$F$49&gt;1),SLN(CapEx!$C$49,CapEx!$G$49,CapEx!$F$49)/12,0)</f>
        <v>0</v>
      </c>
      <c r="AU43" s="295">
        <f>IF(AND(AU$3&gt;=$AC43,AU$3&lt;(CapEx!$F$49*12)+$AC$43,CapEx!$F$49&gt;1),SLN(CapEx!$C$49,CapEx!$G$49,CapEx!$F$49)/12,0)</f>
        <v>0</v>
      </c>
      <c r="AV43" s="295">
        <f>IF(AND(AV$3&gt;=$AC43,AV$3&lt;(CapEx!$F$49*12)+$AC$43,CapEx!$F$49&gt;1),SLN(CapEx!$C$49,CapEx!$G$49,CapEx!$F$49)/12,0)</f>
        <v>0</v>
      </c>
      <c r="AW43" s="295">
        <f>IF(AND(AW$3&gt;=$AC43,AW$3&lt;(CapEx!$F$49*12)+$AC$43,CapEx!$F$49&gt;1),SLN(CapEx!$C$49,CapEx!$G$49,CapEx!$F$49)/12,0)</f>
        <v>0</v>
      </c>
      <c r="AX43" s="295">
        <f>IF(AND(AX$3&gt;=$AC43,AX$3&lt;(CapEx!$F$49*12)+$AC$43,CapEx!$F$49&gt;1),SLN(CapEx!$C$49,CapEx!$G$49,CapEx!$F$49)/12,0)</f>
        <v>0</v>
      </c>
      <c r="AY43" s="295">
        <f>IF(AND(AY$3&gt;=$AC43,AY$3&lt;(CapEx!$F$49*12)+$AC$43,CapEx!$F$49&gt;1),SLN(CapEx!$C$49,CapEx!$G$49,CapEx!$F$49)/12,0)</f>
        <v>0</v>
      </c>
      <c r="AZ43" s="295">
        <f>IF(AND(AZ$3&gt;=$AC43,AZ$3&lt;(CapEx!$F$49*12)+$AC$43,CapEx!$F$49&gt;1),SLN(CapEx!$C$49,CapEx!$G$49,CapEx!$F$49)/12,0)</f>
        <v>0</v>
      </c>
      <c r="BA43" s="295">
        <f>IF(AND(BA$3&gt;=$AC43,BA$3&lt;(CapEx!$F$49*12)+$AC$43,CapEx!$F$49&gt;1),SLN(CapEx!$C$49,CapEx!$G$49,CapEx!$F$49)/12,0)</f>
        <v>0</v>
      </c>
      <c r="BB43" s="295">
        <f>IF(AND(BB$3&gt;=$AC43,BB$3&lt;(CapEx!$F$49*12)+$AC$43,CapEx!$F$49&gt;1),SLN(CapEx!$C$49,CapEx!$G$49,CapEx!$F$49)/12,0)</f>
        <v>0</v>
      </c>
      <c r="BC43" s="295">
        <f>IF(AND(BC$3&gt;=$AC43,BC$3&lt;(CapEx!$F$49*12)+$AC$43,CapEx!$F$49&gt;1),SLN(CapEx!$C$49,CapEx!$G$49,CapEx!$F$49)/12,0)</f>
        <v>0</v>
      </c>
      <c r="BD43" s="295">
        <f>IF(AND(BD$3&gt;=$AC43,BD$3&lt;(CapEx!$F$49*12)+$AC$43,CapEx!$F$49&gt;1),SLN(CapEx!$C$49,CapEx!$G$49,CapEx!$F$49)/12,0)</f>
        <v>0</v>
      </c>
      <c r="BE43" s="295">
        <f>IF(AND(BE$3&gt;=$AC43,BE$3&lt;(CapEx!$F$49*12)+$AC$43,CapEx!$F$49&gt;1),SLN(CapEx!$C$49,CapEx!$G$49,CapEx!$F$49)/12,0)</f>
        <v>0</v>
      </c>
      <c r="BF43" s="295">
        <f>IF(AND(BF$3&gt;=$AC43,BF$3&lt;(CapEx!$F$49*12)+$AC$43,CapEx!$F$49&gt;1),SLN(CapEx!$C$49,CapEx!$G$49,CapEx!$F$49)/12,0)</f>
        <v>0</v>
      </c>
      <c r="BG43" s="295">
        <f>IF(AND(BG$3&gt;=$AC43,BG$3&lt;(CapEx!$F$49*12)+$AC$43,CapEx!$F$49&gt;1),SLN(CapEx!$C$49,CapEx!$G$49,CapEx!$F$49)/12,0)</f>
        <v>0</v>
      </c>
      <c r="BH43" s="295">
        <f>IF(AND(BH$3&gt;=$AC43,BH$3&lt;(CapEx!$F$49*12)+$AC$43,CapEx!$F$49&gt;1),SLN(CapEx!$C$49,CapEx!$G$49,CapEx!$F$49)/12,0)</f>
        <v>0</v>
      </c>
      <c r="BI43" s="295">
        <f>IF(AND(BI$3&gt;=$AC43,BI$3&lt;(CapEx!$F$49*12)+$AC$43,CapEx!$F$49&gt;1),SLN(CapEx!$C$49,CapEx!$G$49,CapEx!$F$49)/12,0)</f>
        <v>0</v>
      </c>
      <c r="BJ43" s="295">
        <f>IF(AND(BJ$3&gt;=$AC43,BJ$3&lt;(CapEx!$F$49*12)+$AC$43,CapEx!$F$49&gt;1),SLN(CapEx!$C$49,CapEx!$G$49,CapEx!$F$49)/12,0)</f>
        <v>0</v>
      </c>
      <c r="BK43" s="295">
        <f>IF(AND(BK$3&gt;=$AC43,BK$3&lt;(CapEx!$F$49*12)+$AC$43,CapEx!$F$49&gt;1),SLN(CapEx!$C$49,CapEx!$G$49,CapEx!$F$49)/12,0)</f>
        <v>0</v>
      </c>
      <c r="BL43" s="295">
        <f>IF(AND(BL$3&gt;=$AC43,BL$3&lt;(CapEx!$F$49*12)+$AC$43,CapEx!$F$49&gt;1),SLN(CapEx!$C$49,CapEx!$G$49,CapEx!$F$49)/12,0)</f>
        <v>0</v>
      </c>
      <c r="BM43" s="295">
        <f>IF(AND(BM$3&gt;=$AC43,BM$3&lt;(CapEx!$F$49*12)+$AC$43,CapEx!$F$49&gt;1),SLN(CapEx!$C$49,CapEx!$G$49,CapEx!$F$49)/12,0)</f>
        <v>0</v>
      </c>
      <c r="BN43" s="295">
        <f>IF(AND(BN$3&gt;=$AC43,BN$3&lt;(CapEx!$F$49*12)+$AC$43,CapEx!$F$49&gt;1),SLN(CapEx!$C$49,CapEx!$G$49,CapEx!$F$49)/12,0)</f>
        <v>0</v>
      </c>
      <c r="BO43" s="295">
        <f>IF(AND(BO$3&gt;=$AC43,BO$3&lt;(CapEx!$F$49*12)+$AC$43,CapEx!$F$49&gt;1),SLN(CapEx!$C$49,CapEx!$G$49,CapEx!$F$49)/12,0)</f>
        <v>0</v>
      </c>
      <c r="BP43" s="295">
        <f>IF(AND(BP$3&gt;=$AC43,BP$3&lt;(CapEx!$F$49*12)+$AC$43,CapEx!$F$49&gt;1),SLN(CapEx!$C$49,CapEx!$G$49,CapEx!$F$49)/12,0)</f>
        <v>0</v>
      </c>
      <c r="BQ43" s="295">
        <f>IF(AND(BQ$3&gt;=$AC43,BQ$3&lt;(CapEx!$F$49*12)+$AC$43,CapEx!$F$49&gt;1),SLN(CapEx!$C$49,CapEx!$G$49,CapEx!$F$49)/12,0)</f>
        <v>0</v>
      </c>
      <c r="BR43" s="295">
        <f>IF(AND(BR$3&gt;=$AC43,BR$3&lt;(CapEx!$F$49*12)+$AC$43,CapEx!$F$49&gt;1),SLN(CapEx!$C$49,CapEx!$G$49,CapEx!$F$49)/12,0)</f>
        <v>0</v>
      </c>
      <c r="BS43" s="295">
        <f>IF(AND(BS$3&gt;=$AC43,BS$3&lt;(CapEx!$F$49*12)+$AC$43,CapEx!$F$49&gt;1),SLN(CapEx!$C$49,CapEx!$G$49,CapEx!$F$49)/12,0)</f>
        <v>0</v>
      </c>
      <c r="BT43" s="295">
        <f>IF(AND(BT$3&gt;=$AC43,BT$3&lt;(CapEx!$F$49*12)+$AC$43,CapEx!$F$49&gt;1),SLN(CapEx!$C$49,CapEx!$G$49,CapEx!$F$49)/12,0)</f>
        <v>0</v>
      </c>
      <c r="BU43" s="295">
        <f>IF(AND(BU$3&gt;=$AC43,BU$3&lt;(CapEx!$F$49*12)+$AC$43,CapEx!$F$49&gt;1),SLN(CapEx!$C$49,CapEx!$G$49,CapEx!$F$49)/12,0)</f>
        <v>0</v>
      </c>
      <c r="BV43" s="295">
        <f>IF(AND(BV$3&gt;=$AC43,BV$3&lt;(CapEx!$F$49*12)+$AC$43,CapEx!$F$49&gt;1),SLN(CapEx!$C$49,CapEx!$G$49,CapEx!$F$49)/12,0)</f>
        <v>0</v>
      </c>
      <c r="BW43" s="295">
        <f>IF(AND(BW$3&gt;=$AC43,BW$3&lt;(CapEx!$F$49*12)+$AC$43,CapEx!$F$49&gt;1),SLN(CapEx!$C$49,CapEx!$G$49,CapEx!$F$49)/12,0)</f>
        <v>0</v>
      </c>
      <c r="BX43" s="295">
        <f>IF(AND(BX$3&gt;=$AC43,BX$3&lt;(CapEx!$F$49*12)+$AC$43,CapEx!$F$49&gt;1),SLN(CapEx!$C$49,CapEx!$G$49,CapEx!$F$49)/12,0)</f>
        <v>0</v>
      </c>
      <c r="BY43" s="295">
        <f>IF(AND(BY$3&gt;=$AC43,BY$3&lt;(CapEx!$F$49*12)+$AC$43,CapEx!$F$49&gt;1),SLN(CapEx!$C$49,CapEx!$G$49,CapEx!$F$49)/12,0)</f>
        <v>0</v>
      </c>
      <c r="BZ43" s="295">
        <f>IF(AND(BZ$3&gt;=$AC43,BZ$3&lt;(CapEx!$F$49*12)+$AC$43,CapEx!$F$49&gt;1),SLN(CapEx!$C$49,CapEx!$G$49,CapEx!$F$49)/12,0)</f>
        <v>0</v>
      </c>
      <c r="CA43" s="295">
        <f>IF(AND(CA$3&gt;=$AC43,CA$3&lt;(CapEx!$F$49*12)+$AC$43,CapEx!$F$49&gt;1),SLN(CapEx!$C$49,CapEx!$G$49,CapEx!$F$49)/12,0)</f>
        <v>0</v>
      </c>
      <c r="CB43" s="295">
        <f>IF(AND(CB$3&gt;=$AC43,CB$3&lt;(CapEx!$F$49*12)+$AC$43,CapEx!$F$49&gt;1),SLN(CapEx!$C$49,CapEx!$G$49,CapEx!$F$49)/12,0)</f>
        <v>0</v>
      </c>
      <c r="CC43" s="295">
        <f>IF(AND(CC$3&gt;=$AC43,CC$3&lt;(CapEx!$F$49*12)+$AC$43,CapEx!$F$49&gt;1),SLN(CapEx!$C$49,CapEx!$G$49,CapEx!$F$49)/12,0)</f>
        <v>0</v>
      </c>
      <c r="CD43" s="295">
        <f>IF(AND(CD$3&gt;=$AC43,CD$3&lt;(CapEx!$F$49*12)+$AC$43,CapEx!$F$49&gt;1),SLN(CapEx!$C$49,CapEx!$G$49,CapEx!$F$49)/12,0)</f>
        <v>0</v>
      </c>
      <c r="CE43" s="295">
        <f>IF(AND(CE$3&gt;=$AC43,CE$3&lt;(CapEx!$F$49*12)+$AC$43,CapEx!$F$49&gt;1),SLN(CapEx!$C$49,CapEx!$G$49,CapEx!$F$49)/12,0)</f>
        <v>0</v>
      </c>
      <c r="CF43" s="295">
        <f>IF(AND(CF$3&gt;=$AC43,CF$3&lt;(CapEx!$F$49*12)+$AC$43,CapEx!$F$49&gt;1),SLN(CapEx!$C$49,CapEx!$G$49,CapEx!$F$49)/12,0)</f>
        <v>0</v>
      </c>
      <c r="CG43" s="295">
        <f>IF(AND(CG$3&gt;=$AC43,CG$3&lt;(CapEx!$F$49*12)+$AC$43,CapEx!$F$49&gt;1),SLN(CapEx!$C$49,CapEx!$G$49,CapEx!$F$49)/12,0)</f>
        <v>0</v>
      </c>
      <c r="CH43" s="295">
        <f>IF(AND(CH$3&gt;=$AC43,CH$3&lt;(CapEx!$F$49*12)+$AC$43,CapEx!$F$49&gt;1),SLN(CapEx!$C$49,CapEx!$G$49,CapEx!$F$49)/12,0)</f>
        <v>0</v>
      </c>
      <c r="CI43" s="295">
        <f>IF(AND(CI$3&gt;=$AC43,CI$3&lt;(CapEx!$F$49*12)+$AC$43,CapEx!$F$49&gt;1),SLN(CapEx!$C$49,CapEx!$G$49,CapEx!$F$49)/12,0)</f>
        <v>0</v>
      </c>
      <c r="CJ43" s="295">
        <f>IF(AND(CJ$3&gt;=$AC43,CJ$3&lt;(CapEx!$F$49*12)+$AC$43,CapEx!$F$49&gt;1),SLN(CapEx!$C$49,CapEx!$G$49,CapEx!$F$49)/12,0)</f>
        <v>0</v>
      </c>
      <c r="CK43" s="295">
        <f>IF(AND(CK$3&gt;=$AC43,CK$3&lt;(CapEx!$F$49*12)+$AC$43,CapEx!$F$49&gt;1),SLN(CapEx!$C$49,CapEx!$G$49,CapEx!$F$49)/12,0)</f>
        <v>0</v>
      </c>
    </row>
    <row r="44" spans="1:89">
      <c r="A44" t="s">
        <v>10</v>
      </c>
      <c r="Y44" s="79">
        <f>CapEx!F50</f>
        <v>1</v>
      </c>
      <c r="Z44" s="145" t="s">
        <v>246</v>
      </c>
      <c r="AA44" s="297">
        <v>41</v>
      </c>
      <c r="AB44">
        <f>CapEx!C50</f>
        <v>0</v>
      </c>
      <c r="AC44" s="79">
        <f>IF(AB44=0,1,DATEDIF($K$12,DATEVALUE("01-"&amp;CapEx!$D50&amp;"-"&amp;CapEx!$E50),"m")+1)</f>
        <v>1</v>
      </c>
      <c r="AD44" s="295">
        <f>IF(AND(AD$3&gt;=$AC44,AD$3&lt;(CapEx!$F$50*12)+$AC$44,CapEx!$F$50&gt;1),SLN(CapEx!$C$50,CapEx!$G$50,CapEx!$F$50)/12,0)</f>
        <v>0</v>
      </c>
      <c r="AE44" s="295">
        <f>IF(AND(AE$3&gt;=$AC44,AE$3&lt;(CapEx!$F$50*12)+$AC$44,CapEx!$F$50&gt;1),SLN(CapEx!$C$50,CapEx!$G$50,CapEx!$F$50)/12,0)</f>
        <v>0</v>
      </c>
      <c r="AF44" s="295">
        <f>IF(AND(AF$3&gt;=$AC44,AF$3&lt;(CapEx!$F$50*12)+$AC$44,CapEx!$F$50&gt;1),SLN(CapEx!$C$50,CapEx!$G$50,CapEx!$F$50)/12,0)</f>
        <v>0</v>
      </c>
      <c r="AG44" s="295">
        <f>IF(AND(AG$3&gt;=$AC44,AG$3&lt;(CapEx!$F$50*12)+$AC$44,CapEx!$F$50&gt;1),SLN(CapEx!$C$50,CapEx!$G$50,CapEx!$F$50)/12,0)</f>
        <v>0</v>
      </c>
      <c r="AH44" s="295">
        <f>IF(AND(AH$3&gt;=$AC44,AH$3&lt;(CapEx!$F$50*12)+$AC$44,CapEx!$F$50&gt;1),SLN(CapEx!$C$50,CapEx!$G$50,CapEx!$F$50)/12,0)</f>
        <v>0</v>
      </c>
      <c r="AI44" s="295">
        <f>IF(AND(AI$3&gt;=$AC44,AI$3&lt;(CapEx!$F$50*12)+$AC$44,CapEx!$F$50&gt;1),SLN(CapEx!$C$50,CapEx!$G$50,CapEx!$F$50)/12,0)</f>
        <v>0</v>
      </c>
      <c r="AJ44" s="295">
        <f>IF(AND(AJ$3&gt;=$AC44,AJ$3&lt;(CapEx!$F$50*12)+$AC$44,CapEx!$F$50&gt;1),SLN(CapEx!$C$50,CapEx!$G$50,CapEx!$F$50)/12,0)</f>
        <v>0</v>
      </c>
      <c r="AK44" s="295">
        <f>IF(AND(AK$3&gt;=$AC44,AK$3&lt;(CapEx!$F$50*12)+$AC$44,CapEx!$F$50&gt;1),SLN(CapEx!$C$50,CapEx!$G$50,CapEx!$F$50)/12,0)</f>
        <v>0</v>
      </c>
      <c r="AL44" s="295">
        <f>IF(AND(AL$3&gt;=$AC44,AL$3&lt;(CapEx!$F$50*12)+$AC$44,CapEx!$F$50&gt;1),SLN(CapEx!$C$50,CapEx!$G$50,CapEx!$F$50)/12,0)</f>
        <v>0</v>
      </c>
      <c r="AM44" s="295">
        <f>IF(AND(AM$3&gt;=$AC44,AM$3&lt;(CapEx!$F$50*12)+$AC$44,CapEx!$F$50&gt;1),SLN(CapEx!$C$50,CapEx!$G$50,CapEx!$F$50)/12,0)</f>
        <v>0</v>
      </c>
      <c r="AN44" s="295">
        <f>IF(AND(AN$3&gt;=$AC44,AN$3&lt;(CapEx!$F$50*12)+$AC$44,CapEx!$F$50&gt;1),SLN(CapEx!$C$50,CapEx!$G$50,CapEx!$F$50)/12,0)</f>
        <v>0</v>
      </c>
      <c r="AO44" s="295">
        <f>IF(AND(AO$3&gt;=$AC44,AO$3&lt;(CapEx!$F$50*12)+$AC$44,CapEx!$F$50&gt;1),SLN(CapEx!$C$50,CapEx!$G$50,CapEx!$F$50)/12,0)</f>
        <v>0</v>
      </c>
      <c r="AP44" s="295">
        <f>IF(AND(AP$3&gt;=$AC44,AP$3&lt;(CapEx!$F$50*12)+$AC$44,CapEx!$F$50&gt;1),SLN(CapEx!$C$50,CapEx!$G$50,CapEx!$F$50)/12,0)</f>
        <v>0</v>
      </c>
      <c r="AQ44" s="295">
        <f>IF(AND(AQ$3&gt;=$AC44,AQ$3&lt;(CapEx!$F$50*12)+$AC$44,CapEx!$F$50&gt;1),SLN(CapEx!$C$50,CapEx!$G$50,CapEx!$F$50)/12,0)</f>
        <v>0</v>
      </c>
      <c r="AR44" s="295">
        <f>IF(AND(AR$3&gt;=$AC44,AR$3&lt;(CapEx!$F$50*12)+$AC$44,CapEx!$F$50&gt;1),SLN(CapEx!$C$50,CapEx!$G$50,CapEx!$F$50)/12,0)</f>
        <v>0</v>
      </c>
      <c r="AS44" s="295">
        <f>IF(AND(AS$3&gt;=$AC44,AS$3&lt;(CapEx!$F$50*12)+$AC$44,CapEx!$F$50&gt;1),SLN(CapEx!$C$50,CapEx!$G$50,CapEx!$F$50)/12,0)</f>
        <v>0</v>
      </c>
      <c r="AT44" s="295">
        <f>IF(AND(AT$3&gt;=$AC44,AT$3&lt;(CapEx!$F$50*12)+$AC$44,CapEx!$F$50&gt;1),SLN(CapEx!$C$50,CapEx!$G$50,CapEx!$F$50)/12,0)</f>
        <v>0</v>
      </c>
      <c r="AU44" s="295">
        <f>IF(AND(AU$3&gt;=$AC44,AU$3&lt;(CapEx!$F$50*12)+$AC$44,CapEx!$F$50&gt;1),SLN(CapEx!$C$50,CapEx!$G$50,CapEx!$F$50)/12,0)</f>
        <v>0</v>
      </c>
      <c r="AV44" s="295">
        <f>IF(AND(AV$3&gt;=$AC44,AV$3&lt;(CapEx!$F$50*12)+$AC$44,CapEx!$F$50&gt;1),SLN(CapEx!$C$50,CapEx!$G$50,CapEx!$F$50)/12,0)</f>
        <v>0</v>
      </c>
      <c r="AW44" s="295">
        <f>IF(AND(AW$3&gt;=$AC44,AW$3&lt;(CapEx!$F$50*12)+$AC$44,CapEx!$F$50&gt;1),SLN(CapEx!$C$50,CapEx!$G$50,CapEx!$F$50)/12,0)</f>
        <v>0</v>
      </c>
      <c r="AX44" s="295">
        <f>IF(AND(AX$3&gt;=$AC44,AX$3&lt;(CapEx!$F$50*12)+$AC$44,CapEx!$F$50&gt;1),SLN(CapEx!$C$50,CapEx!$G$50,CapEx!$F$50)/12,0)</f>
        <v>0</v>
      </c>
      <c r="AY44" s="295">
        <f>IF(AND(AY$3&gt;=$AC44,AY$3&lt;(CapEx!$F$50*12)+$AC$44,CapEx!$F$50&gt;1),SLN(CapEx!$C$50,CapEx!$G$50,CapEx!$F$50)/12,0)</f>
        <v>0</v>
      </c>
      <c r="AZ44" s="295">
        <f>IF(AND(AZ$3&gt;=$AC44,AZ$3&lt;(CapEx!$F$50*12)+$AC$44,CapEx!$F$50&gt;1),SLN(CapEx!$C$50,CapEx!$G$50,CapEx!$F$50)/12,0)</f>
        <v>0</v>
      </c>
      <c r="BA44" s="295">
        <f>IF(AND(BA$3&gt;=$AC44,BA$3&lt;(CapEx!$F$50*12)+$AC$44,CapEx!$F$50&gt;1),SLN(CapEx!$C$50,CapEx!$G$50,CapEx!$F$50)/12,0)</f>
        <v>0</v>
      </c>
      <c r="BB44" s="295">
        <f>IF(AND(BB$3&gt;=$AC44,BB$3&lt;(CapEx!$F$50*12)+$AC$44,CapEx!$F$50&gt;1),SLN(CapEx!$C$50,CapEx!$G$50,CapEx!$F$50)/12,0)</f>
        <v>0</v>
      </c>
      <c r="BC44" s="295">
        <f>IF(AND(BC$3&gt;=$AC44,BC$3&lt;(CapEx!$F$50*12)+$AC$44,CapEx!$F$50&gt;1),SLN(CapEx!$C$50,CapEx!$G$50,CapEx!$F$50)/12,0)</f>
        <v>0</v>
      </c>
      <c r="BD44" s="295">
        <f>IF(AND(BD$3&gt;=$AC44,BD$3&lt;(CapEx!$F$50*12)+$AC$44,CapEx!$F$50&gt;1),SLN(CapEx!$C$50,CapEx!$G$50,CapEx!$F$50)/12,0)</f>
        <v>0</v>
      </c>
      <c r="BE44" s="295">
        <f>IF(AND(BE$3&gt;=$AC44,BE$3&lt;(CapEx!$F$50*12)+$AC$44,CapEx!$F$50&gt;1),SLN(CapEx!$C$50,CapEx!$G$50,CapEx!$F$50)/12,0)</f>
        <v>0</v>
      </c>
      <c r="BF44" s="295">
        <f>IF(AND(BF$3&gt;=$AC44,BF$3&lt;(CapEx!$F$50*12)+$AC$44,CapEx!$F$50&gt;1),SLN(CapEx!$C$50,CapEx!$G$50,CapEx!$F$50)/12,0)</f>
        <v>0</v>
      </c>
      <c r="BG44" s="295">
        <f>IF(AND(BG$3&gt;=$AC44,BG$3&lt;(CapEx!$F$50*12)+$AC$44,CapEx!$F$50&gt;1),SLN(CapEx!$C$50,CapEx!$G$50,CapEx!$F$50)/12,0)</f>
        <v>0</v>
      </c>
      <c r="BH44" s="295">
        <f>IF(AND(BH$3&gt;=$AC44,BH$3&lt;(CapEx!$F$50*12)+$AC$44,CapEx!$F$50&gt;1),SLN(CapEx!$C$50,CapEx!$G$50,CapEx!$F$50)/12,0)</f>
        <v>0</v>
      </c>
      <c r="BI44" s="295">
        <f>IF(AND(BI$3&gt;=$AC44,BI$3&lt;(CapEx!$F$50*12)+$AC$44,CapEx!$F$50&gt;1),SLN(CapEx!$C$50,CapEx!$G$50,CapEx!$F$50)/12,0)</f>
        <v>0</v>
      </c>
      <c r="BJ44" s="295">
        <f>IF(AND(BJ$3&gt;=$AC44,BJ$3&lt;(CapEx!$F$50*12)+$AC$44,CapEx!$F$50&gt;1),SLN(CapEx!$C$50,CapEx!$G$50,CapEx!$F$50)/12,0)</f>
        <v>0</v>
      </c>
      <c r="BK44" s="295">
        <f>IF(AND(BK$3&gt;=$AC44,BK$3&lt;(CapEx!$F$50*12)+$AC$44,CapEx!$F$50&gt;1),SLN(CapEx!$C$50,CapEx!$G$50,CapEx!$F$50)/12,0)</f>
        <v>0</v>
      </c>
      <c r="BL44" s="295">
        <f>IF(AND(BL$3&gt;=$AC44,BL$3&lt;(CapEx!$F$50*12)+$AC$44,CapEx!$F$50&gt;1),SLN(CapEx!$C$50,CapEx!$G$50,CapEx!$F$50)/12,0)</f>
        <v>0</v>
      </c>
      <c r="BM44" s="295">
        <f>IF(AND(BM$3&gt;=$AC44,BM$3&lt;(CapEx!$F$50*12)+$AC$44,CapEx!$F$50&gt;1),SLN(CapEx!$C$50,CapEx!$G$50,CapEx!$F$50)/12,0)</f>
        <v>0</v>
      </c>
      <c r="BN44" s="295">
        <f>IF(AND(BN$3&gt;=$AC44,BN$3&lt;(CapEx!$F$50*12)+$AC$44,CapEx!$F$50&gt;1),SLN(CapEx!$C$50,CapEx!$G$50,CapEx!$F$50)/12,0)</f>
        <v>0</v>
      </c>
      <c r="BO44" s="295">
        <f>IF(AND(BO$3&gt;=$AC44,BO$3&lt;(CapEx!$F$50*12)+$AC$44,CapEx!$F$50&gt;1),SLN(CapEx!$C$50,CapEx!$G$50,CapEx!$F$50)/12,0)</f>
        <v>0</v>
      </c>
      <c r="BP44" s="295">
        <f>IF(AND(BP$3&gt;=$AC44,BP$3&lt;(CapEx!$F$50*12)+$AC$44,CapEx!$F$50&gt;1),SLN(CapEx!$C$50,CapEx!$G$50,CapEx!$F$50)/12,0)</f>
        <v>0</v>
      </c>
      <c r="BQ44" s="295">
        <f>IF(AND(BQ$3&gt;=$AC44,BQ$3&lt;(CapEx!$F$50*12)+$AC$44,CapEx!$F$50&gt;1),SLN(CapEx!$C$50,CapEx!$G$50,CapEx!$F$50)/12,0)</f>
        <v>0</v>
      </c>
      <c r="BR44" s="295">
        <f>IF(AND(BR$3&gt;=$AC44,BR$3&lt;(CapEx!$F$50*12)+$AC$44,CapEx!$F$50&gt;1),SLN(CapEx!$C$50,CapEx!$G$50,CapEx!$F$50)/12,0)</f>
        <v>0</v>
      </c>
      <c r="BS44" s="295">
        <f>IF(AND(BS$3&gt;=$AC44,BS$3&lt;(CapEx!$F$50*12)+$AC$44,CapEx!$F$50&gt;1),SLN(CapEx!$C$50,CapEx!$G$50,CapEx!$F$50)/12,0)</f>
        <v>0</v>
      </c>
      <c r="BT44" s="295">
        <f>IF(AND(BT$3&gt;=$AC44,BT$3&lt;(CapEx!$F$50*12)+$AC$44,CapEx!$F$50&gt;1),SLN(CapEx!$C$50,CapEx!$G$50,CapEx!$F$50)/12,0)</f>
        <v>0</v>
      </c>
      <c r="BU44" s="295">
        <f>IF(AND(BU$3&gt;=$AC44,BU$3&lt;(CapEx!$F$50*12)+$AC$44,CapEx!$F$50&gt;1),SLN(CapEx!$C$50,CapEx!$G$50,CapEx!$F$50)/12,0)</f>
        <v>0</v>
      </c>
      <c r="BV44" s="295">
        <f>IF(AND(BV$3&gt;=$AC44,BV$3&lt;(CapEx!$F$50*12)+$AC$44,CapEx!$F$50&gt;1),SLN(CapEx!$C$50,CapEx!$G$50,CapEx!$F$50)/12,0)</f>
        <v>0</v>
      </c>
      <c r="BW44" s="295">
        <f>IF(AND(BW$3&gt;=$AC44,BW$3&lt;(CapEx!$F$50*12)+$AC$44,CapEx!$F$50&gt;1),SLN(CapEx!$C$50,CapEx!$G$50,CapEx!$F$50)/12,0)</f>
        <v>0</v>
      </c>
      <c r="BX44" s="295">
        <f>IF(AND(BX$3&gt;=$AC44,BX$3&lt;(CapEx!$F$50*12)+$AC$44,CapEx!$F$50&gt;1),SLN(CapEx!$C$50,CapEx!$G$50,CapEx!$F$50)/12,0)</f>
        <v>0</v>
      </c>
      <c r="BY44" s="295">
        <f>IF(AND(BY$3&gt;=$AC44,BY$3&lt;(CapEx!$F$50*12)+$AC$44,CapEx!$F$50&gt;1),SLN(CapEx!$C$50,CapEx!$G$50,CapEx!$F$50)/12,0)</f>
        <v>0</v>
      </c>
      <c r="BZ44" s="295">
        <f>IF(AND(BZ$3&gt;=$AC44,BZ$3&lt;(CapEx!$F$50*12)+$AC$44,CapEx!$F$50&gt;1),SLN(CapEx!$C$50,CapEx!$G$50,CapEx!$F$50)/12,0)</f>
        <v>0</v>
      </c>
      <c r="CA44" s="295">
        <f>IF(AND(CA$3&gt;=$AC44,CA$3&lt;(CapEx!$F$50*12)+$AC$44,CapEx!$F$50&gt;1),SLN(CapEx!$C$50,CapEx!$G$50,CapEx!$F$50)/12,0)</f>
        <v>0</v>
      </c>
      <c r="CB44" s="295">
        <f>IF(AND(CB$3&gt;=$AC44,CB$3&lt;(CapEx!$F$50*12)+$AC$44,CapEx!$F$50&gt;1),SLN(CapEx!$C$50,CapEx!$G$50,CapEx!$F$50)/12,0)</f>
        <v>0</v>
      </c>
      <c r="CC44" s="295">
        <f>IF(AND(CC$3&gt;=$AC44,CC$3&lt;(CapEx!$F$50*12)+$AC$44,CapEx!$F$50&gt;1),SLN(CapEx!$C$50,CapEx!$G$50,CapEx!$F$50)/12,0)</f>
        <v>0</v>
      </c>
      <c r="CD44" s="295">
        <f>IF(AND(CD$3&gt;=$AC44,CD$3&lt;(CapEx!$F$50*12)+$AC$44,CapEx!$F$50&gt;1),SLN(CapEx!$C$50,CapEx!$G$50,CapEx!$F$50)/12,0)</f>
        <v>0</v>
      </c>
      <c r="CE44" s="295">
        <f>IF(AND(CE$3&gt;=$AC44,CE$3&lt;(CapEx!$F$50*12)+$AC$44,CapEx!$F$50&gt;1),SLN(CapEx!$C$50,CapEx!$G$50,CapEx!$F$50)/12,0)</f>
        <v>0</v>
      </c>
      <c r="CF44" s="295">
        <f>IF(AND(CF$3&gt;=$AC44,CF$3&lt;(CapEx!$F$50*12)+$AC$44,CapEx!$F$50&gt;1),SLN(CapEx!$C$50,CapEx!$G$50,CapEx!$F$50)/12,0)</f>
        <v>0</v>
      </c>
      <c r="CG44" s="295">
        <f>IF(AND(CG$3&gt;=$AC44,CG$3&lt;(CapEx!$F$50*12)+$AC$44,CapEx!$F$50&gt;1),SLN(CapEx!$C$50,CapEx!$G$50,CapEx!$F$50)/12,0)</f>
        <v>0</v>
      </c>
      <c r="CH44" s="295">
        <f>IF(AND(CH$3&gt;=$AC44,CH$3&lt;(CapEx!$F$50*12)+$AC$44,CapEx!$F$50&gt;1),SLN(CapEx!$C$50,CapEx!$G$50,CapEx!$F$50)/12,0)</f>
        <v>0</v>
      </c>
      <c r="CI44" s="295">
        <f>IF(AND(CI$3&gt;=$AC44,CI$3&lt;(CapEx!$F$50*12)+$AC$44,CapEx!$F$50&gt;1),SLN(CapEx!$C$50,CapEx!$G$50,CapEx!$F$50)/12,0)</f>
        <v>0</v>
      </c>
      <c r="CJ44" s="295">
        <f>IF(AND(CJ$3&gt;=$AC44,CJ$3&lt;(CapEx!$F$50*12)+$AC$44,CapEx!$F$50&gt;1),SLN(CapEx!$C$50,CapEx!$G$50,CapEx!$F$50)/12,0)</f>
        <v>0</v>
      </c>
      <c r="CK44" s="295">
        <f>IF(AND(CK$3&gt;=$AC44,CK$3&lt;(CapEx!$F$50*12)+$AC$44,CapEx!$F$50&gt;1),SLN(CapEx!$C$50,CapEx!$G$50,CapEx!$F$50)/12,0)</f>
        <v>0</v>
      </c>
    </row>
    <row r="45" spans="1:89">
      <c r="A45" t="s">
        <v>150</v>
      </c>
      <c r="Y45" s="79">
        <f>CapEx!F51</f>
        <v>1</v>
      </c>
      <c r="Z45" s="145" t="s">
        <v>246</v>
      </c>
      <c r="AA45" s="297">
        <v>42</v>
      </c>
      <c r="AB45">
        <f>CapEx!C51</f>
        <v>0</v>
      </c>
      <c r="AC45" s="79">
        <f>IF(AB45=0,1,DATEDIF($K$12,DATEVALUE("01-"&amp;CapEx!$D51&amp;"-"&amp;CapEx!$E51),"m")+1)</f>
        <v>1</v>
      </c>
      <c r="AD45" s="295">
        <f>IF(AND(AD$3&gt;=$AC45,AD$3&lt;(CapEx!$F$51*12)+$AC$45,CapEx!$F$51&gt;1),SLN(CapEx!$C$51,CapEx!$G$51,CapEx!$F$51)/12,0)</f>
        <v>0</v>
      </c>
      <c r="AE45" s="295">
        <f>IF(AND(AE$3&gt;=$AC45,AE$3&lt;(CapEx!$F$51*12)+$AC$45,CapEx!$F$51&gt;1),SLN(CapEx!$C$51,CapEx!$G$51,CapEx!$F$51)/12,0)</f>
        <v>0</v>
      </c>
      <c r="AF45" s="295">
        <f>IF(AND(AF$3&gt;=$AC45,AF$3&lt;(CapEx!$F$51*12)+$AC$45,CapEx!$F$51&gt;1),SLN(CapEx!$C$51,CapEx!$G$51,CapEx!$F$51)/12,0)</f>
        <v>0</v>
      </c>
      <c r="AG45" s="295">
        <f>IF(AND(AG$3&gt;=$AC45,AG$3&lt;(CapEx!$F$51*12)+$AC$45,CapEx!$F$51&gt;1),SLN(CapEx!$C$51,CapEx!$G$51,CapEx!$F$51)/12,0)</f>
        <v>0</v>
      </c>
      <c r="AH45" s="295">
        <f>IF(AND(AH$3&gt;=$AC45,AH$3&lt;(CapEx!$F$51*12)+$AC$45,CapEx!$F$51&gt;1),SLN(CapEx!$C$51,CapEx!$G$51,CapEx!$F$51)/12,0)</f>
        <v>0</v>
      </c>
      <c r="AI45" s="295">
        <f>IF(AND(AI$3&gt;=$AC45,AI$3&lt;(CapEx!$F$51*12)+$AC$45,CapEx!$F$51&gt;1),SLN(CapEx!$C$51,CapEx!$G$51,CapEx!$F$51)/12,0)</f>
        <v>0</v>
      </c>
      <c r="AJ45" s="295">
        <f>IF(AND(AJ$3&gt;=$AC45,AJ$3&lt;(CapEx!$F$51*12)+$AC$45,CapEx!$F$51&gt;1),SLN(CapEx!$C$51,CapEx!$G$51,CapEx!$F$51)/12,0)</f>
        <v>0</v>
      </c>
      <c r="AK45" s="295">
        <f>IF(AND(AK$3&gt;=$AC45,AK$3&lt;(CapEx!$F$51*12)+$AC$45,CapEx!$F$51&gt;1),SLN(CapEx!$C$51,CapEx!$G$51,CapEx!$F$51)/12,0)</f>
        <v>0</v>
      </c>
      <c r="AL45" s="295">
        <f>IF(AND(AL$3&gt;=$AC45,AL$3&lt;(CapEx!$F$51*12)+$AC$45,CapEx!$F$51&gt;1),SLN(CapEx!$C$51,CapEx!$G$51,CapEx!$F$51)/12,0)</f>
        <v>0</v>
      </c>
      <c r="AM45" s="295">
        <f>IF(AND(AM$3&gt;=$AC45,AM$3&lt;(CapEx!$F$51*12)+$AC$45,CapEx!$F$51&gt;1),SLN(CapEx!$C$51,CapEx!$G$51,CapEx!$F$51)/12,0)</f>
        <v>0</v>
      </c>
      <c r="AN45" s="295">
        <f>IF(AND(AN$3&gt;=$AC45,AN$3&lt;(CapEx!$F$51*12)+$AC$45,CapEx!$F$51&gt;1),SLN(CapEx!$C$51,CapEx!$G$51,CapEx!$F$51)/12,0)</f>
        <v>0</v>
      </c>
      <c r="AO45" s="295">
        <f>IF(AND(AO$3&gt;=$AC45,AO$3&lt;(CapEx!$F$51*12)+$AC$45,CapEx!$F$51&gt;1),SLN(CapEx!$C$51,CapEx!$G$51,CapEx!$F$51)/12,0)</f>
        <v>0</v>
      </c>
      <c r="AP45" s="295">
        <f>IF(AND(AP$3&gt;=$AC45,AP$3&lt;(CapEx!$F$51*12)+$AC$45,CapEx!$F$51&gt;1),SLN(CapEx!$C$51,CapEx!$G$51,CapEx!$F$51)/12,0)</f>
        <v>0</v>
      </c>
      <c r="AQ45" s="295">
        <f>IF(AND(AQ$3&gt;=$AC45,AQ$3&lt;(CapEx!$F$51*12)+$AC$45,CapEx!$F$51&gt;1),SLN(CapEx!$C$51,CapEx!$G$51,CapEx!$F$51)/12,0)</f>
        <v>0</v>
      </c>
      <c r="AR45" s="295">
        <f>IF(AND(AR$3&gt;=$AC45,AR$3&lt;(CapEx!$F$51*12)+$AC$45,CapEx!$F$51&gt;1),SLN(CapEx!$C$51,CapEx!$G$51,CapEx!$F$51)/12,0)</f>
        <v>0</v>
      </c>
      <c r="AS45" s="295">
        <f>IF(AND(AS$3&gt;=$AC45,AS$3&lt;(CapEx!$F$51*12)+$AC$45,CapEx!$F$51&gt;1),SLN(CapEx!$C$51,CapEx!$G$51,CapEx!$F$51)/12,0)</f>
        <v>0</v>
      </c>
      <c r="AT45" s="295">
        <f>IF(AND(AT$3&gt;=$AC45,AT$3&lt;(CapEx!$F$51*12)+$AC$45,CapEx!$F$51&gt;1),SLN(CapEx!$C$51,CapEx!$G$51,CapEx!$F$51)/12,0)</f>
        <v>0</v>
      </c>
      <c r="AU45" s="295">
        <f>IF(AND(AU$3&gt;=$AC45,AU$3&lt;(CapEx!$F$51*12)+$AC$45,CapEx!$F$51&gt;1),SLN(CapEx!$C$51,CapEx!$G$51,CapEx!$F$51)/12,0)</f>
        <v>0</v>
      </c>
      <c r="AV45" s="295">
        <f>IF(AND(AV$3&gt;=$AC45,AV$3&lt;(CapEx!$F$51*12)+$AC$45,CapEx!$F$51&gt;1),SLN(CapEx!$C$51,CapEx!$G$51,CapEx!$F$51)/12,0)</f>
        <v>0</v>
      </c>
      <c r="AW45" s="295">
        <f>IF(AND(AW$3&gt;=$AC45,AW$3&lt;(CapEx!$F$51*12)+$AC$45,CapEx!$F$51&gt;1),SLN(CapEx!$C$51,CapEx!$G$51,CapEx!$F$51)/12,0)</f>
        <v>0</v>
      </c>
      <c r="AX45" s="295">
        <f>IF(AND(AX$3&gt;=$AC45,AX$3&lt;(CapEx!$F$51*12)+$AC$45,CapEx!$F$51&gt;1),SLN(CapEx!$C$51,CapEx!$G$51,CapEx!$F$51)/12,0)</f>
        <v>0</v>
      </c>
      <c r="AY45" s="295">
        <f>IF(AND(AY$3&gt;=$AC45,AY$3&lt;(CapEx!$F$51*12)+$AC$45,CapEx!$F$51&gt;1),SLN(CapEx!$C$51,CapEx!$G$51,CapEx!$F$51)/12,0)</f>
        <v>0</v>
      </c>
      <c r="AZ45" s="295">
        <f>IF(AND(AZ$3&gt;=$AC45,AZ$3&lt;(CapEx!$F$51*12)+$AC$45,CapEx!$F$51&gt;1),SLN(CapEx!$C$51,CapEx!$G$51,CapEx!$F$51)/12,0)</f>
        <v>0</v>
      </c>
      <c r="BA45" s="295">
        <f>IF(AND(BA$3&gt;=$AC45,BA$3&lt;(CapEx!$F$51*12)+$AC$45,CapEx!$F$51&gt;1),SLN(CapEx!$C$51,CapEx!$G$51,CapEx!$F$51)/12,0)</f>
        <v>0</v>
      </c>
      <c r="BB45" s="295">
        <f>IF(AND(BB$3&gt;=$AC45,BB$3&lt;(CapEx!$F$51*12)+$AC$45,CapEx!$F$51&gt;1),SLN(CapEx!$C$51,CapEx!$G$51,CapEx!$F$51)/12,0)</f>
        <v>0</v>
      </c>
      <c r="BC45" s="295">
        <f>IF(AND(BC$3&gt;=$AC45,BC$3&lt;(CapEx!$F$51*12)+$AC$45,CapEx!$F$51&gt;1),SLN(CapEx!$C$51,CapEx!$G$51,CapEx!$F$51)/12,0)</f>
        <v>0</v>
      </c>
      <c r="BD45" s="295">
        <f>IF(AND(BD$3&gt;=$AC45,BD$3&lt;(CapEx!$F$51*12)+$AC$45,CapEx!$F$51&gt;1),SLN(CapEx!$C$51,CapEx!$G$51,CapEx!$F$51)/12,0)</f>
        <v>0</v>
      </c>
      <c r="BE45" s="295">
        <f>IF(AND(BE$3&gt;=$AC45,BE$3&lt;(CapEx!$F$51*12)+$AC$45,CapEx!$F$51&gt;1),SLN(CapEx!$C$51,CapEx!$G$51,CapEx!$F$51)/12,0)</f>
        <v>0</v>
      </c>
      <c r="BF45" s="295">
        <f>IF(AND(BF$3&gt;=$AC45,BF$3&lt;(CapEx!$F$51*12)+$AC$45,CapEx!$F$51&gt;1),SLN(CapEx!$C$51,CapEx!$G$51,CapEx!$F$51)/12,0)</f>
        <v>0</v>
      </c>
      <c r="BG45" s="295">
        <f>IF(AND(BG$3&gt;=$AC45,BG$3&lt;(CapEx!$F$51*12)+$AC$45,CapEx!$F$51&gt;1),SLN(CapEx!$C$51,CapEx!$G$51,CapEx!$F$51)/12,0)</f>
        <v>0</v>
      </c>
      <c r="BH45" s="295">
        <f>IF(AND(BH$3&gt;=$AC45,BH$3&lt;(CapEx!$F$51*12)+$AC$45,CapEx!$F$51&gt;1),SLN(CapEx!$C$51,CapEx!$G$51,CapEx!$F$51)/12,0)</f>
        <v>0</v>
      </c>
      <c r="BI45" s="295">
        <f>IF(AND(BI$3&gt;=$AC45,BI$3&lt;(CapEx!$F$51*12)+$AC$45,CapEx!$F$51&gt;1),SLN(CapEx!$C$51,CapEx!$G$51,CapEx!$F$51)/12,0)</f>
        <v>0</v>
      </c>
      <c r="BJ45" s="295">
        <f>IF(AND(BJ$3&gt;=$AC45,BJ$3&lt;(CapEx!$F$51*12)+$AC$45,CapEx!$F$51&gt;1),SLN(CapEx!$C$51,CapEx!$G$51,CapEx!$F$51)/12,0)</f>
        <v>0</v>
      </c>
      <c r="BK45" s="295">
        <f>IF(AND(BK$3&gt;=$AC45,BK$3&lt;(CapEx!$F$51*12)+$AC$45,CapEx!$F$51&gt;1),SLN(CapEx!$C$51,CapEx!$G$51,CapEx!$F$51)/12,0)</f>
        <v>0</v>
      </c>
      <c r="BL45" s="295">
        <f>IF(AND(BL$3&gt;=$AC45,BL$3&lt;(CapEx!$F$51*12)+$AC$45,CapEx!$F$51&gt;1),SLN(CapEx!$C$51,CapEx!$G$51,CapEx!$F$51)/12,0)</f>
        <v>0</v>
      </c>
      <c r="BM45" s="295">
        <f>IF(AND(BM$3&gt;=$AC45,BM$3&lt;(CapEx!$F$51*12)+$AC$45,CapEx!$F$51&gt;1),SLN(CapEx!$C$51,CapEx!$G$51,CapEx!$F$51)/12,0)</f>
        <v>0</v>
      </c>
      <c r="BN45" s="295">
        <f>IF(AND(BN$3&gt;=$AC45,BN$3&lt;(CapEx!$F$51*12)+$AC$45,CapEx!$F$51&gt;1),SLN(CapEx!$C$51,CapEx!$G$51,CapEx!$F$51)/12,0)</f>
        <v>0</v>
      </c>
      <c r="BO45" s="295">
        <f>IF(AND(BO$3&gt;=$AC45,BO$3&lt;(CapEx!$F$51*12)+$AC$45,CapEx!$F$51&gt;1),SLN(CapEx!$C$51,CapEx!$G$51,CapEx!$F$51)/12,0)</f>
        <v>0</v>
      </c>
      <c r="BP45" s="295">
        <f>IF(AND(BP$3&gt;=$AC45,BP$3&lt;(CapEx!$F$51*12)+$AC$45,CapEx!$F$51&gt;1),SLN(CapEx!$C$51,CapEx!$G$51,CapEx!$F$51)/12,0)</f>
        <v>0</v>
      </c>
      <c r="BQ45" s="295">
        <f>IF(AND(BQ$3&gt;=$AC45,BQ$3&lt;(CapEx!$F$51*12)+$AC$45,CapEx!$F$51&gt;1),SLN(CapEx!$C$51,CapEx!$G$51,CapEx!$F$51)/12,0)</f>
        <v>0</v>
      </c>
      <c r="BR45" s="295">
        <f>IF(AND(BR$3&gt;=$AC45,BR$3&lt;(CapEx!$F$51*12)+$AC$45,CapEx!$F$51&gt;1),SLN(CapEx!$C$51,CapEx!$G$51,CapEx!$F$51)/12,0)</f>
        <v>0</v>
      </c>
      <c r="BS45" s="295">
        <f>IF(AND(BS$3&gt;=$AC45,BS$3&lt;(CapEx!$F$51*12)+$AC$45,CapEx!$F$51&gt;1),SLN(CapEx!$C$51,CapEx!$G$51,CapEx!$F$51)/12,0)</f>
        <v>0</v>
      </c>
      <c r="BT45" s="295">
        <f>IF(AND(BT$3&gt;=$AC45,BT$3&lt;(CapEx!$F$51*12)+$AC$45,CapEx!$F$51&gt;1),SLN(CapEx!$C$51,CapEx!$G$51,CapEx!$F$51)/12,0)</f>
        <v>0</v>
      </c>
      <c r="BU45" s="295">
        <f>IF(AND(BU$3&gt;=$AC45,BU$3&lt;(CapEx!$F$51*12)+$AC$45,CapEx!$F$51&gt;1),SLN(CapEx!$C$51,CapEx!$G$51,CapEx!$F$51)/12,0)</f>
        <v>0</v>
      </c>
      <c r="BV45" s="295">
        <f>IF(AND(BV$3&gt;=$AC45,BV$3&lt;(CapEx!$F$51*12)+$AC$45,CapEx!$F$51&gt;1),SLN(CapEx!$C$51,CapEx!$G$51,CapEx!$F$51)/12,0)</f>
        <v>0</v>
      </c>
      <c r="BW45" s="295">
        <f>IF(AND(BW$3&gt;=$AC45,BW$3&lt;(CapEx!$F$51*12)+$AC$45,CapEx!$F$51&gt;1),SLN(CapEx!$C$51,CapEx!$G$51,CapEx!$F$51)/12,0)</f>
        <v>0</v>
      </c>
      <c r="BX45" s="295">
        <f>IF(AND(BX$3&gt;=$AC45,BX$3&lt;(CapEx!$F$51*12)+$AC$45,CapEx!$F$51&gt;1),SLN(CapEx!$C$51,CapEx!$G$51,CapEx!$F$51)/12,0)</f>
        <v>0</v>
      </c>
      <c r="BY45" s="295">
        <f>IF(AND(BY$3&gt;=$AC45,BY$3&lt;(CapEx!$F$51*12)+$AC$45,CapEx!$F$51&gt;1),SLN(CapEx!$C$51,CapEx!$G$51,CapEx!$F$51)/12,0)</f>
        <v>0</v>
      </c>
      <c r="BZ45" s="295">
        <f>IF(AND(BZ$3&gt;=$AC45,BZ$3&lt;(CapEx!$F$51*12)+$AC$45,CapEx!$F$51&gt;1),SLN(CapEx!$C$51,CapEx!$G$51,CapEx!$F$51)/12,0)</f>
        <v>0</v>
      </c>
      <c r="CA45" s="295">
        <f>IF(AND(CA$3&gt;=$AC45,CA$3&lt;(CapEx!$F$51*12)+$AC$45,CapEx!$F$51&gt;1),SLN(CapEx!$C$51,CapEx!$G$51,CapEx!$F$51)/12,0)</f>
        <v>0</v>
      </c>
      <c r="CB45" s="295">
        <f>IF(AND(CB$3&gt;=$AC45,CB$3&lt;(CapEx!$F$51*12)+$AC$45,CapEx!$F$51&gt;1),SLN(CapEx!$C$51,CapEx!$G$51,CapEx!$F$51)/12,0)</f>
        <v>0</v>
      </c>
      <c r="CC45" s="295">
        <f>IF(AND(CC$3&gt;=$AC45,CC$3&lt;(CapEx!$F$51*12)+$AC$45,CapEx!$F$51&gt;1),SLN(CapEx!$C$51,CapEx!$G$51,CapEx!$F$51)/12,0)</f>
        <v>0</v>
      </c>
      <c r="CD45" s="295">
        <f>IF(AND(CD$3&gt;=$AC45,CD$3&lt;(CapEx!$F$51*12)+$AC$45,CapEx!$F$51&gt;1),SLN(CapEx!$C$51,CapEx!$G$51,CapEx!$F$51)/12,0)</f>
        <v>0</v>
      </c>
      <c r="CE45" s="295">
        <f>IF(AND(CE$3&gt;=$AC45,CE$3&lt;(CapEx!$F$51*12)+$AC$45,CapEx!$F$51&gt;1),SLN(CapEx!$C$51,CapEx!$G$51,CapEx!$F$51)/12,0)</f>
        <v>0</v>
      </c>
      <c r="CF45" s="295">
        <f>IF(AND(CF$3&gt;=$AC45,CF$3&lt;(CapEx!$F$51*12)+$AC$45,CapEx!$F$51&gt;1),SLN(CapEx!$C$51,CapEx!$G$51,CapEx!$F$51)/12,0)</f>
        <v>0</v>
      </c>
      <c r="CG45" s="295">
        <f>IF(AND(CG$3&gt;=$AC45,CG$3&lt;(CapEx!$F$51*12)+$AC$45,CapEx!$F$51&gt;1),SLN(CapEx!$C$51,CapEx!$G$51,CapEx!$F$51)/12,0)</f>
        <v>0</v>
      </c>
      <c r="CH45" s="295">
        <f>IF(AND(CH$3&gt;=$AC45,CH$3&lt;(CapEx!$F$51*12)+$AC$45,CapEx!$F$51&gt;1),SLN(CapEx!$C$51,CapEx!$G$51,CapEx!$F$51)/12,0)</f>
        <v>0</v>
      </c>
      <c r="CI45" s="295">
        <f>IF(AND(CI$3&gt;=$AC45,CI$3&lt;(CapEx!$F$51*12)+$AC$45,CapEx!$F$51&gt;1),SLN(CapEx!$C$51,CapEx!$G$51,CapEx!$F$51)/12,0)</f>
        <v>0</v>
      </c>
      <c r="CJ45" s="295">
        <f>IF(AND(CJ$3&gt;=$AC45,CJ$3&lt;(CapEx!$F$51*12)+$AC$45,CapEx!$F$51&gt;1),SLN(CapEx!$C$51,CapEx!$G$51,CapEx!$F$51)/12,0)</f>
        <v>0</v>
      </c>
      <c r="CK45" s="295">
        <f>IF(AND(CK$3&gt;=$AC45,CK$3&lt;(CapEx!$F$51*12)+$AC$45,CapEx!$F$51&gt;1),SLN(CapEx!$C$51,CapEx!$G$51,CapEx!$F$51)/12,0)</f>
        <v>0</v>
      </c>
    </row>
    <row r="46" spans="1:89">
      <c r="A46" t="s">
        <v>11</v>
      </c>
      <c r="Y46" s="79">
        <f>CapEx!F52</f>
        <v>1</v>
      </c>
      <c r="Z46" s="145" t="s">
        <v>246</v>
      </c>
      <c r="AA46" s="297">
        <v>43</v>
      </c>
      <c r="AB46">
        <f>CapEx!C52</f>
        <v>0</v>
      </c>
      <c r="AC46" s="79">
        <f>IF(AB46=0,1,DATEDIF($K$12,DATEVALUE("01-"&amp;CapEx!$D52&amp;"-"&amp;CapEx!$E52),"m")+1)</f>
        <v>1</v>
      </c>
      <c r="AD46" s="295">
        <f>IF(AND(AD$3&gt;=$AC46,AD$3&lt;(CapEx!$F$52*12)+$AC$46,CapEx!$F$52&gt;1),SLN(CapEx!$C$52,CapEx!$G$52,CapEx!$F$52)/12,0)</f>
        <v>0</v>
      </c>
      <c r="AE46" s="295">
        <f>IF(AND(AE$3&gt;=$AC46,AE$3&lt;(CapEx!$F$52*12)+$AC$46,CapEx!$F$52&gt;1),SLN(CapEx!$C$52,CapEx!$G$52,CapEx!$F$52)/12,0)</f>
        <v>0</v>
      </c>
      <c r="AF46" s="295">
        <f>IF(AND(AF$3&gt;=$AC46,AF$3&lt;(CapEx!$F$52*12)+$AC$46,CapEx!$F$52&gt;1),SLN(CapEx!$C$52,CapEx!$G$52,CapEx!$F$52)/12,0)</f>
        <v>0</v>
      </c>
      <c r="AG46" s="295">
        <f>IF(AND(AG$3&gt;=$AC46,AG$3&lt;(CapEx!$F$52*12)+$AC$46,CapEx!$F$52&gt;1),SLN(CapEx!$C$52,CapEx!$G$52,CapEx!$F$52)/12,0)</f>
        <v>0</v>
      </c>
      <c r="AH46" s="295">
        <f>IF(AND(AH$3&gt;=$AC46,AH$3&lt;(CapEx!$F$52*12)+$AC$46,CapEx!$F$52&gt;1),SLN(CapEx!$C$52,CapEx!$G$52,CapEx!$F$52)/12,0)</f>
        <v>0</v>
      </c>
      <c r="AI46" s="295">
        <f>IF(AND(AI$3&gt;=$AC46,AI$3&lt;(CapEx!$F$52*12)+$AC$46,CapEx!$F$52&gt;1),SLN(CapEx!$C$52,CapEx!$G$52,CapEx!$F$52)/12,0)</f>
        <v>0</v>
      </c>
      <c r="AJ46" s="295">
        <f>IF(AND(AJ$3&gt;=$AC46,AJ$3&lt;(CapEx!$F$52*12)+$AC$46,CapEx!$F$52&gt;1),SLN(CapEx!$C$52,CapEx!$G$52,CapEx!$F$52)/12,0)</f>
        <v>0</v>
      </c>
      <c r="AK46" s="295">
        <f>IF(AND(AK$3&gt;=$AC46,AK$3&lt;(CapEx!$F$52*12)+$AC$46,CapEx!$F$52&gt;1),SLN(CapEx!$C$52,CapEx!$G$52,CapEx!$F$52)/12,0)</f>
        <v>0</v>
      </c>
      <c r="AL46" s="295">
        <f>IF(AND(AL$3&gt;=$AC46,AL$3&lt;(CapEx!$F$52*12)+$AC$46,CapEx!$F$52&gt;1),SLN(CapEx!$C$52,CapEx!$G$52,CapEx!$F$52)/12,0)</f>
        <v>0</v>
      </c>
      <c r="AM46" s="295">
        <f>IF(AND(AM$3&gt;=$AC46,AM$3&lt;(CapEx!$F$52*12)+$AC$46,CapEx!$F$52&gt;1),SLN(CapEx!$C$52,CapEx!$G$52,CapEx!$F$52)/12,0)</f>
        <v>0</v>
      </c>
      <c r="AN46" s="295">
        <f>IF(AND(AN$3&gt;=$AC46,AN$3&lt;(CapEx!$F$52*12)+$AC$46,CapEx!$F$52&gt;1),SLN(CapEx!$C$52,CapEx!$G$52,CapEx!$F$52)/12,0)</f>
        <v>0</v>
      </c>
      <c r="AO46" s="295">
        <f>IF(AND(AO$3&gt;=$AC46,AO$3&lt;(CapEx!$F$52*12)+$AC$46,CapEx!$F$52&gt;1),SLN(CapEx!$C$52,CapEx!$G$52,CapEx!$F$52)/12,0)</f>
        <v>0</v>
      </c>
      <c r="AP46" s="295">
        <f>IF(AND(AP$3&gt;=$AC46,AP$3&lt;(CapEx!$F$52*12)+$AC$46,CapEx!$F$52&gt;1),SLN(CapEx!$C$52,CapEx!$G$52,CapEx!$F$52)/12,0)</f>
        <v>0</v>
      </c>
      <c r="AQ46" s="295">
        <f>IF(AND(AQ$3&gt;=$AC46,AQ$3&lt;(CapEx!$F$52*12)+$AC$46,CapEx!$F$52&gt;1),SLN(CapEx!$C$52,CapEx!$G$52,CapEx!$F$52)/12,0)</f>
        <v>0</v>
      </c>
      <c r="AR46" s="295">
        <f>IF(AND(AR$3&gt;=$AC46,AR$3&lt;(CapEx!$F$52*12)+$AC$46,CapEx!$F$52&gt;1),SLN(CapEx!$C$52,CapEx!$G$52,CapEx!$F$52)/12,0)</f>
        <v>0</v>
      </c>
      <c r="AS46" s="295">
        <f>IF(AND(AS$3&gt;=$AC46,AS$3&lt;(CapEx!$F$52*12)+$AC$46,CapEx!$F$52&gt;1),SLN(CapEx!$C$52,CapEx!$G$52,CapEx!$F$52)/12,0)</f>
        <v>0</v>
      </c>
      <c r="AT46" s="295">
        <f>IF(AND(AT$3&gt;=$AC46,AT$3&lt;(CapEx!$F$52*12)+$AC$46,CapEx!$F$52&gt;1),SLN(CapEx!$C$52,CapEx!$G$52,CapEx!$F$52)/12,0)</f>
        <v>0</v>
      </c>
      <c r="AU46" s="295">
        <f>IF(AND(AU$3&gt;=$AC46,AU$3&lt;(CapEx!$F$52*12)+$AC$46,CapEx!$F$52&gt;1),SLN(CapEx!$C$52,CapEx!$G$52,CapEx!$F$52)/12,0)</f>
        <v>0</v>
      </c>
      <c r="AV46" s="295">
        <f>IF(AND(AV$3&gt;=$AC46,AV$3&lt;(CapEx!$F$52*12)+$AC$46,CapEx!$F$52&gt;1),SLN(CapEx!$C$52,CapEx!$G$52,CapEx!$F$52)/12,0)</f>
        <v>0</v>
      </c>
      <c r="AW46" s="295">
        <f>IF(AND(AW$3&gt;=$AC46,AW$3&lt;(CapEx!$F$52*12)+$AC$46,CapEx!$F$52&gt;1),SLN(CapEx!$C$52,CapEx!$G$52,CapEx!$F$52)/12,0)</f>
        <v>0</v>
      </c>
      <c r="AX46" s="295">
        <f>IF(AND(AX$3&gt;=$AC46,AX$3&lt;(CapEx!$F$52*12)+$AC$46,CapEx!$F$52&gt;1),SLN(CapEx!$C$52,CapEx!$G$52,CapEx!$F$52)/12,0)</f>
        <v>0</v>
      </c>
      <c r="AY46" s="295">
        <f>IF(AND(AY$3&gt;=$AC46,AY$3&lt;(CapEx!$F$52*12)+$AC$46,CapEx!$F$52&gt;1),SLN(CapEx!$C$52,CapEx!$G$52,CapEx!$F$52)/12,0)</f>
        <v>0</v>
      </c>
      <c r="AZ46" s="295">
        <f>IF(AND(AZ$3&gt;=$AC46,AZ$3&lt;(CapEx!$F$52*12)+$AC$46,CapEx!$F$52&gt;1),SLN(CapEx!$C$52,CapEx!$G$52,CapEx!$F$52)/12,0)</f>
        <v>0</v>
      </c>
      <c r="BA46" s="295">
        <f>IF(AND(BA$3&gt;=$AC46,BA$3&lt;(CapEx!$F$52*12)+$AC$46,CapEx!$F$52&gt;1),SLN(CapEx!$C$52,CapEx!$G$52,CapEx!$F$52)/12,0)</f>
        <v>0</v>
      </c>
      <c r="BB46" s="295">
        <f>IF(AND(BB$3&gt;=$AC46,BB$3&lt;(CapEx!$F$52*12)+$AC$46,CapEx!$F$52&gt;1),SLN(CapEx!$C$52,CapEx!$G$52,CapEx!$F$52)/12,0)</f>
        <v>0</v>
      </c>
      <c r="BC46" s="295">
        <f>IF(AND(BC$3&gt;=$AC46,BC$3&lt;(CapEx!$F$52*12)+$AC$46,CapEx!$F$52&gt;1),SLN(CapEx!$C$52,CapEx!$G$52,CapEx!$F$52)/12,0)</f>
        <v>0</v>
      </c>
      <c r="BD46" s="295">
        <f>IF(AND(BD$3&gt;=$AC46,BD$3&lt;(CapEx!$F$52*12)+$AC$46,CapEx!$F$52&gt;1),SLN(CapEx!$C$52,CapEx!$G$52,CapEx!$F$52)/12,0)</f>
        <v>0</v>
      </c>
      <c r="BE46" s="295">
        <f>IF(AND(BE$3&gt;=$AC46,BE$3&lt;(CapEx!$F$52*12)+$AC$46,CapEx!$F$52&gt;1),SLN(CapEx!$C$52,CapEx!$G$52,CapEx!$F$52)/12,0)</f>
        <v>0</v>
      </c>
      <c r="BF46" s="295">
        <f>IF(AND(BF$3&gt;=$AC46,BF$3&lt;(CapEx!$F$52*12)+$AC$46,CapEx!$F$52&gt;1),SLN(CapEx!$C$52,CapEx!$G$52,CapEx!$F$52)/12,0)</f>
        <v>0</v>
      </c>
      <c r="BG46" s="295">
        <f>IF(AND(BG$3&gt;=$AC46,BG$3&lt;(CapEx!$F$52*12)+$AC$46,CapEx!$F$52&gt;1),SLN(CapEx!$C$52,CapEx!$G$52,CapEx!$F$52)/12,0)</f>
        <v>0</v>
      </c>
      <c r="BH46" s="295">
        <f>IF(AND(BH$3&gt;=$AC46,BH$3&lt;(CapEx!$F$52*12)+$AC$46,CapEx!$F$52&gt;1),SLN(CapEx!$C$52,CapEx!$G$52,CapEx!$F$52)/12,0)</f>
        <v>0</v>
      </c>
      <c r="BI46" s="295">
        <f>IF(AND(BI$3&gt;=$AC46,BI$3&lt;(CapEx!$F$52*12)+$AC$46,CapEx!$F$52&gt;1),SLN(CapEx!$C$52,CapEx!$G$52,CapEx!$F$52)/12,0)</f>
        <v>0</v>
      </c>
      <c r="BJ46" s="295">
        <f>IF(AND(BJ$3&gt;=$AC46,BJ$3&lt;(CapEx!$F$52*12)+$AC$46,CapEx!$F$52&gt;1),SLN(CapEx!$C$52,CapEx!$G$52,CapEx!$F$52)/12,0)</f>
        <v>0</v>
      </c>
      <c r="BK46" s="295">
        <f>IF(AND(BK$3&gt;=$AC46,BK$3&lt;(CapEx!$F$52*12)+$AC$46,CapEx!$F$52&gt;1),SLN(CapEx!$C$52,CapEx!$G$52,CapEx!$F$52)/12,0)</f>
        <v>0</v>
      </c>
      <c r="BL46" s="295">
        <f>IF(AND(BL$3&gt;=$AC46,BL$3&lt;(CapEx!$F$52*12)+$AC$46,CapEx!$F$52&gt;1),SLN(CapEx!$C$52,CapEx!$G$52,CapEx!$F$52)/12,0)</f>
        <v>0</v>
      </c>
      <c r="BM46" s="295">
        <f>IF(AND(BM$3&gt;=$AC46,BM$3&lt;(CapEx!$F$52*12)+$AC$46,CapEx!$F$52&gt;1),SLN(CapEx!$C$52,CapEx!$G$52,CapEx!$F$52)/12,0)</f>
        <v>0</v>
      </c>
      <c r="BN46" s="295">
        <f>IF(AND(BN$3&gt;=$AC46,BN$3&lt;(CapEx!$F$52*12)+$AC$46,CapEx!$F$52&gt;1),SLN(CapEx!$C$52,CapEx!$G$52,CapEx!$F$52)/12,0)</f>
        <v>0</v>
      </c>
      <c r="BO46" s="295">
        <f>IF(AND(BO$3&gt;=$AC46,BO$3&lt;(CapEx!$F$52*12)+$AC$46,CapEx!$F$52&gt;1),SLN(CapEx!$C$52,CapEx!$G$52,CapEx!$F$52)/12,0)</f>
        <v>0</v>
      </c>
      <c r="BP46" s="295">
        <f>IF(AND(BP$3&gt;=$AC46,BP$3&lt;(CapEx!$F$52*12)+$AC$46,CapEx!$F$52&gt;1),SLN(CapEx!$C$52,CapEx!$G$52,CapEx!$F$52)/12,0)</f>
        <v>0</v>
      </c>
      <c r="BQ46" s="295">
        <f>IF(AND(BQ$3&gt;=$AC46,BQ$3&lt;(CapEx!$F$52*12)+$AC$46,CapEx!$F$52&gt;1),SLN(CapEx!$C$52,CapEx!$G$52,CapEx!$F$52)/12,0)</f>
        <v>0</v>
      </c>
      <c r="BR46" s="295">
        <f>IF(AND(BR$3&gt;=$AC46,BR$3&lt;(CapEx!$F$52*12)+$AC$46,CapEx!$F$52&gt;1),SLN(CapEx!$C$52,CapEx!$G$52,CapEx!$F$52)/12,0)</f>
        <v>0</v>
      </c>
      <c r="BS46" s="295">
        <f>IF(AND(BS$3&gt;=$AC46,BS$3&lt;(CapEx!$F$52*12)+$AC$46,CapEx!$F$52&gt;1),SLN(CapEx!$C$52,CapEx!$G$52,CapEx!$F$52)/12,0)</f>
        <v>0</v>
      </c>
      <c r="BT46" s="295">
        <f>IF(AND(BT$3&gt;=$AC46,BT$3&lt;(CapEx!$F$52*12)+$AC$46,CapEx!$F$52&gt;1),SLN(CapEx!$C$52,CapEx!$G$52,CapEx!$F$52)/12,0)</f>
        <v>0</v>
      </c>
      <c r="BU46" s="295">
        <f>IF(AND(BU$3&gt;=$AC46,BU$3&lt;(CapEx!$F$52*12)+$AC$46,CapEx!$F$52&gt;1),SLN(CapEx!$C$52,CapEx!$G$52,CapEx!$F$52)/12,0)</f>
        <v>0</v>
      </c>
      <c r="BV46" s="295">
        <f>IF(AND(BV$3&gt;=$AC46,BV$3&lt;(CapEx!$F$52*12)+$AC$46,CapEx!$F$52&gt;1),SLN(CapEx!$C$52,CapEx!$G$52,CapEx!$F$52)/12,0)</f>
        <v>0</v>
      </c>
      <c r="BW46" s="295">
        <f>IF(AND(BW$3&gt;=$AC46,BW$3&lt;(CapEx!$F$52*12)+$AC$46,CapEx!$F$52&gt;1),SLN(CapEx!$C$52,CapEx!$G$52,CapEx!$F$52)/12,0)</f>
        <v>0</v>
      </c>
      <c r="BX46" s="295">
        <f>IF(AND(BX$3&gt;=$AC46,BX$3&lt;(CapEx!$F$52*12)+$AC$46,CapEx!$F$52&gt;1),SLN(CapEx!$C$52,CapEx!$G$52,CapEx!$F$52)/12,0)</f>
        <v>0</v>
      </c>
      <c r="BY46" s="295">
        <f>IF(AND(BY$3&gt;=$AC46,BY$3&lt;(CapEx!$F$52*12)+$AC$46,CapEx!$F$52&gt;1),SLN(CapEx!$C$52,CapEx!$G$52,CapEx!$F$52)/12,0)</f>
        <v>0</v>
      </c>
      <c r="BZ46" s="295">
        <f>IF(AND(BZ$3&gt;=$AC46,BZ$3&lt;(CapEx!$F$52*12)+$AC$46,CapEx!$F$52&gt;1),SLN(CapEx!$C$52,CapEx!$G$52,CapEx!$F$52)/12,0)</f>
        <v>0</v>
      </c>
      <c r="CA46" s="295">
        <f>IF(AND(CA$3&gt;=$AC46,CA$3&lt;(CapEx!$F$52*12)+$AC$46,CapEx!$F$52&gt;1),SLN(CapEx!$C$52,CapEx!$G$52,CapEx!$F$52)/12,0)</f>
        <v>0</v>
      </c>
      <c r="CB46" s="295">
        <f>IF(AND(CB$3&gt;=$AC46,CB$3&lt;(CapEx!$F$52*12)+$AC$46,CapEx!$F$52&gt;1),SLN(CapEx!$C$52,CapEx!$G$52,CapEx!$F$52)/12,0)</f>
        <v>0</v>
      </c>
      <c r="CC46" s="295">
        <f>IF(AND(CC$3&gt;=$AC46,CC$3&lt;(CapEx!$F$52*12)+$AC$46,CapEx!$F$52&gt;1),SLN(CapEx!$C$52,CapEx!$G$52,CapEx!$F$52)/12,0)</f>
        <v>0</v>
      </c>
      <c r="CD46" s="295">
        <f>IF(AND(CD$3&gt;=$AC46,CD$3&lt;(CapEx!$F$52*12)+$AC$46,CapEx!$F$52&gt;1),SLN(CapEx!$C$52,CapEx!$G$52,CapEx!$F$52)/12,0)</f>
        <v>0</v>
      </c>
      <c r="CE46" s="295">
        <f>IF(AND(CE$3&gt;=$AC46,CE$3&lt;(CapEx!$F$52*12)+$AC$46,CapEx!$F$52&gt;1),SLN(CapEx!$C$52,CapEx!$G$52,CapEx!$F$52)/12,0)</f>
        <v>0</v>
      </c>
      <c r="CF46" s="295">
        <f>IF(AND(CF$3&gt;=$AC46,CF$3&lt;(CapEx!$F$52*12)+$AC$46,CapEx!$F$52&gt;1),SLN(CapEx!$C$52,CapEx!$G$52,CapEx!$F$52)/12,0)</f>
        <v>0</v>
      </c>
      <c r="CG46" s="295">
        <f>IF(AND(CG$3&gt;=$AC46,CG$3&lt;(CapEx!$F$52*12)+$AC$46,CapEx!$F$52&gt;1),SLN(CapEx!$C$52,CapEx!$G$52,CapEx!$F$52)/12,0)</f>
        <v>0</v>
      </c>
      <c r="CH46" s="295">
        <f>IF(AND(CH$3&gt;=$AC46,CH$3&lt;(CapEx!$F$52*12)+$AC$46,CapEx!$F$52&gt;1),SLN(CapEx!$C$52,CapEx!$G$52,CapEx!$F$52)/12,0)</f>
        <v>0</v>
      </c>
      <c r="CI46" s="295">
        <f>IF(AND(CI$3&gt;=$AC46,CI$3&lt;(CapEx!$F$52*12)+$AC$46,CapEx!$F$52&gt;1),SLN(CapEx!$C$52,CapEx!$G$52,CapEx!$F$52)/12,0)</f>
        <v>0</v>
      </c>
      <c r="CJ46" s="295">
        <f>IF(AND(CJ$3&gt;=$AC46,CJ$3&lt;(CapEx!$F$52*12)+$AC$46,CapEx!$F$52&gt;1),SLN(CapEx!$C$52,CapEx!$G$52,CapEx!$F$52)/12,0)</f>
        <v>0</v>
      </c>
      <c r="CK46" s="295">
        <f>IF(AND(CK$3&gt;=$AC46,CK$3&lt;(CapEx!$F$52*12)+$AC$46,CapEx!$F$52&gt;1),SLN(CapEx!$C$52,CapEx!$G$52,CapEx!$F$52)/12,0)</f>
        <v>0</v>
      </c>
    </row>
    <row r="47" spans="1:89">
      <c r="A47" t="s">
        <v>12</v>
      </c>
      <c r="Y47" s="79">
        <f>CapEx!F53</f>
        <v>1</v>
      </c>
      <c r="Z47" s="145" t="s">
        <v>246</v>
      </c>
      <c r="AA47" s="297">
        <v>44</v>
      </c>
      <c r="AB47">
        <f>CapEx!C53</f>
        <v>0</v>
      </c>
      <c r="AC47" s="79">
        <f>IF(AB47=0,1,DATEDIF($K$12,DATEVALUE("01-"&amp;CapEx!$D53&amp;"-"&amp;CapEx!$E53),"m")+1)</f>
        <v>1</v>
      </c>
      <c r="AD47" s="295">
        <f>IF(AND(AD$3&gt;=$AC47,AD$3&lt;(CapEx!$F$53*12)+$AC$47,CapEx!$F$53&gt;1),SLN(CapEx!$C$53,CapEx!$G$53,CapEx!$F$53)/12,0)</f>
        <v>0</v>
      </c>
      <c r="AE47" s="295">
        <f>IF(AND(AE$3&gt;=$AC47,AE$3&lt;(CapEx!$F$53*12)+$AC$47,CapEx!$F$53&gt;1),SLN(CapEx!$C$53,CapEx!$G$53,CapEx!$F$53)/12,0)</f>
        <v>0</v>
      </c>
      <c r="AF47" s="295">
        <f>IF(AND(AF$3&gt;=$AC47,AF$3&lt;(CapEx!$F$53*12)+$AC$47,CapEx!$F$53&gt;1),SLN(CapEx!$C$53,CapEx!$G$53,CapEx!$F$53)/12,0)</f>
        <v>0</v>
      </c>
      <c r="AG47" s="295">
        <f>IF(AND(AG$3&gt;=$AC47,AG$3&lt;(CapEx!$F$53*12)+$AC$47,CapEx!$F$53&gt;1),SLN(CapEx!$C$53,CapEx!$G$53,CapEx!$F$53)/12,0)</f>
        <v>0</v>
      </c>
      <c r="AH47" s="295">
        <f>IF(AND(AH$3&gt;=$AC47,AH$3&lt;(CapEx!$F$53*12)+$AC$47,CapEx!$F$53&gt;1),SLN(CapEx!$C$53,CapEx!$G$53,CapEx!$F$53)/12,0)</f>
        <v>0</v>
      </c>
      <c r="AI47" s="295">
        <f>IF(AND(AI$3&gt;=$AC47,AI$3&lt;(CapEx!$F$53*12)+$AC$47,CapEx!$F$53&gt;1),SLN(CapEx!$C$53,CapEx!$G$53,CapEx!$F$53)/12,0)</f>
        <v>0</v>
      </c>
      <c r="AJ47" s="295">
        <f>IF(AND(AJ$3&gt;=$AC47,AJ$3&lt;(CapEx!$F$53*12)+$AC$47,CapEx!$F$53&gt;1),SLN(CapEx!$C$53,CapEx!$G$53,CapEx!$F$53)/12,0)</f>
        <v>0</v>
      </c>
      <c r="AK47" s="295">
        <f>IF(AND(AK$3&gt;=$AC47,AK$3&lt;(CapEx!$F$53*12)+$AC$47,CapEx!$F$53&gt;1),SLN(CapEx!$C$53,CapEx!$G$53,CapEx!$F$53)/12,0)</f>
        <v>0</v>
      </c>
      <c r="AL47" s="295">
        <f>IF(AND(AL$3&gt;=$AC47,AL$3&lt;(CapEx!$F$53*12)+$AC$47,CapEx!$F$53&gt;1),SLN(CapEx!$C$53,CapEx!$G$53,CapEx!$F$53)/12,0)</f>
        <v>0</v>
      </c>
      <c r="AM47" s="295">
        <f>IF(AND(AM$3&gt;=$AC47,AM$3&lt;(CapEx!$F$53*12)+$AC$47,CapEx!$F$53&gt;1),SLN(CapEx!$C$53,CapEx!$G$53,CapEx!$F$53)/12,0)</f>
        <v>0</v>
      </c>
      <c r="AN47" s="295">
        <f>IF(AND(AN$3&gt;=$AC47,AN$3&lt;(CapEx!$F$53*12)+$AC$47,CapEx!$F$53&gt;1),SLN(CapEx!$C$53,CapEx!$G$53,CapEx!$F$53)/12,0)</f>
        <v>0</v>
      </c>
      <c r="AO47" s="295">
        <f>IF(AND(AO$3&gt;=$AC47,AO$3&lt;(CapEx!$F$53*12)+$AC$47,CapEx!$F$53&gt;1),SLN(CapEx!$C$53,CapEx!$G$53,CapEx!$F$53)/12,0)</f>
        <v>0</v>
      </c>
      <c r="AP47" s="295">
        <f>IF(AND(AP$3&gt;=$AC47,AP$3&lt;(CapEx!$F$53*12)+$AC$47,CapEx!$F$53&gt;1),SLN(CapEx!$C$53,CapEx!$G$53,CapEx!$F$53)/12,0)</f>
        <v>0</v>
      </c>
      <c r="AQ47" s="295">
        <f>IF(AND(AQ$3&gt;=$AC47,AQ$3&lt;(CapEx!$F$53*12)+$AC$47,CapEx!$F$53&gt;1),SLN(CapEx!$C$53,CapEx!$G$53,CapEx!$F$53)/12,0)</f>
        <v>0</v>
      </c>
      <c r="AR47" s="295">
        <f>IF(AND(AR$3&gt;=$AC47,AR$3&lt;(CapEx!$F$53*12)+$AC$47,CapEx!$F$53&gt;1),SLN(CapEx!$C$53,CapEx!$G$53,CapEx!$F$53)/12,0)</f>
        <v>0</v>
      </c>
      <c r="AS47" s="295">
        <f>IF(AND(AS$3&gt;=$AC47,AS$3&lt;(CapEx!$F$53*12)+$AC$47,CapEx!$F$53&gt;1),SLN(CapEx!$C$53,CapEx!$G$53,CapEx!$F$53)/12,0)</f>
        <v>0</v>
      </c>
      <c r="AT47" s="295">
        <f>IF(AND(AT$3&gt;=$AC47,AT$3&lt;(CapEx!$F$53*12)+$AC$47,CapEx!$F$53&gt;1),SLN(CapEx!$C$53,CapEx!$G$53,CapEx!$F$53)/12,0)</f>
        <v>0</v>
      </c>
      <c r="AU47" s="295">
        <f>IF(AND(AU$3&gt;=$AC47,AU$3&lt;(CapEx!$F$53*12)+$AC$47,CapEx!$F$53&gt;1),SLN(CapEx!$C$53,CapEx!$G$53,CapEx!$F$53)/12,0)</f>
        <v>0</v>
      </c>
      <c r="AV47" s="295">
        <f>IF(AND(AV$3&gt;=$AC47,AV$3&lt;(CapEx!$F$53*12)+$AC$47,CapEx!$F$53&gt;1),SLN(CapEx!$C$53,CapEx!$G$53,CapEx!$F$53)/12,0)</f>
        <v>0</v>
      </c>
      <c r="AW47" s="295">
        <f>IF(AND(AW$3&gt;=$AC47,AW$3&lt;(CapEx!$F$53*12)+$AC$47,CapEx!$F$53&gt;1),SLN(CapEx!$C$53,CapEx!$G$53,CapEx!$F$53)/12,0)</f>
        <v>0</v>
      </c>
      <c r="AX47" s="295">
        <f>IF(AND(AX$3&gt;=$AC47,AX$3&lt;(CapEx!$F$53*12)+$AC$47,CapEx!$F$53&gt;1),SLN(CapEx!$C$53,CapEx!$G$53,CapEx!$F$53)/12,0)</f>
        <v>0</v>
      </c>
      <c r="AY47" s="295">
        <f>IF(AND(AY$3&gt;=$AC47,AY$3&lt;(CapEx!$F$53*12)+$AC$47,CapEx!$F$53&gt;1),SLN(CapEx!$C$53,CapEx!$G$53,CapEx!$F$53)/12,0)</f>
        <v>0</v>
      </c>
      <c r="AZ47" s="295">
        <f>IF(AND(AZ$3&gt;=$AC47,AZ$3&lt;(CapEx!$F$53*12)+$AC$47,CapEx!$F$53&gt;1),SLN(CapEx!$C$53,CapEx!$G$53,CapEx!$F$53)/12,0)</f>
        <v>0</v>
      </c>
      <c r="BA47" s="295">
        <f>IF(AND(BA$3&gt;=$AC47,BA$3&lt;(CapEx!$F$53*12)+$AC$47,CapEx!$F$53&gt;1),SLN(CapEx!$C$53,CapEx!$G$53,CapEx!$F$53)/12,0)</f>
        <v>0</v>
      </c>
      <c r="BB47" s="295">
        <f>IF(AND(BB$3&gt;=$AC47,BB$3&lt;(CapEx!$F$53*12)+$AC$47,CapEx!$F$53&gt;1),SLN(CapEx!$C$53,CapEx!$G$53,CapEx!$F$53)/12,0)</f>
        <v>0</v>
      </c>
      <c r="BC47" s="295">
        <f>IF(AND(BC$3&gt;=$AC47,BC$3&lt;(CapEx!$F$53*12)+$AC$47,CapEx!$F$53&gt;1),SLN(CapEx!$C$53,CapEx!$G$53,CapEx!$F$53)/12,0)</f>
        <v>0</v>
      </c>
      <c r="BD47" s="295">
        <f>IF(AND(BD$3&gt;=$AC47,BD$3&lt;(CapEx!$F$53*12)+$AC$47,CapEx!$F$53&gt;1),SLN(CapEx!$C$53,CapEx!$G$53,CapEx!$F$53)/12,0)</f>
        <v>0</v>
      </c>
      <c r="BE47" s="295">
        <f>IF(AND(BE$3&gt;=$AC47,BE$3&lt;(CapEx!$F$53*12)+$AC$47,CapEx!$F$53&gt;1),SLN(CapEx!$C$53,CapEx!$G$53,CapEx!$F$53)/12,0)</f>
        <v>0</v>
      </c>
      <c r="BF47" s="295">
        <f>IF(AND(BF$3&gt;=$AC47,BF$3&lt;(CapEx!$F$53*12)+$AC$47,CapEx!$F$53&gt;1),SLN(CapEx!$C$53,CapEx!$G$53,CapEx!$F$53)/12,0)</f>
        <v>0</v>
      </c>
      <c r="BG47" s="295">
        <f>IF(AND(BG$3&gt;=$AC47,BG$3&lt;(CapEx!$F$53*12)+$AC$47,CapEx!$F$53&gt;1),SLN(CapEx!$C$53,CapEx!$G$53,CapEx!$F$53)/12,0)</f>
        <v>0</v>
      </c>
      <c r="BH47" s="295">
        <f>IF(AND(BH$3&gt;=$AC47,BH$3&lt;(CapEx!$F$53*12)+$AC$47,CapEx!$F$53&gt;1),SLN(CapEx!$C$53,CapEx!$G$53,CapEx!$F$53)/12,0)</f>
        <v>0</v>
      </c>
      <c r="BI47" s="295">
        <f>IF(AND(BI$3&gt;=$AC47,BI$3&lt;(CapEx!$F$53*12)+$AC$47,CapEx!$F$53&gt;1),SLN(CapEx!$C$53,CapEx!$G$53,CapEx!$F$53)/12,0)</f>
        <v>0</v>
      </c>
      <c r="BJ47" s="295">
        <f>IF(AND(BJ$3&gt;=$AC47,BJ$3&lt;(CapEx!$F$53*12)+$AC$47,CapEx!$F$53&gt;1),SLN(CapEx!$C$53,CapEx!$G$53,CapEx!$F$53)/12,0)</f>
        <v>0</v>
      </c>
      <c r="BK47" s="295">
        <f>IF(AND(BK$3&gt;=$AC47,BK$3&lt;(CapEx!$F$53*12)+$AC$47,CapEx!$F$53&gt;1),SLN(CapEx!$C$53,CapEx!$G$53,CapEx!$F$53)/12,0)</f>
        <v>0</v>
      </c>
      <c r="BL47" s="295">
        <f>IF(AND(BL$3&gt;=$AC47,BL$3&lt;(CapEx!$F$53*12)+$AC$47,CapEx!$F$53&gt;1),SLN(CapEx!$C$53,CapEx!$G$53,CapEx!$F$53)/12,0)</f>
        <v>0</v>
      </c>
      <c r="BM47" s="295">
        <f>IF(AND(BM$3&gt;=$AC47,BM$3&lt;(CapEx!$F$53*12)+$AC$47,CapEx!$F$53&gt;1),SLN(CapEx!$C$53,CapEx!$G$53,CapEx!$F$53)/12,0)</f>
        <v>0</v>
      </c>
      <c r="BN47" s="295">
        <f>IF(AND(BN$3&gt;=$AC47,BN$3&lt;(CapEx!$F$53*12)+$AC$47,CapEx!$F$53&gt;1),SLN(CapEx!$C$53,CapEx!$G$53,CapEx!$F$53)/12,0)</f>
        <v>0</v>
      </c>
      <c r="BO47" s="295">
        <f>IF(AND(BO$3&gt;=$AC47,BO$3&lt;(CapEx!$F$53*12)+$AC$47,CapEx!$F$53&gt;1),SLN(CapEx!$C$53,CapEx!$G$53,CapEx!$F$53)/12,0)</f>
        <v>0</v>
      </c>
      <c r="BP47" s="295">
        <f>IF(AND(BP$3&gt;=$AC47,BP$3&lt;(CapEx!$F$53*12)+$AC$47,CapEx!$F$53&gt;1),SLN(CapEx!$C$53,CapEx!$G$53,CapEx!$F$53)/12,0)</f>
        <v>0</v>
      </c>
      <c r="BQ47" s="295">
        <f>IF(AND(BQ$3&gt;=$AC47,BQ$3&lt;(CapEx!$F$53*12)+$AC$47,CapEx!$F$53&gt;1),SLN(CapEx!$C$53,CapEx!$G$53,CapEx!$F$53)/12,0)</f>
        <v>0</v>
      </c>
      <c r="BR47" s="295">
        <f>IF(AND(BR$3&gt;=$AC47,BR$3&lt;(CapEx!$F$53*12)+$AC$47,CapEx!$F$53&gt;1),SLN(CapEx!$C$53,CapEx!$G$53,CapEx!$F$53)/12,0)</f>
        <v>0</v>
      </c>
      <c r="BS47" s="295">
        <f>IF(AND(BS$3&gt;=$AC47,BS$3&lt;(CapEx!$F$53*12)+$AC$47,CapEx!$F$53&gt;1),SLN(CapEx!$C$53,CapEx!$G$53,CapEx!$F$53)/12,0)</f>
        <v>0</v>
      </c>
      <c r="BT47" s="295">
        <f>IF(AND(BT$3&gt;=$AC47,BT$3&lt;(CapEx!$F$53*12)+$AC$47,CapEx!$F$53&gt;1),SLN(CapEx!$C$53,CapEx!$G$53,CapEx!$F$53)/12,0)</f>
        <v>0</v>
      </c>
      <c r="BU47" s="295">
        <f>IF(AND(BU$3&gt;=$AC47,BU$3&lt;(CapEx!$F$53*12)+$AC$47,CapEx!$F$53&gt;1),SLN(CapEx!$C$53,CapEx!$G$53,CapEx!$F$53)/12,0)</f>
        <v>0</v>
      </c>
      <c r="BV47" s="295">
        <f>IF(AND(BV$3&gt;=$AC47,BV$3&lt;(CapEx!$F$53*12)+$AC$47,CapEx!$F$53&gt;1),SLN(CapEx!$C$53,CapEx!$G$53,CapEx!$F$53)/12,0)</f>
        <v>0</v>
      </c>
      <c r="BW47" s="295">
        <f>IF(AND(BW$3&gt;=$AC47,BW$3&lt;(CapEx!$F$53*12)+$AC$47,CapEx!$F$53&gt;1),SLN(CapEx!$C$53,CapEx!$G$53,CapEx!$F$53)/12,0)</f>
        <v>0</v>
      </c>
      <c r="BX47" s="295">
        <f>IF(AND(BX$3&gt;=$AC47,BX$3&lt;(CapEx!$F$53*12)+$AC$47,CapEx!$F$53&gt;1),SLN(CapEx!$C$53,CapEx!$G$53,CapEx!$F$53)/12,0)</f>
        <v>0</v>
      </c>
      <c r="BY47" s="295">
        <f>IF(AND(BY$3&gt;=$AC47,BY$3&lt;(CapEx!$F$53*12)+$AC$47,CapEx!$F$53&gt;1),SLN(CapEx!$C$53,CapEx!$G$53,CapEx!$F$53)/12,0)</f>
        <v>0</v>
      </c>
      <c r="BZ47" s="295">
        <f>IF(AND(BZ$3&gt;=$AC47,BZ$3&lt;(CapEx!$F$53*12)+$AC$47,CapEx!$F$53&gt;1),SLN(CapEx!$C$53,CapEx!$G$53,CapEx!$F$53)/12,0)</f>
        <v>0</v>
      </c>
      <c r="CA47" s="295">
        <f>IF(AND(CA$3&gt;=$AC47,CA$3&lt;(CapEx!$F$53*12)+$AC$47,CapEx!$F$53&gt;1),SLN(CapEx!$C$53,CapEx!$G$53,CapEx!$F$53)/12,0)</f>
        <v>0</v>
      </c>
      <c r="CB47" s="295">
        <f>IF(AND(CB$3&gt;=$AC47,CB$3&lt;(CapEx!$F$53*12)+$AC$47,CapEx!$F$53&gt;1),SLN(CapEx!$C$53,CapEx!$G$53,CapEx!$F$53)/12,0)</f>
        <v>0</v>
      </c>
      <c r="CC47" s="295">
        <f>IF(AND(CC$3&gt;=$AC47,CC$3&lt;(CapEx!$F$53*12)+$AC$47,CapEx!$F$53&gt;1),SLN(CapEx!$C$53,CapEx!$G$53,CapEx!$F$53)/12,0)</f>
        <v>0</v>
      </c>
      <c r="CD47" s="295">
        <f>IF(AND(CD$3&gt;=$AC47,CD$3&lt;(CapEx!$F$53*12)+$AC$47,CapEx!$F$53&gt;1),SLN(CapEx!$C$53,CapEx!$G$53,CapEx!$F$53)/12,0)</f>
        <v>0</v>
      </c>
      <c r="CE47" s="295">
        <f>IF(AND(CE$3&gt;=$AC47,CE$3&lt;(CapEx!$F$53*12)+$AC$47,CapEx!$F$53&gt;1),SLN(CapEx!$C$53,CapEx!$G$53,CapEx!$F$53)/12,0)</f>
        <v>0</v>
      </c>
      <c r="CF47" s="295">
        <f>IF(AND(CF$3&gt;=$AC47,CF$3&lt;(CapEx!$F$53*12)+$AC$47,CapEx!$F$53&gt;1),SLN(CapEx!$C$53,CapEx!$G$53,CapEx!$F$53)/12,0)</f>
        <v>0</v>
      </c>
      <c r="CG47" s="295">
        <f>IF(AND(CG$3&gt;=$AC47,CG$3&lt;(CapEx!$F$53*12)+$AC$47,CapEx!$F$53&gt;1),SLN(CapEx!$C$53,CapEx!$G$53,CapEx!$F$53)/12,0)</f>
        <v>0</v>
      </c>
      <c r="CH47" s="295">
        <f>IF(AND(CH$3&gt;=$AC47,CH$3&lt;(CapEx!$F$53*12)+$AC$47,CapEx!$F$53&gt;1),SLN(CapEx!$C$53,CapEx!$G$53,CapEx!$F$53)/12,0)</f>
        <v>0</v>
      </c>
      <c r="CI47" s="295">
        <f>IF(AND(CI$3&gt;=$AC47,CI$3&lt;(CapEx!$F$53*12)+$AC$47,CapEx!$F$53&gt;1),SLN(CapEx!$C$53,CapEx!$G$53,CapEx!$F$53)/12,0)</f>
        <v>0</v>
      </c>
      <c r="CJ47" s="295">
        <f>IF(AND(CJ$3&gt;=$AC47,CJ$3&lt;(CapEx!$F$53*12)+$AC$47,CapEx!$F$53&gt;1),SLN(CapEx!$C$53,CapEx!$G$53,CapEx!$F$53)/12,0)</f>
        <v>0</v>
      </c>
      <c r="CK47" s="295">
        <f>IF(AND(CK$3&gt;=$AC47,CK$3&lt;(CapEx!$F$53*12)+$AC$47,CapEx!$F$53&gt;1),SLN(CapEx!$C$53,CapEx!$G$53,CapEx!$F$53)/12,0)</f>
        <v>0</v>
      </c>
    </row>
    <row r="48" spans="1:89">
      <c r="A48" t="s">
        <v>13</v>
      </c>
      <c r="Y48" s="79">
        <f>CapEx!F54</f>
        <v>1</v>
      </c>
      <c r="Z48" s="145" t="s">
        <v>246</v>
      </c>
      <c r="AA48" s="297">
        <v>45</v>
      </c>
      <c r="AB48">
        <f>CapEx!C54</f>
        <v>0</v>
      </c>
      <c r="AC48" s="79">
        <f>IF(AB48=0,1,DATEDIF($K$12,DATEVALUE("01-"&amp;CapEx!$D54&amp;"-"&amp;CapEx!$E54),"m")+1)</f>
        <v>1</v>
      </c>
      <c r="AD48" s="295">
        <f>IF(AND(AD$3&gt;=$AC48,AD$3&lt;(CapEx!$F$54*12)+$AC$48,CapEx!$F$54&gt;1),SLN(CapEx!$C$54,CapEx!$G$54,CapEx!$F$54)/12,0)</f>
        <v>0</v>
      </c>
      <c r="AE48" s="295">
        <f>IF(AND(AE$3&gt;=$AC48,AE$3&lt;(CapEx!$F$54*12)+$AC$48,CapEx!$F$54&gt;1),SLN(CapEx!$C$54,CapEx!$G$54,CapEx!$F$54)/12,0)</f>
        <v>0</v>
      </c>
      <c r="AF48" s="295">
        <f>IF(AND(AF$3&gt;=$AC48,AF$3&lt;(CapEx!$F$54*12)+$AC$48,CapEx!$F$54&gt;1),SLN(CapEx!$C$54,CapEx!$G$54,CapEx!$F$54)/12,0)</f>
        <v>0</v>
      </c>
      <c r="AG48" s="295">
        <f>IF(AND(AG$3&gt;=$AC48,AG$3&lt;(CapEx!$F$54*12)+$AC$48,CapEx!$F$54&gt;1),SLN(CapEx!$C$54,CapEx!$G$54,CapEx!$F$54)/12,0)</f>
        <v>0</v>
      </c>
      <c r="AH48" s="295">
        <f>IF(AND(AH$3&gt;=$AC48,AH$3&lt;(CapEx!$F$54*12)+$AC$48,CapEx!$F$54&gt;1),SLN(CapEx!$C$54,CapEx!$G$54,CapEx!$F$54)/12,0)</f>
        <v>0</v>
      </c>
      <c r="AI48" s="295">
        <f>IF(AND(AI$3&gt;=$AC48,AI$3&lt;(CapEx!$F$54*12)+$AC$48,CapEx!$F$54&gt;1),SLN(CapEx!$C$54,CapEx!$G$54,CapEx!$F$54)/12,0)</f>
        <v>0</v>
      </c>
      <c r="AJ48" s="295">
        <f>IF(AND(AJ$3&gt;=$AC48,AJ$3&lt;(CapEx!$F$54*12)+$AC$48,CapEx!$F$54&gt;1),SLN(CapEx!$C$54,CapEx!$G$54,CapEx!$F$54)/12,0)</f>
        <v>0</v>
      </c>
      <c r="AK48" s="295">
        <f>IF(AND(AK$3&gt;=$AC48,AK$3&lt;(CapEx!$F$54*12)+$AC$48,CapEx!$F$54&gt;1),SLN(CapEx!$C$54,CapEx!$G$54,CapEx!$F$54)/12,0)</f>
        <v>0</v>
      </c>
      <c r="AL48" s="295">
        <f>IF(AND(AL$3&gt;=$AC48,AL$3&lt;(CapEx!$F$54*12)+$AC$48,CapEx!$F$54&gt;1),SLN(CapEx!$C$54,CapEx!$G$54,CapEx!$F$54)/12,0)</f>
        <v>0</v>
      </c>
      <c r="AM48" s="295">
        <f>IF(AND(AM$3&gt;=$AC48,AM$3&lt;(CapEx!$F$54*12)+$AC$48,CapEx!$F$54&gt;1),SLN(CapEx!$C$54,CapEx!$G$54,CapEx!$F$54)/12,0)</f>
        <v>0</v>
      </c>
      <c r="AN48" s="295">
        <f>IF(AND(AN$3&gt;=$AC48,AN$3&lt;(CapEx!$F$54*12)+$AC$48,CapEx!$F$54&gt;1),SLN(CapEx!$C$54,CapEx!$G$54,CapEx!$F$54)/12,0)</f>
        <v>0</v>
      </c>
      <c r="AO48" s="295">
        <f>IF(AND(AO$3&gt;=$AC48,AO$3&lt;(CapEx!$F$54*12)+$AC$48,CapEx!$F$54&gt;1),SLN(CapEx!$C$54,CapEx!$G$54,CapEx!$F$54)/12,0)</f>
        <v>0</v>
      </c>
      <c r="AP48" s="295">
        <f>IF(AND(AP$3&gt;=$AC48,AP$3&lt;(CapEx!$F$54*12)+$AC$48,CapEx!$F$54&gt;1),SLN(CapEx!$C$54,CapEx!$G$54,CapEx!$F$54)/12,0)</f>
        <v>0</v>
      </c>
      <c r="AQ48" s="295">
        <f>IF(AND(AQ$3&gt;=$AC48,AQ$3&lt;(CapEx!$F$54*12)+$AC$48,CapEx!$F$54&gt;1),SLN(CapEx!$C$54,CapEx!$G$54,CapEx!$F$54)/12,0)</f>
        <v>0</v>
      </c>
      <c r="AR48" s="295">
        <f>IF(AND(AR$3&gt;=$AC48,AR$3&lt;(CapEx!$F$54*12)+$AC$48,CapEx!$F$54&gt;1),SLN(CapEx!$C$54,CapEx!$G$54,CapEx!$F$54)/12,0)</f>
        <v>0</v>
      </c>
      <c r="AS48" s="295">
        <f>IF(AND(AS$3&gt;=$AC48,AS$3&lt;(CapEx!$F$54*12)+$AC$48,CapEx!$F$54&gt;1),SLN(CapEx!$C$54,CapEx!$G$54,CapEx!$F$54)/12,0)</f>
        <v>0</v>
      </c>
      <c r="AT48" s="295">
        <f>IF(AND(AT$3&gt;=$AC48,AT$3&lt;(CapEx!$F$54*12)+$AC$48,CapEx!$F$54&gt;1),SLN(CapEx!$C$54,CapEx!$G$54,CapEx!$F$54)/12,0)</f>
        <v>0</v>
      </c>
      <c r="AU48" s="295">
        <f>IF(AND(AU$3&gt;=$AC48,AU$3&lt;(CapEx!$F$54*12)+$AC$48,CapEx!$F$54&gt;1),SLN(CapEx!$C$54,CapEx!$G$54,CapEx!$F$54)/12,0)</f>
        <v>0</v>
      </c>
      <c r="AV48" s="295">
        <f>IF(AND(AV$3&gt;=$AC48,AV$3&lt;(CapEx!$F$54*12)+$AC$48,CapEx!$F$54&gt;1),SLN(CapEx!$C$54,CapEx!$G$54,CapEx!$F$54)/12,0)</f>
        <v>0</v>
      </c>
      <c r="AW48" s="295">
        <f>IF(AND(AW$3&gt;=$AC48,AW$3&lt;(CapEx!$F$54*12)+$AC$48,CapEx!$F$54&gt;1),SLN(CapEx!$C$54,CapEx!$G$54,CapEx!$F$54)/12,0)</f>
        <v>0</v>
      </c>
      <c r="AX48" s="295">
        <f>IF(AND(AX$3&gt;=$AC48,AX$3&lt;(CapEx!$F$54*12)+$AC$48,CapEx!$F$54&gt;1),SLN(CapEx!$C$54,CapEx!$G$54,CapEx!$F$54)/12,0)</f>
        <v>0</v>
      </c>
      <c r="AY48" s="295">
        <f>IF(AND(AY$3&gt;=$AC48,AY$3&lt;(CapEx!$F$54*12)+$AC$48,CapEx!$F$54&gt;1),SLN(CapEx!$C$54,CapEx!$G$54,CapEx!$F$54)/12,0)</f>
        <v>0</v>
      </c>
      <c r="AZ48" s="295">
        <f>IF(AND(AZ$3&gt;=$AC48,AZ$3&lt;(CapEx!$F$54*12)+$AC$48,CapEx!$F$54&gt;1),SLN(CapEx!$C$54,CapEx!$G$54,CapEx!$F$54)/12,0)</f>
        <v>0</v>
      </c>
      <c r="BA48" s="295">
        <f>IF(AND(BA$3&gt;=$AC48,BA$3&lt;(CapEx!$F$54*12)+$AC$48,CapEx!$F$54&gt;1),SLN(CapEx!$C$54,CapEx!$G$54,CapEx!$F$54)/12,0)</f>
        <v>0</v>
      </c>
      <c r="BB48" s="295">
        <f>IF(AND(BB$3&gt;=$AC48,BB$3&lt;(CapEx!$F$54*12)+$AC$48,CapEx!$F$54&gt;1),SLN(CapEx!$C$54,CapEx!$G$54,CapEx!$F$54)/12,0)</f>
        <v>0</v>
      </c>
      <c r="BC48" s="295">
        <f>IF(AND(BC$3&gt;=$AC48,BC$3&lt;(CapEx!$F$54*12)+$AC$48,CapEx!$F$54&gt;1),SLN(CapEx!$C$54,CapEx!$G$54,CapEx!$F$54)/12,0)</f>
        <v>0</v>
      </c>
      <c r="BD48" s="295">
        <f>IF(AND(BD$3&gt;=$AC48,BD$3&lt;(CapEx!$F$54*12)+$AC$48,CapEx!$F$54&gt;1),SLN(CapEx!$C$54,CapEx!$G$54,CapEx!$F$54)/12,0)</f>
        <v>0</v>
      </c>
      <c r="BE48" s="295">
        <f>IF(AND(BE$3&gt;=$AC48,BE$3&lt;(CapEx!$F$54*12)+$AC$48,CapEx!$F$54&gt;1),SLN(CapEx!$C$54,CapEx!$G$54,CapEx!$F$54)/12,0)</f>
        <v>0</v>
      </c>
      <c r="BF48" s="295">
        <f>IF(AND(BF$3&gt;=$AC48,BF$3&lt;(CapEx!$F$54*12)+$AC$48,CapEx!$F$54&gt;1),SLN(CapEx!$C$54,CapEx!$G$54,CapEx!$F$54)/12,0)</f>
        <v>0</v>
      </c>
      <c r="BG48" s="295">
        <f>IF(AND(BG$3&gt;=$AC48,BG$3&lt;(CapEx!$F$54*12)+$AC$48,CapEx!$F$54&gt;1),SLN(CapEx!$C$54,CapEx!$G$54,CapEx!$F$54)/12,0)</f>
        <v>0</v>
      </c>
      <c r="BH48" s="295">
        <f>IF(AND(BH$3&gt;=$AC48,BH$3&lt;(CapEx!$F$54*12)+$AC$48,CapEx!$F$54&gt;1),SLN(CapEx!$C$54,CapEx!$G$54,CapEx!$F$54)/12,0)</f>
        <v>0</v>
      </c>
      <c r="BI48" s="295">
        <f>IF(AND(BI$3&gt;=$AC48,BI$3&lt;(CapEx!$F$54*12)+$AC$48,CapEx!$F$54&gt;1),SLN(CapEx!$C$54,CapEx!$G$54,CapEx!$F$54)/12,0)</f>
        <v>0</v>
      </c>
      <c r="BJ48" s="295">
        <f>IF(AND(BJ$3&gt;=$AC48,BJ$3&lt;(CapEx!$F$54*12)+$AC$48,CapEx!$F$54&gt;1),SLN(CapEx!$C$54,CapEx!$G$54,CapEx!$F$54)/12,0)</f>
        <v>0</v>
      </c>
      <c r="BK48" s="295">
        <f>IF(AND(BK$3&gt;=$AC48,BK$3&lt;(CapEx!$F$54*12)+$AC$48,CapEx!$F$54&gt;1),SLN(CapEx!$C$54,CapEx!$G$54,CapEx!$F$54)/12,0)</f>
        <v>0</v>
      </c>
      <c r="BL48" s="295">
        <f>IF(AND(BL$3&gt;=$AC48,BL$3&lt;(CapEx!$F$54*12)+$AC$48,CapEx!$F$54&gt;1),SLN(CapEx!$C$54,CapEx!$G$54,CapEx!$F$54)/12,0)</f>
        <v>0</v>
      </c>
      <c r="BM48" s="295">
        <f>IF(AND(BM$3&gt;=$AC48,BM$3&lt;(CapEx!$F$54*12)+$AC$48,CapEx!$F$54&gt;1),SLN(CapEx!$C$54,CapEx!$G$54,CapEx!$F$54)/12,0)</f>
        <v>0</v>
      </c>
      <c r="BN48" s="295">
        <f>IF(AND(BN$3&gt;=$AC48,BN$3&lt;(CapEx!$F$54*12)+$AC$48,CapEx!$F$54&gt;1),SLN(CapEx!$C$54,CapEx!$G$54,CapEx!$F$54)/12,0)</f>
        <v>0</v>
      </c>
      <c r="BO48" s="295">
        <f>IF(AND(BO$3&gt;=$AC48,BO$3&lt;(CapEx!$F$54*12)+$AC$48,CapEx!$F$54&gt;1),SLN(CapEx!$C$54,CapEx!$G$54,CapEx!$F$54)/12,0)</f>
        <v>0</v>
      </c>
      <c r="BP48" s="295">
        <f>IF(AND(BP$3&gt;=$AC48,BP$3&lt;(CapEx!$F$54*12)+$AC$48,CapEx!$F$54&gt;1),SLN(CapEx!$C$54,CapEx!$G$54,CapEx!$F$54)/12,0)</f>
        <v>0</v>
      </c>
      <c r="BQ48" s="295">
        <f>IF(AND(BQ$3&gt;=$AC48,BQ$3&lt;(CapEx!$F$54*12)+$AC$48,CapEx!$F$54&gt;1),SLN(CapEx!$C$54,CapEx!$G$54,CapEx!$F$54)/12,0)</f>
        <v>0</v>
      </c>
      <c r="BR48" s="295">
        <f>IF(AND(BR$3&gt;=$AC48,BR$3&lt;(CapEx!$F$54*12)+$AC$48,CapEx!$F$54&gt;1),SLN(CapEx!$C$54,CapEx!$G$54,CapEx!$F$54)/12,0)</f>
        <v>0</v>
      </c>
      <c r="BS48" s="295">
        <f>IF(AND(BS$3&gt;=$AC48,BS$3&lt;(CapEx!$F$54*12)+$AC$48,CapEx!$F$54&gt;1),SLN(CapEx!$C$54,CapEx!$G$54,CapEx!$F$54)/12,0)</f>
        <v>0</v>
      </c>
      <c r="BT48" s="295">
        <f>IF(AND(BT$3&gt;=$AC48,BT$3&lt;(CapEx!$F$54*12)+$AC$48,CapEx!$F$54&gt;1),SLN(CapEx!$C$54,CapEx!$G$54,CapEx!$F$54)/12,0)</f>
        <v>0</v>
      </c>
      <c r="BU48" s="295">
        <f>IF(AND(BU$3&gt;=$AC48,BU$3&lt;(CapEx!$F$54*12)+$AC$48,CapEx!$F$54&gt;1),SLN(CapEx!$C$54,CapEx!$G$54,CapEx!$F$54)/12,0)</f>
        <v>0</v>
      </c>
      <c r="BV48" s="295">
        <f>IF(AND(BV$3&gt;=$AC48,BV$3&lt;(CapEx!$F$54*12)+$AC$48,CapEx!$F$54&gt;1),SLN(CapEx!$C$54,CapEx!$G$54,CapEx!$F$54)/12,0)</f>
        <v>0</v>
      </c>
      <c r="BW48" s="295">
        <f>IF(AND(BW$3&gt;=$AC48,BW$3&lt;(CapEx!$F$54*12)+$AC$48,CapEx!$F$54&gt;1),SLN(CapEx!$C$54,CapEx!$G$54,CapEx!$F$54)/12,0)</f>
        <v>0</v>
      </c>
      <c r="BX48" s="295">
        <f>IF(AND(BX$3&gt;=$AC48,BX$3&lt;(CapEx!$F$54*12)+$AC$48,CapEx!$F$54&gt;1),SLN(CapEx!$C$54,CapEx!$G$54,CapEx!$F$54)/12,0)</f>
        <v>0</v>
      </c>
      <c r="BY48" s="295">
        <f>IF(AND(BY$3&gt;=$AC48,BY$3&lt;(CapEx!$F$54*12)+$AC$48,CapEx!$F$54&gt;1),SLN(CapEx!$C$54,CapEx!$G$54,CapEx!$F$54)/12,0)</f>
        <v>0</v>
      </c>
      <c r="BZ48" s="295">
        <f>IF(AND(BZ$3&gt;=$AC48,BZ$3&lt;(CapEx!$F$54*12)+$AC$48,CapEx!$F$54&gt;1),SLN(CapEx!$C$54,CapEx!$G$54,CapEx!$F$54)/12,0)</f>
        <v>0</v>
      </c>
      <c r="CA48" s="295">
        <f>IF(AND(CA$3&gt;=$AC48,CA$3&lt;(CapEx!$F$54*12)+$AC$48,CapEx!$F$54&gt;1),SLN(CapEx!$C$54,CapEx!$G$54,CapEx!$F$54)/12,0)</f>
        <v>0</v>
      </c>
      <c r="CB48" s="295">
        <f>IF(AND(CB$3&gt;=$AC48,CB$3&lt;(CapEx!$F$54*12)+$AC$48,CapEx!$F$54&gt;1),SLN(CapEx!$C$54,CapEx!$G$54,CapEx!$F$54)/12,0)</f>
        <v>0</v>
      </c>
      <c r="CC48" s="295">
        <f>IF(AND(CC$3&gt;=$AC48,CC$3&lt;(CapEx!$F$54*12)+$AC$48,CapEx!$F$54&gt;1),SLN(CapEx!$C$54,CapEx!$G$54,CapEx!$F$54)/12,0)</f>
        <v>0</v>
      </c>
      <c r="CD48" s="295">
        <f>IF(AND(CD$3&gt;=$AC48,CD$3&lt;(CapEx!$F$54*12)+$AC$48,CapEx!$F$54&gt;1),SLN(CapEx!$C$54,CapEx!$G$54,CapEx!$F$54)/12,0)</f>
        <v>0</v>
      </c>
      <c r="CE48" s="295">
        <f>IF(AND(CE$3&gt;=$AC48,CE$3&lt;(CapEx!$F$54*12)+$AC$48,CapEx!$F$54&gt;1),SLN(CapEx!$C$54,CapEx!$G$54,CapEx!$F$54)/12,0)</f>
        <v>0</v>
      </c>
      <c r="CF48" s="295">
        <f>IF(AND(CF$3&gt;=$AC48,CF$3&lt;(CapEx!$F$54*12)+$AC$48,CapEx!$F$54&gt;1),SLN(CapEx!$C$54,CapEx!$G$54,CapEx!$F$54)/12,0)</f>
        <v>0</v>
      </c>
      <c r="CG48" s="295">
        <f>IF(AND(CG$3&gt;=$AC48,CG$3&lt;(CapEx!$F$54*12)+$AC$48,CapEx!$F$54&gt;1),SLN(CapEx!$C$54,CapEx!$G$54,CapEx!$F$54)/12,0)</f>
        <v>0</v>
      </c>
      <c r="CH48" s="295">
        <f>IF(AND(CH$3&gt;=$AC48,CH$3&lt;(CapEx!$F$54*12)+$AC$48,CapEx!$F$54&gt;1),SLN(CapEx!$C$54,CapEx!$G$54,CapEx!$F$54)/12,0)</f>
        <v>0</v>
      </c>
      <c r="CI48" s="295">
        <f>IF(AND(CI$3&gt;=$AC48,CI$3&lt;(CapEx!$F$54*12)+$AC$48,CapEx!$F$54&gt;1),SLN(CapEx!$C$54,CapEx!$G$54,CapEx!$F$54)/12,0)</f>
        <v>0</v>
      </c>
      <c r="CJ48" s="295">
        <f>IF(AND(CJ$3&gt;=$AC48,CJ$3&lt;(CapEx!$F$54*12)+$AC$48,CapEx!$F$54&gt;1),SLN(CapEx!$C$54,CapEx!$G$54,CapEx!$F$54)/12,0)</f>
        <v>0</v>
      </c>
      <c r="CK48" s="295">
        <f>IF(AND(CK$3&gt;=$AC48,CK$3&lt;(CapEx!$F$54*12)+$AC$48,CapEx!$F$54&gt;1),SLN(CapEx!$C$54,CapEx!$G$54,CapEx!$F$54)/12,0)</f>
        <v>0</v>
      </c>
    </row>
    <row r="49" spans="1:89">
      <c r="A49" t="s">
        <v>14</v>
      </c>
      <c r="Y49" s="79">
        <f>CapEx!F57</f>
        <v>1</v>
      </c>
      <c r="Z49" s="145" t="s">
        <v>246</v>
      </c>
      <c r="AA49" s="297">
        <v>46</v>
      </c>
      <c r="AB49">
        <f>CapEx!C57</f>
        <v>0</v>
      </c>
      <c r="AC49" s="79">
        <f>IF(AB49=0,1,DATEDIF($K$12,DATEVALUE("01-"&amp;CapEx!$D57&amp;"-"&amp;CapEx!$E57),"m")+1)</f>
        <v>1</v>
      </c>
      <c r="AD49" s="295">
        <f>IF(AND(AD$3&gt;=$AC49,AD$3&lt;(CapEx!$F$57*12)+$AC$49,CapEx!$F$57&gt;1),SLN(CapEx!$C$57,CapEx!$G$57,CapEx!$F$57)/12,0)</f>
        <v>0</v>
      </c>
      <c r="AE49" s="295">
        <f>IF(AND(AE$3&gt;=$AC49,AE$3&lt;(CapEx!$F$57*12)+$AC$49,CapEx!$F$57&gt;1),SLN(CapEx!$C$57,CapEx!$G$57,CapEx!$F$57)/12,0)</f>
        <v>0</v>
      </c>
      <c r="AF49" s="295">
        <f>IF(AND(AF$3&gt;=$AC49,AF$3&lt;(CapEx!$F$57*12)+$AC$49,CapEx!$F$57&gt;1),SLN(CapEx!$C$57,CapEx!$G$57,CapEx!$F$57)/12,0)</f>
        <v>0</v>
      </c>
      <c r="AG49" s="295">
        <f>IF(AND(AG$3&gt;=$AC49,AG$3&lt;(CapEx!$F$57*12)+$AC$49,CapEx!$F$57&gt;1),SLN(CapEx!$C$57,CapEx!$G$57,CapEx!$F$57)/12,0)</f>
        <v>0</v>
      </c>
      <c r="AH49" s="295">
        <f>IF(AND(AH$3&gt;=$AC49,AH$3&lt;(CapEx!$F$57*12)+$AC$49,CapEx!$F$57&gt;1),SLN(CapEx!$C$57,CapEx!$G$57,CapEx!$F$57)/12,0)</f>
        <v>0</v>
      </c>
      <c r="AI49" s="295">
        <f>IF(AND(AI$3&gt;=$AC49,AI$3&lt;(CapEx!$F$57*12)+$AC$49,CapEx!$F$57&gt;1),SLN(CapEx!$C$57,CapEx!$G$57,CapEx!$F$57)/12,0)</f>
        <v>0</v>
      </c>
      <c r="AJ49" s="295">
        <f>IF(AND(AJ$3&gt;=$AC49,AJ$3&lt;(CapEx!$F$57*12)+$AC$49,CapEx!$F$57&gt;1),SLN(CapEx!$C$57,CapEx!$G$57,CapEx!$F$57)/12,0)</f>
        <v>0</v>
      </c>
      <c r="AK49" s="295">
        <f>IF(AND(AK$3&gt;=$AC49,AK$3&lt;(CapEx!$F$57*12)+$AC$49,CapEx!$F$57&gt;1),SLN(CapEx!$C$57,CapEx!$G$57,CapEx!$F$57)/12,0)</f>
        <v>0</v>
      </c>
      <c r="AL49" s="295">
        <f>IF(AND(AL$3&gt;=$AC49,AL$3&lt;(CapEx!$F$57*12)+$AC$49,CapEx!$F$57&gt;1),SLN(CapEx!$C$57,CapEx!$G$57,CapEx!$F$57)/12,0)</f>
        <v>0</v>
      </c>
      <c r="AM49" s="295">
        <f>IF(AND(AM$3&gt;=$AC49,AM$3&lt;(CapEx!$F$57*12)+$AC$49,CapEx!$F$57&gt;1),SLN(CapEx!$C$57,CapEx!$G$57,CapEx!$F$57)/12,0)</f>
        <v>0</v>
      </c>
      <c r="AN49" s="295">
        <f>IF(AND(AN$3&gt;=$AC49,AN$3&lt;(CapEx!$F$57*12)+$AC$49,CapEx!$F$57&gt;1),SLN(CapEx!$C$57,CapEx!$G$57,CapEx!$F$57)/12,0)</f>
        <v>0</v>
      </c>
      <c r="AO49" s="295">
        <f>IF(AND(AO$3&gt;=$AC49,AO$3&lt;(CapEx!$F$57*12)+$AC$49,CapEx!$F$57&gt;1),SLN(CapEx!$C$57,CapEx!$G$57,CapEx!$F$57)/12,0)</f>
        <v>0</v>
      </c>
      <c r="AP49" s="295">
        <f>IF(AND(AP$3&gt;=$AC49,AP$3&lt;(CapEx!$F$57*12)+$AC$49,CapEx!$F$57&gt;1),SLN(CapEx!$C$57,CapEx!$G$57,CapEx!$F$57)/12,0)</f>
        <v>0</v>
      </c>
      <c r="AQ49" s="295">
        <f>IF(AND(AQ$3&gt;=$AC49,AQ$3&lt;(CapEx!$F$57*12)+$AC$49,CapEx!$F$57&gt;1),SLN(CapEx!$C$57,CapEx!$G$57,CapEx!$F$57)/12,0)</f>
        <v>0</v>
      </c>
      <c r="AR49" s="295">
        <f>IF(AND(AR$3&gt;=$AC49,AR$3&lt;(CapEx!$F$57*12)+$AC$49,CapEx!$F$57&gt;1),SLN(CapEx!$C$57,CapEx!$G$57,CapEx!$F$57)/12,0)</f>
        <v>0</v>
      </c>
      <c r="AS49" s="295">
        <f>IF(AND(AS$3&gt;=$AC49,AS$3&lt;(CapEx!$F$57*12)+$AC$49,CapEx!$F$57&gt;1),SLN(CapEx!$C$57,CapEx!$G$57,CapEx!$F$57)/12,0)</f>
        <v>0</v>
      </c>
      <c r="AT49" s="295">
        <f>IF(AND(AT$3&gt;=$AC49,AT$3&lt;(CapEx!$F$57*12)+$AC$49,CapEx!$F$57&gt;1),SLN(CapEx!$C$57,CapEx!$G$57,CapEx!$F$57)/12,0)</f>
        <v>0</v>
      </c>
      <c r="AU49" s="295">
        <f>IF(AND(AU$3&gt;=$AC49,AU$3&lt;(CapEx!$F$57*12)+$AC$49,CapEx!$F$57&gt;1),SLN(CapEx!$C$57,CapEx!$G$57,CapEx!$F$57)/12,0)</f>
        <v>0</v>
      </c>
      <c r="AV49" s="295">
        <f>IF(AND(AV$3&gt;=$AC49,AV$3&lt;(CapEx!$F$57*12)+$AC$49,CapEx!$F$57&gt;1),SLN(CapEx!$C$57,CapEx!$G$57,CapEx!$F$57)/12,0)</f>
        <v>0</v>
      </c>
      <c r="AW49" s="295">
        <f>IF(AND(AW$3&gt;=$AC49,AW$3&lt;(CapEx!$F$57*12)+$AC$49,CapEx!$F$57&gt;1),SLN(CapEx!$C$57,CapEx!$G$57,CapEx!$F$57)/12,0)</f>
        <v>0</v>
      </c>
      <c r="AX49" s="295">
        <f>IF(AND(AX$3&gt;=$AC49,AX$3&lt;(CapEx!$F$57*12)+$AC$49,CapEx!$F$57&gt;1),SLN(CapEx!$C$57,CapEx!$G$57,CapEx!$F$57)/12,0)</f>
        <v>0</v>
      </c>
      <c r="AY49" s="295">
        <f>IF(AND(AY$3&gt;=$AC49,AY$3&lt;(CapEx!$F$57*12)+$AC$49,CapEx!$F$57&gt;1),SLN(CapEx!$C$57,CapEx!$G$57,CapEx!$F$57)/12,0)</f>
        <v>0</v>
      </c>
      <c r="AZ49" s="295">
        <f>IF(AND(AZ$3&gt;=$AC49,AZ$3&lt;(CapEx!$F$57*12)+$AC$49,CapEx!$F$57&gt;1),SLN(CapEx!$C$57,CapEx!$G$57,CapEx!$F$57)/12,0)</f>
        <v>0</v>
      </c>
      <c r="BA49" s="295">
        <f>IF(AND(BA$3&gt;=$AC49,BA$3&lt;(CapEx!$F$57*12)+$AC$49,CapEx!$F$57&gt;1),SLN(CapEx!$C$57,CapEx!$G$57,CapEx!$F$57)/12,0)</f>
        <v>0</v>
      </c>
      <c r="BB49" s="295">
        <f>IF(AND(BB$3&gt;=$AC49,BB$3&lt;(CapEx!$F$57*12)+$AC$49,CapEx!$F$57&gt;1),SLN(CapEx!$C$57,CapEx!$G$57,CapEx!$F$57)/12,0)</f>
        <v>0</v>
      </c>
      <c r="BC49" s="295">
        <f>IF(AND(BC$3&gt;=$AC49,BC$3&lt;(CapEx!$F$57*12)+$AC$49,CapEx!$F$57&gt;1),SLN(CapEx!$C$57,CapEx!$G$57,CapEx!$F$57)/12,0)</f>
        <v>0</v>
      </c>
      <c r="BD49" s="295">
        <f>IF(AND(BD$3&gt;=$AC49,BD$3&lt;(CapEx!$F$57*12)+$AC$49,CapEx!$F$57&gt;1),SLN(CapEx!$C$57,CapEx!$G$57,CapEx!$F$57)/12,0)</f>
        <v>0</v>
      </c>
      <c r="BE49" s="295">
        <f>IF(AND(BE$3&gt;=$AC49,BE$3&lt;(CapEx!$F$57*12)+$AC$49,CapEx!$F$57&gt;1),SLN(CapEx!$C$57,CapEx!$G$57,CapEx!$F$57)/12,0)</f>
        <v>0</v>
      </c>
      <c r="BF49" s="295">
        <f>IF(AND(BF$3&gt;=$AC49,BF$3&lt;(CapEx!$F$57*12)+$AC$49,CapEx!$F$57&gt;1),SLN(CapEx!$C$57,CapEx!$G$57,CapEx!$F$57)/12,0)</f>
        <v>0</v>
      </c>
      <c r="BG49" s="295">
        <f>IF(AND(BG$3&gt;=$AC49,BG$3&lt;(CapEx!$F$57*12)+$AC$49,CapEx!$F$57&gt;1),SLN(CapEx!$C$57,CapEx!$G$57,CapEx!$F$57)/12,0)</f>
        <v>0</v>
      </c>
      <c r="BH49" s="295">
        <f>IF(AND(BH$3&gt;=$AC49,BH$3&lt;(CapEx!$F$57*12)+$AC$49,CapEx!$F$57&gt;1),SLN(CapEx!$C$57,CapEx!$G$57,CapEx!$F$57)/12,0)</f>
        <v>0</v>
      </c>
      <c r="BI49" s="295">
        <f>IF(AND(BI$3&gt;=$AC49,BI$3&lt;(CapEx!$F$57*12)+$AC$49,CapEx!$F$57&gt;1),SLN(CapEx!$C$57,CapEx!$G$57,CapEx!$F$57)/12,0)</f>
        <v>0</v>
      </c>
      <c r="BJ49" s="295">
        <f>IF(AND(BJ$3&gt;=$AC49,BJ$3&lt;(CapEx!$F$57*12)+$AC$49,CapEx!$F$57&gt;1),SLN(CapEx!$C$57,CapEx!$G$57,CapEx!$F$57)/12,0)</f>
        <v>0</v>
      </c>
      <c r="BK49" s="295">
        <f>IF(AND(BK$3&gt;=$AC49,BK$3&lt;(CapEx!$F$57*12)+$AC$49,CapEx!$F$57&gt;1),SLN(CapEx!$C$57,CapEx!$G$57,CapEx!$F$57)/12,0)</f>
        <v>0</v>
      </c>
      <c r="BL49" s="295">
        <f>IF(AND(BL$3&gt;=$AC49,BL$3&lt;(CapEx!$F$57*12)+$AC$49,CapEx!$F$57&gt;1),SLN(CapEx!$C$57,CapEx!$G$57,CapEx!$F$57)/12,0)</f>
        <v>0</v>
      </c>
      <c r="BM49" s="295">
        <f>IF(AND(BM$3&gt;=$AC49,BM$3&lt;(CapEx!$F$57*12)+$AC$49,CapEx!$F$57&gt;1),SLN(CapEx!$C$57,CapEx!$G$57,CapEx!$F$57)/12,0)</f>
        <v>0</v>
      </c>
      <c r="BN49" s="295">
        <f>IF(AND(BN$3&gt;=$AC49,BN$3&lt;(CapEx!$F$57*12)+$AC$49,CapEx!$F$57&gt;1),SLN(CapEx!$C$57,CapEx!$G$57,CapEx!$F$57)/12,0)</f>
        <v>0</v>
      </c>
      <c r="BO49" s="295">
        <f>IF(AND(BO$3&gt;=$AC49,BO$3&lt;(CapEx!$F$57*12)+$AC$49,CapEx!$F$57&gt;1),SLN(CapEx!$C$57,CapEx!$G$57,CapEx!$F$57)/12,0)</f>
        <v>0</v>
      </c>
      <c r="BP49" s="295">
        <f>IF(AND(BP$3&gt;=$AC49,BP$3&lt;(CapEx!$F$57*12)+$AC$49,CapEx!$F$57&gt;1),SLN(CapEx!$C$57,CapEx!$G$57,CapEx!$F$57)/12,0)</f>
        <v>0</v>
      </c>
      <c r="BQ49" s="295">
        <f>IF(AND(BQ$3&gt;=$AC49,BQ$3&lt;(CapEx!$F$57*12)+$AC$49,CapEx!$F$57&gt;1),SLN(CapEx!$C$57,CapEx!$G$57,CapEx!$F$57)/12,0)</f>
        <v>0</v>
      </c>
      <c r="BR49" s="295">
        <f>IF(AND(BR$3&gt;=$AC49,BR$3&lt;(CapEx!$F$57*12)+$AC$49,CapEx!$F$57&gt;1),SLN(CapEx!$C$57,CapEx!$G$57,CapEx!$F$57)/12,0)</f>
        <v>0</v>
      </c>
      <c r="BS49" s="295">
        <f>IF(AND(BS$3&gt;=$AC49,BS$3&lt;(CapEx!$F$57*12)+$AC$49,CapEx!$F$57&gt;1),SLN(CapEx!$C$57,CapEx!$G$57,CapEx!$F$57)/12,0)</f>
        <v>0</v>
      </c>
      <c r="BT49" s="295">
        <f>IF(AND(BT$3&gt;=$AC49,BT$3&lt;(CapEx!$F$57*12)+$AC$49,CapEx!$F$57&gt;1),SLN(CapEx!$C$57,CapEx!$G$57,CapEx!$F$57)/12,0)</f>
        <v>0</v>
      </c>
      <c r="BU49" s="295">
        <f>IF(AND(BU$3&gt;=$AC49,BU$3&lt;(CapEx!$F$57*12)+$AC$49,CapEx!$F$57&gt;1),SLN(CapEx!$C$57,CapEx!$G$57,CapEx!$F$57)/12,0)</f>
        <v>0</v>
      </c>
      <c r="BV49" s="295">
        <f>IF(AND(BV$3&gt;=$AC49,BV$3&lt;(CapEx!$F$57*12)+$AC$49,CapEx!$F$57&gt;1),SLN(CapEx!$C$57,CapEx!$G$57,CapEx!$F$57)/12,0)</f>
        <v>0</v>
      </c>
      <c r="BW49" s="295">
        <f>IF(AND(BW$3&gt;=$AC49,BW$3&lt;(CapEx!$F$57*12)+$AC$49,CapEx!$F$57&gt;1),SLN(CapEx!$C$57,CapEx!$G$57,CapEx!$F$57)/12,0)</f>
        <v>0</v>
      </c>
      <c r="BX49" s="295">
        <f>IF(AND(BX$3&gt;=$AC49,BX$3&lt;(CapEx!$F$57*12)+$AC$49,CapEx!$F$57&gt;1),SLN(CapEx!$C$57,CapEx!$G$57,CapEx!$F$57)/12,0)</f>
        <v>0</v>
      </c>
      <c r="BY49" s="295">
        <f>IF(AND(BY$3&gt;=$AC49,BY$3&lt;(CapEx!$F$57*12)+$AC$49,CapEx!$F$57&gt;1),SLN(CapEx!$C$57,CapEx!$G$57,CapEx!$F$57)/12,0)</f>
        <v>0</v>
      </c>
      <c r="BZ49" s="295">
        <f>IF(AND(BZ$3&gt;=$AC49,BZ$3&lt;(CapEx!$F$57*12)+$AC$49,CapEx!$F$57&gt;1),SLN(CapEx!$C$57,CapEx!$G$57,CapEx!$F$57)/12,0)</f>
        <v>0</v>
      </c>
      <c r="CA49" s="295">
        <f>IF(AND(CA$3&gt;=$AC49,CA$3&lt;(CapEx!$F$57*12)+$AC$49,CapEx!$F$57&gt;1),SLN(CapEx!$C$57,CapEx!$G$57,CapEx!$F$57)/12,0)</f>
        <v>0</v>
      </c>
      <c r="CB49" s="295">
        <f>IF(AND(CB$3&gt;=$AC49,CB$3&lt;(CapEx!$F$57*12)+$AC$49,CapEx!$F$57&gt;1),SLN(CapEx!$C$57,CapEx!$G$57,CapEx!$F$57)/12,0)</f>
        <v>0</v>
      </c>
      <c r="CC49" s="295">
        <f>IF(AND(CC$3&gt;=$AC49,CC$3&lt;(CapEx!$F$57*12)+$AC$49,CapEx!$F$57&gt;1),SLN(CapEx!$C$57,CapEx!$G$57,CapEx!$F$57)/12,0)</f>
        <v>0</v>
      </c>
      <c r="CD49" s="295">
        <f>IF(AND(CD$3&gt;=$AC49,CD$3&lt;(CapEx!$F$57*12)+$AC$49,CapEx!$F$57&gt;1),SLN(CapEx!$C$57,CapEx!$G$57,CapEx!$F$57)/12,0)</f>
        <v>0</v>
      </c>
      <c r="CE49" s="295">
        <f>IF(AND(CE$3&gt;=$AC49,CE$3&lt;(CapEx!$F$57*12)+$AC$49,CapEx!$F$57&gt;1),SLN(CapEx!$C$57,CapEx!$G$57,CapEx!$F$57)/12,0)</f>
        <v>0</v>
      </c>
      <c r="CF49" s="295">
        <f>IF(AND(CF$3&gt;=$AC49,CF$3&lt;(CapEx!$F$57*12)+$AC$49,CapEx!$F$57&gt;1),SLN(CapEx!$C$57,CapEx!$G$57,CapEx!$F$57)/12,0)</f>
        <v>0</v>
      </c>
      <c r="CG49" s="295">
        <f>IF(AND(CG$3&gt;=$AC49,CG$3&lt;(CapEx!$F$57*12)+$AC$49,CapEx!$F$57&gt;1),SLN(CapEx!$C$57,CapEx!$G$57,CapEx!$F$57)/12,0)</f>
        <v>0</v>
      </c>
      <c r="CH49" s="295">
        <f>IF(AND(CH$3&gt;=$AC49,CH$3&lt;(CapEx!$F$57*12)+$AC$49,CapEx!$F$57&gt;1),SLN(CapEx!$C$57,CapEx!$G$57,CapEx!$F$57)/12,0)</f>
        <v>0</v>
      </c>
      <c r="CI49" s="295">
        <f>IF(AND(CI$3&gt;=$AC49,CI$3&lt;(CapEx!$F$57*12)+$AC$49,CapEx!$F$57&gt;1),SLN(CapEx!$C$57,CapEx!$G$57,CapEx!$F$57)/12,0)</f>
        <v>0</v>
      </c>
      <c r="CJ49" s="295">
        <f>IF(AND(CJ$3&gt;=$AC49,CJ$3&lt;(CapEx!$F$57*12)+$AC$49,CapEx!$F$57&gt;1),SLN(CapEx!$C$57,CapEx!$G$57,CapEx!$F$57)/12,0)</f>
        <v>0</v>
      </c>
      <c r="CK49" s="295">
        <f>IF(AND(CK$3&gt;=$AC49,CK$3&lt;(CapEx!$F$57*12)+$AC$49,CapEx!$F$57&gt;1),SLN(CapEx!$C$57,CapEx!$G$57,CapEx!$F$57)/12,0)</f>
        <v>0</v>
      </c>
    </row>
    <row r="50" spans="1:89">
      <c r="A50" t="s">
        <v>15</v>
      </c>
      <c r="Y50" s="79">
        <f>CapEx!F58</f>
        <v>1</v>
      </c>
      <c r="Z50" s="145" t="s">
        <v>246</v>
      </c>
      <c r="AA50" s="297">
        <v>47</v>
      </c>
      <c r="AB50">
        <f>CapEx!C58</f>
        <v>0</v>
      </c>
      <c r="AC50" s="79">
        <f>IF(AB50=0,1,DATEDIF($K$12,DATEVALUE("01-"&amp;CapEx!$D58&amp;"-"&amp;CapEx!$E58),"m")+1)</f>
        <v>1</v>
      </c>
      <c r="AD50" s="295">
        <f>IF(AND(AD$3&gt;=$AC50,AD$3&lt;(CapEx!$F$58*12)+$AC$50,CapEx!$F$58&gt;1),SLN(CapEx!$C$58,CapEx!$G$58,CapEx!$F$58)/12,0)</f>
        <v>0</v>
      </c>
      <c r="AE50" s="295">
        <f>IF(AND(AE$3&gt;=$AC50,AE$3&lt;(CapEx!$F$58*12)+$AC$50,CapEx!$F$58&gt;1),SLN(CapEx!$C$58,CapEx!$G$58,CapEx!$F$58)/12,0)</f>
        <v>0</v>
      </c>
      <c r="AF50" s="295">
        <f>IF(AND(AF$3&gt;=$AC50,AF$3&lt;(CapEx!$F$58*12)+$AC$50,CapEx!$F$58&gt;1),SLN(CapEx!$C$58,CapEx!$G$58,CapEx!$F$58)/12,0)</f>
        <v>0</v>
      </c>
      <c r="AG50" s="295">
        <f>IF(AND(AG$3&gt;=$AC50,AG$3&lt;(CapEx!$F$58*12)+$AC$50,CapEx!$F$58&gt;1),SLN(CapEx!$C$58,CapEx!$G$58,CapEx!$F$58)/12,0)</f>
        <v>0</v>
      </c>
      <c r="AH50" s="295">
        <f>IF(AND(AH$3&gt;=$AC50,AH$3&lt;(CapEx!$F$58*12)+$AC$50,CapEx!$F$58&gt;1),SLN(CapEx!$C$58,CapEx!$G$58,CapEx!$F$58)/12,0)</f>
        <v>0</v>
      </c>
      <c r="AI50" s="295">
        <f>IF(AND(AI$3&gt;=$AC50,AI$3&lt;(CapEx!$F$58*12)+$AC$50,CapEx!$F$58&gt;1),SLN(CapEx!$C$58,CapEx!$G$58,CapEx!$F$58)/12,0)</f>
        <v>0</v>
      </c>
      <c r="AJ50" s="295">
        <f>IF(AND(AJ$3&gt;=$AC50,AJ$3&lt;(CapEx!$F$58*12)+$AC$50,CapEx!$F$58&gt;1),SLN(CapEx!$C$58,CapEx!$G$58,CapEx!$F$58)/12,0)</f>
        <v>0</v>
      </c>
      <c r="AK50" s="295">
        <f>IF(AND(AK$3&gt;=$AC50,AK$3&lt;(CapEx!$F$58*12)+$AC$50,CapEx!$F$58&gt;1),SLN(CapEx!$C$58,CapEx!$G$58,CapEx!$F$58)/12,0)</f>
        <v>0</v>
      </c>
      <c r="AL50" s="295">
        <f>IF(AND(AL$3&gt;=$AC50,AL$3&lt;(CapEx!$F$58*12)+$AC$50,CapEx!$F$58&gt;1),SLN(CapEx!$C$58,CapEx!$G$58,CapEx!$F$58)/12,0)</f>
        <v>0</v>
      </c>
      <c r="AM50" s="295">
        <f>IF(AND(AM$3&gt;=$AC50,AM$3&lt;(CapEx!$F$58*12)+$AC$50,CapEx!$F$58&gt;1),SLN(CapEx!$C$58,CapEx!$G$58,CapEx!$F$58)/12,0)</f>
        <v>0</v>
      </c>
      <c r="AN50" s="295">
        <f>IF(AND(AN$3&gt;=$AC50,AN$3&lt;(CapEx!$F$58*12)+$AC$50,CapEx!$F$58&gt;1),SLN(CapEx!$C$58,CapEx!$G$58,CapEx!$F$58)/12,0)</f>
        <v>0</v>
      </c>
      <c r="AO50" s="295">
        <f>IF(AND(AO$3&gt;=$AC50,AO$3&lt;(CapEx!$F$58*12)+$AC$50,CapEx!$F$58&gt;1),SLN(CapEx!$C$58,CapEx!$G$58,CapEx!$F$58)/12,0)</f>
        <v>0</v>
      </c>
      <c r="AP50" s="295">
        <f>IF(AND(AP$3&gt;=$AC50,AP$3&lt;(CapEx!$F$58*12)+$AC$50,CapEx!$F$58&gt;1),SLN(CapEx!$C$58,CapEx!$G$58,CapEx!$F$58)/12,0)</f>
        <v>0</v>
      </c>
      <c r="AQ50" s="295">
        <f>IF(AND(AQ$3&gt;=$AC50,AQ$3&lt;(CapEx!$F$58*12)+$AC$50,CapEx!$F$58&gt;1),SLN(CapEx!$C$58,CapEx!$G$58,CapEx!$F$58)/12,0)</f>
        <v>0</v>
      </c>
      <c r="AR50" s="295">
        <f>IF(AND(AR$3&gt;=$AC50,AR$3&lt;(CapEx!$F$58*12)+$AC$50,CapEx!$F$58&gt;1),SLN(CapEx!$C$58,CapEx!$G$58,CapEx!$F$58)/12,0)</f>
        <v>0</v>
      </c>
      <c r="AS50" s="295">
        <f>IF(AND(AS$3&gt;=$AC50,AS$3&lt;(CapEx!$F$58*12)+$AC$50,CapEx!$F$58&gt;1),SLN(CapEx!$C$58,CapEx!$G$58,CapEx!$F$58)/12,0)</f>
        <v>0</v>
      </c>
      <c r="AT50" s="295">
        <f>IF(AND(AT$3&gt;=$AC50,AT$3&lt;(CapEx!$F$58*12)+$AC$50,CapEx!$F$58&gt;1),SLN(CapEx!$C$58,CapEx!$G$58,CapEx!$F$58)/12,0)</f>
        <v>0</v>
      </c>
      <c r="AU50" s="295">
        <f>IF(AND(AU$3&gt;=$AC50,AU$3&lt;(CapEx!$F$58*12)+$AC$50,CapEx!$F$58&gt;1),SLN(CapEx!$C$58,CapEx!$G$58,CapEx!$F$58)/12,0)</f>
        <v>0</v>
      </c>
      <c r="AV50" s="295">
        <f>IF(AND(AV$3&gt;=$AC50,AV$3&lt;(CapEx!$F$58*12)+$AC$50,CapEx!$F$58&gt;1),SLN(CapEx!$C$58,CapEx!$G$58,CapEx!$F$58)/12,0)</f>
        <v>0</v>
      </c>
      <c r="AW50" s="295">
        <f>IF(AND(AW$3&gt;=$AC50,AW$3&lt;(CapEx!$F$58*12)+$AC$50,CapEx!$F$58&gt;1),SLN(CapEx!$C$58,CapEx!$G$58,CapEx!$F$58)/12,0)</f>
        <v>0</v>
      </c>
      <c r="AX50" s="295">
        <f>IF(AND(AX$3&gt;=$AC50,AX$3&lt;(CapEx!$F$58*12)+$AC$50,CapEx!$F$58&gt;1),SLN(CapEx!$C$58,CapEx!$G$58,CapEx!$F$58)/12,0)</f>
        <v>0</v>
      </c>
      <c r="AY50" s="295">
        <f>IF(AND(AY$3&gt;=$AC50,AY$3&lt;(CapEx!$F$58*12)+$AC$50,CapEx!$F$58&gt;1),SLN(CapEx!$C$58,CapEx!$G$58,CapEx!$F$58)/12,0)</f>
        <v>0</v>
      </c>
      <c r="AZ50" s="295">
        <f>IF(AND(AZ$3&gt;=$AC50,AZ$3&lt;(CapEx!$F$58*12)+$AC$50,CapEx!$F$58&gt;1),SLN(CapEx!$C$58,CapEx!$G$58,CapEx!$F$58)/12,0)</f>
        <v>0</v>
      </c>
      <c r="BA50" s="295">
        <f>IF(AND(BA$3&gt;=$AC50,BA$3&lt;(CapEx!$F$58*12)+$AC$50,CapEx!$F$58&gt;1),SLN(CapEx!$C$58,CapEx!$G$58,CapEx!$F$58)/12,0)</f>
        <v>0</v>
      </c>
      <c r="BB50" s="295">
        <f>IF(AND(BB$3&gt;=$AC50,BB$3&lt;(CapEx!$F$58*12)+$AC$50,CapEx!$F$58&gt;1),SLN(CapEx!$C$58,CapEx!$G$58,CapEx!$F$58)/12,0)</f>
        <v>0</v>
      </c>
      <c r="BC50" s="295">
        <f>IF(AND(BC$3&gt;=$AC50,BC$3&lt;(CapEx!$F$58*12)+$AC$50,CapEx!$F$58&gt;1),SLN(CapEx!$C$58,CapEx!$G$58,CapEx!$F$58)/12,0)</f>
        <v>0</v>
      </c>
      <c r="BD50" s="295">
        <f>IF(AND(BD$3&gt;=$AC50,BD$3&lt;(CapEx!$F$58*12)+$AC$50,CapEx!$F$58&gt;1),SLN(CapEx!$C$58,CapEx!$G$58,CapEx!$F$58)/12,0)</f>
        <v>0</v>
      </c>
      <c r="BE50" s="295">
        <f>IF(AND(BE$3&gt;=$AC50,BE$3&lt;(CapEx!$F$58*12)+$AC$50,CapEx!$F$58&gt;1),SLN(CapEx!$C$58,CapEx!$G$58,CapEx!$F$58)/12,0)</f>
        <v>0</v>
      </c>
      <c r="BF50" s="295">
        <f>IF(AND(BF$3&gt;=$AC50,BF$3&lt;(CapEx!$F$58*12)+$AC$50,CapEx!$F$58&gt;1),SLN(CapEx!$C$58,CapEx!$G$58,CapEx!$F$58)/12,0)</f>
        <v>0</v>
      </c>
      <c r="BG50" s="295">
        <f>IF(AND(BG$3&gt;=$AC50,BG$3&lt;(CapEx!$F$58*12)+$AC$50,CapEx!$F$58&gt;1),SLN(CapEx!$C$58,CapEx!$G$58,CapEx!$F$58)/12,0)</f>
        <v>0</v>
      </c>
      <c r="BH50" s="295">
        <f>IF(AND(BH$3&gt;=$AC50,BH$3&lt;(CapEx!$F$58*12)+$AC$50,CapEx!$F$58&gt;1),SLN(CapEx!$C$58,CapEx!$G$58,CapEx!$F$58)/12,0)</f>
        <v>0</v>
      </c>
      <c r="BI50" s="295">
        <f>IF(AND(BI$3&gt;=$AC50,BI$3&lt;(CapEx!$F$58*12)+$AC$50,CapEx!$F$58&gt;1),SLN(CapEx!$C$58,CapEx!$G$58,CapEx!$F$58)/12,0)</f>
        <v>0</v>
      </c>
      <c r="BJ50" s="295">
        <f>IF(AND(BJ$3&gt;=$AC50,BJ$3&lt;(CapEx!$F$58*12)+$AC$50,CapEx!$F$58&gt;1),SLN(CapEx!$C$58,CapEx!$G$58,CapEx!$F$58)/12,0)</f>
        <v>0</v>
      </c>
      <c r="BK50" s="295">
        <f>IF(AND(BK$3&gt;=$AC50,BK$3&lt;(CapEx!$F$58*12)+$AC$50,CapEx!$F$58&gt;1),SLN(CapEx!$C$58,CapEx!$G$58,CapEx!$F$58)/12,0)</f>
        <v>0</v>
      </c>
      <c r="BL50" s="295">
        <f>IF(AND(BL$3&gt;=$AC50,BL$3&lt;(CapEx!$F$58*12)+$AC$50,CapEx!$F$58&gt;1),SLN(CapEx!$C$58,CapEx!$G$58,CapEx!$F$58)/12,0)</f>
        <v>0</v>
      </c>
      <c r="BM50" s="295">
        <f>IF(AND(BM$3&gt;=$AC50,BM$3&lt;(CapEx!$F$58*12)+$AC$50,CapEx!$F$58&gt;1),SLN(CapEx!$C$58,CapEx!$G$58,CapEx!$F$58)/12,0)</f>
        <v>0</v>
      </c>
      <c r="BN50" s="295">
        <f>IF(AND(BN$3&gt;=$AC50,BN$3&lt;(CapEx!$F$58*12)+$AC$50,CapEx!$F$58&gt;1),SLN(CapEx!$C$58,CapEx!$G$58,CapEx!$F$58)/12,0)</f>
        <v>0</v>
      </c>
      <c r="BO50" s="295">
        <f>IF(AND(BO$3&gt;=$AC50,BO$3&lt;(CapEx!$F$58*12)+$AC$50,CapEx!$F$58&gt;1),SLN(CapEx!$C$58,CapEx!$G$58,CapEx!$F$58)/12,0)</f>
        <v>0</v>
      </c>
      <c r="BP50" s="295">
        <f>IF(AND(BP$3&gt;=$AC50,BP$3&lt;(CapEx!$F$58*12)+$AC$50,CapEx!$F$58&gt;1),SLN(CapEx!$C$58,CapEx!$G$58,CapEx!$F$58)/12,0)</f>
        <v>0</v>
      </c>
      <c r="BQ50" s="295">
        <f>IF(AND(BQ$3&gt;=$AC50,BQ$3&lt;(CapEx!$F$58*12)+$AC$50,CapEx!$F$58&gt;1),SLN(CapEx!$C$58,CapEx!$G$58,CapEx!$F$58)/12,0)</f>
        <v>0</v>
      </c>
      <c r="BR50" s="295">
        <f>IF(AND(BR$3&gt;=$AC50,BR$3&lt;(CapEx!$F$58*12)+$AC$50,CapEx!$F$58&gt;1),SLN(CapEx!$C$58,CapEx!$G$58,CapEx!$F$58)/12,0)</f>
        <v>0</v>
      </c>
      <c r="BS50" s="295">
        <f>IF(AND(BS$3&gt;=$AC50,BS$3&lt;(CapEx!$F$58*12)+$AC$50,CapEx!$F$58&gt;1),SLN(CapEx!$C$58,CapEx!$G$58,CapEx!$F$58)/12,0)</f>
        <v>0</v>
      </c>
      <c r="BT50" s="295">
        <f>IF(AND(BT$3&gt;=$AC50,BT$3&lt;(CapEx!$F$58*12)+$AC$50,CapEx!$F$58&gt;1),SLN(CapEx!$C$58,CapEx!$G$58,CapEx!$F$58)/12,0)</f>
        <v>0</v>
      </c>
      <c r="BU50" s="295">
        <f>IF(AND(BU$3&gt;=$AC50,BU$3&lt;(CapEx!$F$58*12)+$AC$50,CapEx!$F$58&gt;1),SLN(CapEx!$C$58,CapEx!$G$58,CapEx!$F$58)/12,0)</f>
        <v>0</v>
      </c>
      <c r="BV50" s="295">
        <f>IF(AND(BV$3&gt;=$AC50,BV$3&lt;(CapEx!$F$58*12)+$AC$50,CapEx!$F$58&gt;1),SLN(CapEx!$C$58,CapEx!$G$58,CapEx!$F$58)/12,0)</f>
        <v>0</v>
      </c>
      <c r="BW50" s="295">
        <f>IF(AND(BW$3&gt;=$AC50,BW$3&lt;(CapEx!$F$58*12)+$AC$50,CapEx!$F$58&gt;1),SLN(CapEx!$C$58,CapEx!$G$58,CapEx!$F$58)/12,0)</f>
        <v>0</v>
      </c>
      <c r="BX50" s="295">
        <f>IF(AND(BX$3&gt;=$AC50,BX$3&lt;(CapEx!$F$58*12)+$AC$50,CapEx!$F$58&gt;1),SLN(CapEx!$C$58,CapEx!$G$58,CapEx!$F$58)/12,0)</f>
        <v>0</v>
      </c>
      <c r="BY50" s="295">
        <f>IF(AND(BY$3&gt;=$AC50,BY$3&lt;(CapEx!$F$58*12)+$AC$50,CapEx!$F$58&gt;1),SLN(CapEx!$C$58,CapEx!$G$58,CapEx!$F$58)/12,0)</f>
        <v>0</v>
      </c>
      <c r="BZ50" s="295">
        <f>IF(AND(BZ$3&gt;=$AC50,BZ$3&lt;(CapEx!$F$58*12)+$AC$50,CapEx!$F$58&gt;1),SLN(CapEx!$C$58,CapEx!$G$58,CapEx!$F$58)/12,0)</f>
        <v>0</v>
      </c>
      <c r="CA50" s="295">
        <f>IF(AND(CA$3&gt;=$AC50,CA$3&lt;(CapEx!$F$58*12)+$AC$50,CapEx!$F$58&gt;1),SLN(CapEx!$C$58,CapEx!$G$58,CapEx!$F$58)/12,0)</f>
        <v>0</v>
      </c>
      <c r="CB50" s="295">
        <f>IF(AND(CB$3&gt;=$AC50,CB$3&lt;(CapEx!$F$58*12)+$AC$50,CapEx!$F$58&gt;1),SLN(CapEx!$C$58,CapEx!$G$58,CapEx!$F$58)/12,0)</f>
        <v>0</v>
      </c>
      <c r="CC50" s="295">
        <f>IF(AND(CC$3&gt;=$AC50,CC$3&lt;(CapEx!$F$58*12)+$AC$50,CapEx!$F$58&gt;1),SLN(CapEx!$C$58,CapEx!$G$58,CapEx!$F$58)/12,0)</f>
        <v>0</v>
      </c>
      <c r="CD50" s="295">
        <f>IF(AND(CD$3&gt;=$AC50,CD$3&lt;(CapEx!$F$58*12)+$AC$50,CapEx!$F$58&gt;1),SLN(CapEx!$C$58,CapEx!$G$58,CapEx!$F$58)/12,0)</f>
        <v>0</v>
      </c>
      <c r="CE50" s="295">
        <f>IF(AND(CE$3&gt;=$AC50,CE$3&lt;(CapEx!$F$58*12)+$AC$50,CapEx!$F$58&gt;1),SLN(CapEx!$C$58,CapEx!$G$58,CapEx!$F$58)/12,0)</f>
        <v>0</v>
      </c>
      <c r="CF50" s="295">
        <f>IF(AND(CF$3&gt;=$AC50,CF$3&lt;(CapEx!$F$58*12)+$AC$50,CapEx!$F$58&gt;1),SLN(CapEx!$C$58,CapEx!$G$58,CapEx!$F$58)/12,0)</f>
        <v>0</v>
      </c>
      <c r="CG50" s="295">
        <f>IF(AND(CG$3&gt;=$AC50,CG$3&lt;(CapEx!$F$58*12)+$AC$50,CapEx!$F$58&gt;1),SLN(CapEx!$C$58,CapEx!$G$58,CapEx!$F$58)/12,0)</f>
        <v>0</v>
      </c>
      <c r="CH50" s="295">
        <f>IF(AND(CH$3&gt;=$AC50,CH$3&lt;(CapEx!$F$58*12)+$AC$50,CapEx!$F$58&gt;1),SLN(CapEx!$C$58,CapEx!$G$58,CapEx!$F$58)/12,0)</f>
        <v>0</v>
      </c>
      <c r="CI50" s="295">
        <f>IF(AND(CI$3&gt;=$AC50,CI$3&lt;(CapEx!$F$58*12)+$AC$50,CapEx!$F$58&gt;1),SLN(CapEx!$C$58,CapEx!$G$58,CapEx!$F$58)/12,0)</f>
        <v>0</v>
      </c>
      <c r="CJ50" s="295">
        <f>IF(AND(CJ$3&gt;=$AC50,CJ$3&lt;(CapEx!$F$58*12)+$AC$50,CapEx!$F$58&gt;1),SLN(CapEx!$C$58,CapEx!$G$58,CapEx!$F$58)/12,0)</f>
        <v>0</v>
      </c>
      <c r="CK50" s="295">
        <f>IF(AND(CK$3&gt;=$AC50,CK$3&lt;(CapEx!$F$58*12)+$AC$50,CapEx!$F$58&gt;1),SLN(CapEx!$C$58,CapEx!$G$58,CapEx!$F$58)/12,0)</f>
        <v>0</v>
      </c>
    </row>
    <row r="51" spans="1:89">
      <c r="A51" t="s">
        <v>16</v>
      </c>
      <c r="Y51" s="79">
        <f>CapEx!F59</f>
        <v>1</v>
      </c>
      <c r="Z51" s="145" t="s">
        <v>246</v>
      </c>
      <c r="AA51" s="297">
        <v>48</v>
      </c>
      <c r="AB51">
        <f>CapEx!C59</f>
        <v>0</v>
      </c>
      <c r="AC51" s="79">
        <f>IF(AB51=0,1,DATEDIF($K$12,DATEVALUE("01-"&amp;CapEx!$D59&amp;"-"&amp;CapEx!$E59),"m")+1)</f>
        <v>1</v>
      </c>
      <c r="AD51" s="295">
        <f>IF(AND(AD$3&gt;=$AC51,AD$3&lt;(CapEx!$F$59*12)+$AC$51,CapEx!$F$59&gt;1),SLN(CapEx!$C$59,CapEx!$G$59,CapEx!$F$59)/12,0)</f>
        <v>0</v>
      </c>
      <c r="AE51" s="295">
        <f>IF(AND(AE$3&gt;=$AC51,AE$3&lt;(CapEx!$F$59*12)+$AC$51,CapEx!$F$59&gt;1),SLN(CapEx!$C$59,CapEx!$G$59,CapEx!$F$59)/12,0)</f>
        <v>0</v>
      </c>
      <c r="AF51" s="295">
        <f>IF(AND(AF$3&gt;=$AC51,AF$3&lt;(CapEx!$F$59*12)+$AC$51,CapEx!$F$59&gt;1),SLN(CapEx!$C$59,CapEx!$G$59,CapEx!$F$59)/12,0)</f>
        <v>0</v>
      </c>
      <c r="AG51" s="295">
        <f>IF(AND(AG$3&gt;=$AC51,AG$3&lt;(CapEx!$F$59*12)+$AC$51,CapEx!$F$59&gt;1),SLN(CapEx!$C$59,CapEx!$G$59,CapEx!$F$59)/12,0)</f>
        <v>0</v>
      </c>
      <c r="AH51" s="295">
        <f>IF(AND(AH$3&gt;=$AC51,AH$3&lt;(CapEx!$F$59*12)+$AC$51,CapEx!$F$59&gt;1),SLN(CapEx!$C$59,CapEx!$G$59,CapEx!$F$59)/12,0)</f>
        <v>0</v>
      </c>
      <c r="AI51" s="295">
        <f>IF(AND(AI$3&gt;=$AC51,AI$3&lt;(CapEx!$F$59*12)+$AC$51,CapEx!$F$59&gt;1),SLN(CapEx!$C$59,CapEx!$G$59,CapEx!$F$59)/12,0)</f>
        <v>0</v>
      </c>
      <c r="AJ51" s="295">
        <f>IF(AND(AJ$3&gt;=$AC51,AJ$3&lt;(CapEx!$F$59*12)+$AC$51,CapEx!$F$59&gt;1),SLN(CapEx!$C$59,CapEx!$G$59,CapEx!$F$59)/12,0)</f>
        <v>0</v>
      </c>
      <c r="AK51" s="295">
        <f>IF(AND(AK$3&gt;=$AC51,AK$3&lt;(CapEx!$F$59*12)+$AC$51,CapEx!$F$59&gt;1),SLN(CapEx!$C$59,CapEx!$G$59,CapEx!$F$59)/12,0)</f>
        <v>0</v>
      </c>
      <c r="AL51" s="295">
        <f>IF(AND(AL$3&gt;=$AC51,AL$3&lt;(CapEx!$F$59*12)+$AC$51,CapEx!$F$59&gt;1),SLN(CapEx!$C$59,CapEx!$G$59,CapEx!$F$59)/12,0)</f>
        <v>0</v>
      </c>
      <c r="AM51" s="295">
        <f>IF(AND(AM$3&gt;=$AC51,AM$3&lt;(CapEx!$F$59*12)+$AC$51,CapEx!$F$59&gt;1),SLN(CapEx!$C$59,CapEx!$G$59,CapEx!$F$59)/12,0)</f>
        <v>0</v>
      </c>
      <c r="AN51" s="295">
        <f>IF(AND(AN$3&gt;=$AC51,AN$3&lt;(CapEx!$F$59*12)+$AC$51,CapEx!$F$59&gt;1),SLN(CapEx!$C$59,CapEx!$G$59,CapEx!$F$59)/12,0)</f>
        <v>0</v>
      </c>
      <c r="AO51" s="295">
        <f>IF(AND(AO$3&gt;=$AC51,AO$3&lt;(CapEx!$F$59*12)+$AC$51,CapEx!$F$59&gt;1),SLN(CapEx!$C$59,CapEx!$G$59,CapEx!$F$59)/12,0)</f>
        <v>0</v>
      </c>
      <c r="AP51" s="295">
        <f>IF(AND(AP$3&gt;=$AC51,AP$3&lt;(CapEx!$F$59*12)+$AC$51,CapEx!$F$59&gt;1),SLN(CapEx!$C$59,CapEx!$G$59,CapEx!$F$59)/12,0)</f>
        <v>0</v>
      </c>
      <c r="AQ51" s="295">
        <f>IF(AND(AQ$3&gt;=$AC51,AQ$3&lt;(CapEx!$F$59*12)+$AC$51,CapEx!$F$59&gt;1),SLN(CapEx!$C$59,CapEx!$G$59,CapEx!$F$59)/12,0)</f>
        <v>0</v>
      </c>
      <c r="AR51" s="295">
        <f>IF(AND(AR$3&gt;=$AC51,AR$3&lt;(CapEx!$F$59*12)+$AC$51,CapEx!$F$59&gt;1),SLN(CapEx!$C$59,CapEx!$G$59,CapEx!$F$59)/12,0)</f>
        <v>0</v>
      </c>
      <c r="AS51" s="295">
        <f>IF(AND(AS$3&gt;=$AC51,AS$3&lt;(CapEx!$F$59*12)+$AC$51,CapEx!$F$59&gt;1),SLN(CapEx!$C$59,CapEx!$G$59,CapEx!$F$59)/12,0)</f>
        <v>0</v>
      </c>
      <c r="AT51" s="295">
        <f>IF(AND(AT$3&gt;=$AC51,AT$3&lt;(CapEx!$F$59*12)+$AC$51,CapEx!$F$59&gt;1),SLN(CapEx!$C$59,CapEx!$G$59,CapEx!$F$59)/12,0)</f>
        <v>0</v>
      </c>
      <c r="AU51" s="295">
        <f>IF(AND(AU$3&gt;=$AC51,AU$3&lt;(CapEx!$F$59*12)+$AC$51,CapEx!$F$59&gt;1),SLN(CapEx!$C$59,CapEx!$G$59,CapEx!$F$59)/12,0)</f>
        <v>0</v>
      </c>
      <c r="AV51" s="295">
        <f>IF(AND(AV$3&gt;=$AC51,AV$3&lt;(CapEx!$F$59*12)+$AC$51,CapEx!$F$59&gt;1),SLN(CapEx!$C$59,CapEx!$G$59,CapEx!$F$59)/12,0)</f>
        <v>0</v>
      </c>
      <c r="AW51" s="295">
        <f>IF(AND(AW$3&gt;=$AC51,AW$3&lt;(CapEx!$F$59*12)+$AC$51,CapEx!$F$59&gt;1),SLN(CapEx!$C$59,CapEx!$G$59,CapEx!$F$59)/12,0)</f>
        <v>0</v>
      </c>
      <c r="AX51" s="295">
        <f>IF(AND(AX$3&gt;=$AC51,AX$3&lt;(CapEx!$F$59*12)+$AC$51,CapEx!$F$59&gt;1),SLN(CapEx!$C$59,CapEx!$G$59,CapEx!$F$59)/12,0)</f>
        <v>0</v>
      </c>
      <c r="AY51" s="295">
        <f>IF(AND(AY$3&gt;=$AC51,AY$3&lt;(CapEx!$F$59*12)+$AC$51,CapEx!$F$59&gt;1),SLN(CapEx!$C$59,CapEx!$G$59,CapEx!$F$59)/12,0)</f>
        <v>0</v>
      </c>
      <c r="AZ51" s="295">
        <f>IF(AND(AZ$3&gt;=$AC51,AZ$3&lt;(CapEx!$F$59*12)+$AC$51,CapEx!$F$59&gt;1),SLN(CapEx!$C$59,CapEx!$G$59,CapEx!$F$59)/12,0)</f>
        <v>0</v>
      </c>
      <c r="BA51" s="295">
        <f>IF(AND(BA$3&gt;=$AC51,BA$3&lt;(CapEx!$F$59*12)+$AC$51,CapEx!$F$59&gt;1),SLN(CapEx!$C$59,CapEx!$G$59,CapEx!$F$59)/12,0)</f>
        <v>0</v>
      </c>
      <c r="BB51" s="295">
        <f>IF(AND(BB$3&gt;=$AC51,BB$3&lt;(CapEx!$F$59*12)+$AC$51,CapEx!$F$59&gt;1),SLN(CapEx!$C$59,CapEx!$G$59,CapEx!$F$59)/12,0)</f>
        <v>0</v>
      </c>
      <c r="BC51" s="295">
        <f>IF(AND(BC$3&gt;=$AC51,BC$3&lt;(CapEx!$F$59*12)+$AC$51,CapEx!$F$59&gt;1),SLN(CapEx!$C$59,CapEx!$G$59,CapEx!$F$59)/12,0)</f>
        <v>0</v>
      </c>
      <c r="BD51" s="295">
        <f>IF(AND(BD$3&gt;=$AC51,BD$3&lt;(CapEx!$F$59*12)+$AC$51,CapEx!$F$59&gt;1),SLN(CapEx!$C$59,CapEx!$G$59,CapEx!$F$59)/12,0)</f>
        <v>0</v>
      </c>
      <c r="BE51" s="295">
        <f>IF(AND(BE$3&gt;=$AC51,BE$3&lt;(CapEx!$F$59*12)+$AC$51,CapEx!$F$59&gt;1),SLN(CapEx!$C$59,CapEx!$G$59,CapEx!$F$59)/12,0)</f>
        <v>0</v>
      </c>
      <c r="BF51" s="295">
        <f>IF(AND(BF$3&gt;=$AC51,BF$3&lt;(CapEx!$F$59*12)+$AC$51,CapEx!$F$59&gt;1),SLN(CapEx!$C$59,CapEx!$G$59,CapEx!$F$59)/12,0)</f>
        <v>0</v>
      </c>
      <c r="BG51" s="295">
        <f>IF(AND(BG$3&gt;=$AC51,BG$3&lt;(CapEx!$F$59*12)+$AC$51,CapEx!$F$59&gt;1),SLN(CapEx!$C$59,CapEx!$G$59,CapEx!$F$59)/12,0)</f>
        <v>0</v>
      </c>
      <c r="BH51" s="295">
        <f>IF(AND(BH$3&gt;=$AC51,BH$3&lt;(CapEx!$F$59*12)+$AC$51,CapEx!$F$59&gt;1),SLN(CapEx!$C$59,CapEx!$G$59,CapEx!$F$59)/12,0)</f>
        <v>0</v>
      </c>
      <c r="BI51" s="295">
        <f>IF(AND(BI$3&gt;=$AC51,BI$3&lt;(CapEx!$F$59*12)+$AC$51,CapEx!$F$59&gt;1),SLN(CapEx!$C$59,CapEx!$G$59,CapEx!$F$59)/12,0)</f>
        <v>0</v>
      </c>
      <c r="BJ51" s="295">
        <f>IF(AND(BJ$3&gt;=$AC51,BJ$3&lt;(CapEx!$F$59*12)+$AC$51,CapEx!$F$59&gt;1),SLN(CapEx!$C$59,CapEx!$G$59,CapEx!$F$59)/12,0)</f>
        <v>0</v>
      </c>
      <c r="BK51" s="295">
        <f>IF(AND(BK$3&gt;=$AC51,BK$3&lt;(CapEx!$F$59*12)+$AC$51,CapEx!$F$59&gt;1),SLN(CapEx!$C$59,CapEx!$G$59,CapEx!$F$59)/12,0)</f>
        <v>0</v>
      </c>
      <c r="BL51" s="295">
        <f>IF(AND(BL$3&gt;=$AC51,BL$3&lt;(CapEx!$F$59*12)+$AC$51,CapEx!$F$59&gt;1),SLN(CapEx!$C$59,CapEx!$G$59,CapEx!$F$59)/12,0)</f>
        <v>0</v>
      </c>
      <c r="BM51" s="295">
        <f>IF(AND(BM$3&gt;=$AC51,BM$3&lt;(CapEx!$F$59*12)+$AC$51,CapEx!$F$59&gt;1),SLN(CapEx!$C$59,CapEx!$G$59,CapEx!$F$59)/12,0)</f>
        <v>0</v>
      </c>
      <c r="BN51" s="295">
        <f>IF(AND(BN$3&gt;=$AC51,BN$3&lt;(CapEx!$F$59*12)+$AC$51,CapEx!$F$59&gt;1),SLN(CapEx!$C$59,CapEx!$G$59,CapEx!$F$59)/12,0)</f>
        <v>0</v>
      </c>
      <c r="BO51" s="295">
        <f>IF(AND(BO$3&gt;=$AC51,BO$3&lt;(CapEx!$F$59*12)+$AC$51,CapEx!$F$59&gt;1),SLN(CapEx!$C$59,CapEx!$G$59,CapEx!$F$59)/12,0)</f>
        <v>0</v>
      </c>
      <c r="BP51" s="295">
        <f>IF(AND(BP$3&gt;=$AC51,BP$3&lt;(CapEx!$F$59*12)+$AC$51,CapEx!$F$59&gt;1),SLN(CapEx!$C$59,CapEx!$G$59,CapEx!$F$59)/12,0)</f>
        <v>0</v>
      </c>
      <c r="BQ51" s="295">
        <f>IF(AND(BQ$3&gt;=$AC51,BQ$3&lt;(CapEx!$F$59*12)+$AC$51,CapEx!$F$59&gt;1),SLN(CapEx!$C$59,CapEx!$G$59,CapEx!$F$59)/12,0)</f>
        <v>0</v>
      </c>
      <c r="BR51" s="295">
        <f>IF(AND(BR$3&gt;=$AC51,BR$3&lt;(CapEx!$F$59*12)+$AC$51,CapEx!$F$59&gt;1),SLN(CapEx!$C$59,CapEx!$G$59,CapEx!$F$59)/12,0)</f>
        <v>0</v>
      </c>
      <c r="BS51" s="295">
        <f>IF(AND(BS$3&gt;=$AC51,BS$3&lt;(CapEx!$F$59*12)+$AC$51,CapEx!$F$59&gt;1),SLN(CapEx!$C$59,CapEx!$G$59,CapEx!$F$59)/12,0)</f>
        <v>0</v>
      </c>
      <c r="BT51" s="295">
        <f>IF(AND(BT$3&gt;=$AC51,BT$3&lt;(CapEx!$F$59*12)+$AC$51,CapEx!$F$59&gt;1),SLN(CapEx!$C$59,CapEx!$G$59,CapEx!$F$59)/12,0)</f>
        <v>0</v>
      </c>
      <c r="BU51" s="295">
        <f>IF(AND(BU$3&gt;=$AC51,BU$3&lt;(CapEx!$F$59*12)+$AC$51,CapEx!$F$59&gt;1),SLN(CapEx!$C$59,CapEx!$G$59,CapEx!$F$59)/12,0)</f>
        <v>0</v>
      </c>
      <c r="BV51" s="295">
        <f>IF(AND(BV$3&gt;=$AC51,BV$3&lt;(CapEx!$F$59*12)+$AC$51,CapEx!$F$59&gt;1),SLN(CapEx!$C$59,CapEx!$G$59,CapEx!$F$59)/12,0)</f>
        <v>0</v>
      </c>
      <c r="BW51" s="295">
        <f>IF(AND(BW$3&gt;=$AC51,BW$3&lt;(CapEx!$F$59*12)+$AC$51,CapEx!$F$59&gt;1),SLN(CapEx!$C$59,CapEx!$G$59,CapEx!$F$59)/12,0)</f>
        <v>0</v>
      </c>
      <c r="BX51" s="295">
        <f>IF(AND(BX$3&gt;=$AC51,BX$3&lt;(CapEx!$F$59*12)+$AC$51,CapEx!$F$59&gt;1),SLN(CapEx!$C$59,CapEx!$G$59,CapEx!$F$59)/12,0)</f>
        <v>0</v>
      </c>
      <c r="BY51" s="295">
        <f>IF(AND(BY$3&gt;=$AC51,BY$3&lt;(CapEx!$F$59*12)+$AC$51,CapEx!$F$59&gt;1),SLN(CapEx!$C$59,CapEx!$G$59,CapEx!$F$59)/12,0)</f>
        <v>0</v>
      </c>
      <c r="BZ51" s="295">
        <f>IF(AND(BZ$3&gt;=$AC51,BZ$3&lt;(CapEx!$F$59*12)+$AC$51,CapEx!$F$59&gt;1),SLN(CapEx!$C$59,CapEx!$G$59,CapEx!$F$59)/12,0)</f>
        <v>0</v>
      </c>
      <c r="CA51" s="295">
        <f>IF(AND(CA$3&gt;=$AC51,CA$3&lt;(CapEx!$F$59*12)+$AC$51,CapEx!$F$59&gt;1),SLN(CapEx!$C$59,CapEx!$G$59,CapEx!$F$59)/12,0)</f>
        <v>0</v>
      </c>
      <c r="CB51" s="295">
        <f>IF(AND(CB$3&gt;=$AC51,CB$3&lt;(CapEx!$F$59*12)+$AC$51,CapEx!$F$59&gt;1),SLN(CapEx!$C$59,CapEx!$G$59,CapEx!$F$59)/12,0)</f>
        <v>0</v>
      </c>
      <c r="CC51" s="295">
        <f>IF(AND(CC$3&gt;=$AC51,CC$3&lt;(CapEx!$F$59*12)+$AC$51,CapEx!$F$59&gt;1),SLN(CapEx!$C$59,CapEx!$G$59,CapEx!$F$59)/12,0)</f>
        <v>0</v>
      </c>
      <c r="CD51" s="295">
        <f>IF(AND(CD$3&gt;=$AC51,CD$3&lt;(CapEx!$F$59*12)+$AC$51,CapEx!$F$59&gt;1),SLN(CapEx!$C$59,CapEx!$G$59,CapEx!$F$59)/12,0)</f>
        <v>0</v>
      </c>
      <c r="CE51" s="295">
        <f>IF(AND(CE$3&gt;=$AC51,CE$3&lt;(CapEx!$F$59*12)+$AC$51,CapEx!$F$59&gt;1),SLN(CapEx!$C$59,CapEx!$G$59,CapEx!$F$59)/12,0)</f>
        <v>0</v>
      </c>
      <c r="CF51" s="295">
        <f>IF(AND(CF$3&gt;=$AC51,CF$3&lt;(CapEx!$F$59*12)+$AC$51,CapEx!$F$59&gt;1),SLN(CapEx!$C$59,CapEx!$G$59,CapEx!$F$59)/12,0)</f>
        <v>0</v>
      </c>
      <c r="CG51" s="295">
        <f>IF(AND(CG$3&gt;=$AC51,CG$3&lt;(CapEx!$F$59*12)+$AC$51,CapEx!$F$59&gt;1),SLN(CapEx!$C$59,CapEx!$G$59,CapEx!$F$59)/12,0)</f>
        <v>0</v>
      </c>
      <c r="CH51" s="295">
        <f>IF(AND(CH$3&gt;=$AC51,CH$3&lt;(CapEx!$F$59*12)+$AC$51,CapEx!$F$59&gt;1),SLN(CapEx!$C$59,CapEx!$G$59,CapEx!$F$59)/12,0)</f>
        <v>0</v>
      </c>
      <c r="CI51" s="295">
        <f>IF(AND(CI$3&gt;=$AC51,CI$3&lt;(CapEx!$F$59*12)+$AC$51,CapEx!$F$59&gt;1),SLN(CapEx!$C$59,CapEx!$G$59,CapEx!$F$59)/12,0)</f>
        <v>0</v>
      </c>
      <c r="CJ51" s="295">
        <f>IF(AND(CJ$3&gt;=$AC51,CJ$3&lt;(CapEx!$F$59*12)+$AC$51,CapEx!$F$59&gt;1),SLN(CapEx!$C$59,CapEx!$G$59,CapEx!$F$59)/12,0)</f>
        <v>0</v>
      </c>
      <c r="CK51" s="295">
        <f>IF(AND(CK$3&gt;=$AC51,CK$3&lt;(CapEx!$F$59*12)+$AC$51,CapEx!$F$59&gt;1),SLN(CapEx!$C$59,CapEx!$G$59,CapEx!$F$59)/12,0)</f>
        <v>0</v>
      </c>
    </row>
    <row r="52" spans="1:89">
      <c r="A52" t="s">
        <v>17</v>
      </c>
      <c r="Y52" s="79">
        <f>CapEx!F60</f>
        <v>1</v>
      </c>
      <c r="Z52" s="145" t="s">
        <v>246</v>
      </c>
      <c r="AA52" s="297">
        <v>49</v>
      </c>
      <c r="AB52">
        <f>CapEx!C60</f>
        <v>0</v>
      </c>
      <c r="AC52" s="79">
        <f>IF(AB52=0,1,DATEDIF($K$12,DATEVALUE("01-"&amp;CapEx!$D60&amp;"-"&amp;CapEx!$E60),"m")+1)</f>
        <v>1</v>
      </c>
      <c r="AD52" s="295">
        <f>IF(AND(AD$3&gt;=$AC52,AD$3&lt;(CapEx!$F$60*12)+$AC$52,CapEx!$F$60&gt;1),SLN(CapEx!$C$60,CapEx!$G$60,CapEx!$F$60)/12,0)</f>
        <v>0</v>
      </c>
      <c r="AE52" s="295">
        <f>IF(AND(AE$3&gt;=$AC52,AE$3&lt;(CapEx!$F$60*12)+$AC$52,CapEx!$F$60&gt;1),SLN(CapEx!$C$60,CapEx!$G$60,CapEx!$F$60)/12,0)</f>
        <v>0</v>
      </c>
      <c r="AF52" s="295">
        <f>IF(AND(AF$3&gt;=$AC52,AF$3&lt;(CapEx!$F$60*12)+$AC$52,CapEx!$F$60&gt;1),SLN(CapEx!$C$60,CapEx!$G$60,CapEx!$F$60)/12,0)</f>
        <v>0</v>
      </c>
      <c r="AG52" s="295">
        <f>IF(AND(AG$3&gt;=$AC52,AG$3&lt;(CapEx!$F$60*12)+$AC$52,CapEx!$F$60&gt;1),SLN(CapEx!$C$60,CapEx!$G$60,CapEx!$F$60)/12,0)</f>
        <v>0</v>
      </c>
      <c r="AH52" s="295">
        <f>IF(AND(AH$3&gt;=$AC52,AH$3&lt;(CapEx!$F$60*12)+$AC$52,CapEx!$F$60&gt;1),SLN(CapEx!$C$60,CapEx!$G$60,CapEx!$F$60)/12,0)</f>
        <v>0</v>
      </c>
      <c r="AI52" s="295">
        <f>IF(AND(AI$3&gt;=$AC52,AI$3&lt;(CapEx!$F$60*12)+$AC$52,CapEx!$F$60&gt;1),SLN(CapEx!$C$60,CapEx!$G$60,CapEx!$F$60)/12,0)</f>
        <v>0</v>
      </c>
      <c r="AJ52" s="295">
        <f>IF(AND(AJ$3&gt;=$AC52,AJ$3&lt;(CapEx!$F$60*12)+$AC$52,CapEx!$F$60&gt;1),SLN(CapEx!$C$60,CapEx!$G$60,CapEx!$F$60)/12,0)</f>
        <v>0</v>
      </c>
      <c r="AK52" s="295">
        <f>IF(AND(AK$3&gt;=$AC52,AK$3&lt;(CapEx!$F$60*12)+$AC$52,CapEx!$F$60&gt;1),SLN(CapEx!$C$60,CapEx!$G$60,CapEx!$F$60)/12,0)</f>
        <v>0</v>
      </c>
      <c r="AL52" s="295">
        <f>IF(AND(AL$3&gt;=$AC52,AL$3&lt;(CapEx!$F$60*12)+$AC$52,CapEx!$F$60&gt;1),SLN(CapEx!$C$60,CapEx!$G$60,CapEx!$F$60)/12,0)</f>
        <v>0</v>
      </c>
      <c r="AM52" s="295">
        <f>IF(AND(AM$3&gt;=$AC52,AM$3&lt;(CapEx!$F$60*12)+$AC$52,CapEx!$F$60&gt;1),SLN(CapEx!$C$60,CapEx!$G$60,CapEx!$F$60)/12,0)</f>
        <v>0</v>
      </c>
      <c r="AN52" s="295">
        <f>IF(AND(AN$3&gt;=$AC52,AN$3&lt;(CapEx!$F$60*12)+$AC$52,CapEx!$F$60&gt;1),SLN(CapEx!$C$60,CapEx!$G$60,CapEx!$F$60)/12,0)</f>
        <v>0</v>
      </c>
      <c r="AO52" s="295">
        <f>IF(AND(AO$3&gt;=$AC52,AO$3&lt;(CapEx!$F$60*12)+$AC$52,CapEx!$F$60&gt;1),SLN(CapEx!$C$60,CapEx!$G$60,CapEx!$F$60)/12,0)</f>
        <v>0</v>
      </c>
      <c r="AP52" s="295">
        <f>IF(AND(AP$3&gt;=$AC52,AP$3&lt;(CapEx!$F$60*12)+$AC$52,CapEx!$F$60&gt;1),SLN(CapEx!$C$60,CapEx!$G$60,CapEx!$F$60)/12,0)</f>
        <v>0</v>
      </c>
      <c r="AQ52" s="295">
        <f>IF(AND(AQ$3&gt;=$AC52,AQ$3&lt;(CapEx!$F$60*12)+$AC$52,CapEx!$F$60&gt;1),SLN(CapEx!$C$60,CapEx!$G$60,CapEx!$F$60)/12,0)</f>
        <v>0</v>
      </c>
      <c r="AR52" s="295">
        <f>IF(AND(AR$3&gt;=$AC52,AR$3&lt;(CapEx!$F$60*12)+$AC$52,CapEx!$F$60&gt;1),SLN(CapEx!$C$60,CapEx!$G$60,CapEx!$F$60)/12,0)</f>
        <v>0</v>
      </c>
      <c r="AS52" s="295">
        <f>IF(AND(AS$3&gt;=$AC52,AS$3&lt;(CapEx!$F$60*12)+$AC$52,CapEx!$F$60&gt;1),SLN(CapEx!$C$60,CapEx!$G$60,CapEx!$F$60)/12,0)</f>
        <v>0</v>
      </c>
      <c r="AT52" s="295">
        <f>IF(AND(AT$3&gt;=$AC52,AT$3&lt;(CapEx!$F$60*12)+$AC$52,CapEx!$F$60&gt;1),SLN(CapEx!$C$60,CapEx!$G$60,CapEx!$F$60)/12,0)</f>
        <v>0</v>
      </c>
      <c r="AU52" s="295">
        <f>IF(AND(AU$3&gt;=$AC52,AU$3&lt;(CapEx!$F$60*12)+$AC$52,CapEx!$F$60&gt;1),SLN(CapEx!$C$60,CapEx!$G$60,CapEx!$F$60)/12,0)</f>
        <v>0</v>
      </c>
      <c r="AV52" s="295">
        <f>IF(AND(AV$3&gt;=$AC52,AV$3&lt;(CapEx!$F$60*12)+$AC$52,CapEx!$F$60&gt;1),SLN(CapEx!$C$60,CapEx!$G$60,CapEx!$F$60)/12,0)</f>
        <v>0</v>
      </c>
      <c r="AW52" s="295">
        <f>IF(AND(AW$3&gt;=$AC52,AW$3&lt;(CapEx!$F$60*12)+$AC$52,CapEx!$F$60&gt;1),SLN(CapEx!$C$60,CapEx!$G$60,CapEx!$F$60)/12,0)</f>
        <v>0</v>
      </c>
      <c r="AX52" s="295">
        <f>IF(AND(AX$3&gt;=$AC52,AX$3&lt;(CapEx!$F$60*12)+$AC$52,CapEx!$F$60&gt;1),SLN(CapEx!$C$60,CapEx!$G$60,CapEx!$F$60)/12,0)</f>
        <v>0</v>
      </c>
      <c r="AY52" s="295">
        <f>IF(AND(AY$3&gt;=$AC52,AY$3&lt;(CapEx!$F$60*12)+$AC$52,CapEx!$F$60&gt;1),SLN(CapEx!$C$60,CapEx!$G$60,CapEx!$F$60)/12,0)</f>
        <v>0</v>
      </c>
      <c r="AZ52" s="295">
        <f>IF(AND(AZ$3&gt;=$AC52,AZ$3&lt;(CapEx!$F$60*12)+$AC$52,CapEx!$F$60&gt;1),SLN(CapEx!$C$60,CapEx!$G$60,CapEx!$F$60)/12,0)</f>
        <v>0</v>
      </c>
      <c r="BA52" s="295">
        <f>IF(AND(BA$3&gt;=$AC52,BA$3&lt;(CapEx!$F$60*12)+$AC$52,CapEx!$F$60&gt;1),SLN(CapEx!$C$60,CapEx!$G$60,CapEx!$F$60)/12,0)</f>
        <v>0</v>
      </c>
      <c r="BB52" s="295">
        <f>IF(AND(BB$3&gt;=$AC52,BB$3&lt;(CapEx!$F$60*12)+$AC$52,CapEx!$F$60&gt;1),SLN(CapEx!$C$60,CapEx!$G$60,CapEx!$F$60)/12,0)</f>
        <v>0</v>
      </c>
      <c r="BC52" s="295">
        <f>IF(AND(BC$3&gt;=$AC52,BC$3&lt;(CapEx!$F$60*12)+$AC$52,CapEx!$F$60&gt;1),SLN(CapEx!$C$60,CapEx!$G$60,CapEx!$F$60)/12,0)</f>
        <v>0</v>
      </c>
      <c r="BD52" s="295">
        <f>IF(AND(BD$3&gt;=$AC52,BD$3&lt;(CapEx!$F$60*12)+$AC$52,CapEx!$F$60&gt;1),SLN(CapEx!$C$60,CapEx!$G$60,CapEx!$F$60)/12,0)</f>
        <v>0</v>
      </c>
      <c r="BE52" s="295">
        <f>IF(AND(BE$3&gt;=$AC52,BE$3&lt;(CapEx!$F$60*12)+$AC$52,CapEx!$F$60&gt;1),SLN(CapEx!$C$60,CapEx!$G$60,CapEx!$F$60)/12,0)</f>
        <v>0</v>
      </c>
      <c r="BF52" s="295">
        <f>IF(AND(BF$3&gt;=$AC52,BF$3&lt;(CapEx!$F$60*12)+$AC$52,CapEx!$F$60&gt;1),SLN(CapEx!$C$60,CapEx!$G$60,CapEx!$F$60)/12,0)</f>
        <v>0</v>
      </c>
      <c r="BG52" s="295">
        <f>IF(AND(BG$3&gt;=$AC52,BG$3&lt;(CapEx!$F$60*12)+$AC$52,CapEx!$F$60&gt;1),SLN(CapEx!$C$60,CapEx!$G$60,CapEx!$F$60)/12,0)</f>
        <v>0</v>
      </c>
      <c r="BH52" s="295">
        <f>IF(AND(BH$3&gt;=$AC52,BH$3&lt;(CapEx!$F$60*12)+$AC$52,CapEx!$F$60&gt;1),SLN(CapEx!$C$60,CapEx!$G$60,CapEx!$F$60)/12,0)</f>
        <v>0</v>
      </c>
      <c r="BI52" s="295">
        <f>IF(AND(BI$3&gt;=$AC52,BI$3&lt;(CapEx!$F$60*12)+$AC$52,CapEx!$F$60&gt;1),SLN(CapEx!$C$60,CapEx!$G$60,CapEx!$F$60)/12,0)</f>
        <v>0</v>
      </c>
      <c r="BJ52" s="295">
        <f>IF(AND(BJ$3&gt;=$AC52,BJ$3&lt;(CapEx!$F$60*12)+$AC$52,CapEx!$F$60&gt;1),SLN(CapEx!$C$60,CapEx!$G$60,CapEx!$F$60)/12,0)</f>
        <v>0</v>
      </c>
      <c r="BK52" s="295">
        <f>IF(AND(BK$3&gt;=$AC52,BK$3&lt;(CapEx!$F$60*12)+$AC$52,CapEx!$F$60&gt;1),SLN(CapEx!$C$60,CapEx!$G$60,CapEx!$F$60)/12,0)</f>
        <v>0</v>
      </c>
      <c r="BL52" s="295">
        <f>IF(AND(BL$3&gt;=$AC52,BL$3&lt;(CapEx!$F$60*12)+$AC$52,CapEx!$F$60&gt;1),SLN(CapEx!$C$60,CapEx!$G$60,CapEx!$F$60)/12,0)</f>
        <v>0</v>
      </c>
      <c r="BM52" s="295">
        <f>IF(AND(BM$3&gt;=$AC52,BM$3&lt;(CapEx!$F$60*12)+$AC$52,CapEx!$F$60&gt;1),SLN(CapEx!$C$60,CapEx!$G$60,CapEx!$F$60)/12,0)</f>
        <v>0</v>
      </c>
      <c r="BN52" s="295">
        <f>IF(AND(BN$3&gt;=$AC52,BN$3&lt;(CapEx!$F$60*12)+$AC$52,CapEx!$F$60&gt;1),SLN(CapEx!$C$60,CapEx!$G$60,CapEx!$F$60)/12,0)</f>
        <v>0</v>
      </c>
      <c r="BO52" s="295">
        <f>IF(AND(BO$3&gt;=$AC52,BO$3&lt;(CapEx!$F$60*12)+$AC$52,CapEx!$F$60&gt;1),SLN(CapEx!$C$60,CapEx!$G$60,CapEx!$F$60)/12,0)</f>
        <v>0</v>
      </c>
      <c r="BP52" s="295">
        <f>IF(AND(BP$3&gt;=$AC52,BP$3&lt;(CapEx!$F$60*12)+$AC$52,CapEx!$F$60&gt;1),SLN(CapEx!$C$60,CapEx!$G$60,CapEx!$F$60)/12,0)</f>
        <v>0</v>
      </c>
      <c r="BQ52" s="295">
        <f>IF(AND(BQ$3&gt;=$AC52,BQ$3&lt;(CapEx!$F$60*12)+$AC$52,CapEx!$F$60&gt;1),SLN(CapEx!$C$60,CapEx!$G$60,CapEx!$F$60)/12,0)</f>
        <v>0</v>
      </c>
      <c r="BR52" s="295">
        <f>IF(AND(BR$3&gt;=$AC52,BR$3&lt;(CapEx!$F$60*12)+$AC$52,CapEx!$F$60&gt;1),SLN(CapEx!$C$60,CapEx!$G$60,CapEx!$F$60)/12,0)</f>
        <v>0</v>
      </c>
      <c r="BS52" s="295">
        <f>IF(AND(BS$3&gt;=$AC52,BS$3&lt;(CapEx!$F$60*12)+$AC$52,CapEx!$F$60&gt;1),SLN(CapEx!$C$60,CapEx!$G$60,CapEx!$F$60)/12,0)</f>
        <v>0</v>
      </c>
      <c r="BT52" s="295">
        <f>IF(AND(BT$3&gt;=$AC52,BT$3&lt;(CapEx!$F$60*12)+$AC$52,CapEx!$F$60&gt;1),SLN(CapEx!$C$60,CapEx!$G$60,CapEx!$F$60)/12,0)</f>
        <v>0</v>
      </c>
      <c r="BU52" s="295">
        <f>IF(AND(BU$3&gt;=$AC52,BU$3&lt;(CapEx!$F$60*12)+$AC$52,CapEx!$F$60&gt;1),SLN(CapEx!$C$60,CapEx!$G$60,CapEx!$F$60)/12,0)</f>
        <v>0</v>
      </c>
      <c r="BV52" s="295">
        <f>IF(AND(BV$3&gt;=$AC52,BV$3&lt;(CapEx!$F$60*12)+$AC$52,CapEx!$F$60&gt;1),SLN(CapEx!$C$60,CapEx!$G$60,CapEx!$F$60)/12,0)</f>
        <v>0</v>
      </c>
      <c r="BW52" s="295">
        <f>IF(AND(BW$3&gt;=$AC52,BW$3&lt;(CapEx!$F$60*12)+$AC$52,CapEx!$F$60&gt;1),SLN(CapEx!$C$60,CapEx!$G$60,CapEx!$F$60)/12,0)</f>
        <v>0</v>
      </c>
      <c r="BX52" s="295">
        <f>IF(AND(BX$3&gt;=$AC52,BX$3&lt;(CapEx!$F$60*12)+$AC$52,CapEx!$F$60&gt;1),SLN(CapEx!$C$60,CapEx!$G$60,CapEx!$F$60)/12,0)</f>
        <v>0</v>
      </c>
      <c r="BY52" s="295">
        <f>IF(AND(BY$3&gt;=$AC52,BY$3&lt;(CapEx!$F$60*12)+$AC$52,CapEx!$F$60&gt;1),SLN(CapEx!$C$60,CapEx!$G$60,CapEx!$F$60)/12,0)</f>
        <v>0</v>
      </c>
      <c r="BZ52" s="295">
        <f>IF(AND(BZ$3&gt;=$AC52,BZ$3&lt;(CapEx!$F$60*12)+$AC$52,CapEx!$F$60&gt;1),SLN(CapEx!$C$60,CapEx!$G$60,CapEx!$F$60)/12,0)</f>
        <v>0</v>
      </c>
      <c r="CA52" s="295">
        <f>IF(AND(CA$3&gt;=$AC52,CA$3&lt;(CapEx!$F$60*12)+$AC$52,CapEx!$F$60&gt;1),SLN(CapEx!$C$60,CapEx!$G$60,CapEx!$F$60)/12,0)</f>
        <v>0</v>
      </c>
      <c r="CB52" s="295">
        <f>IF(AND(CB$3&gt;=$AC52,CB$3&lt;(CapEx!$F$60*12)+$AC$52,CapEx!$F$60&gt;1),SLN(CapEx!$C$60,CapEx!$G$60,CapEx!$F$60)/12,0)</f>
        <v>0</v>
      </c>
      <c r="CC52" s="295">
        <f>IF(AND(CC$3&gt;=$AC52,CC$3&lt;(CapEx!$F$60*12)+$AC$52,CapEx!$F$60&gt;1),SLN(CapEx!$C$60,CapEx!$G$60,CapEx!$F$60)/12,0)</f>
        <v>0</v>
      </c>
      <c r="CD52" s="295">
        <f>IF(AND(CD$3&gt;=$AC52,CD$3&lt;(CapEx!$F$60*12)+$AC$52,CapEx!$F$60&gt;1),SLN(CapEx!$C$60,CapEx!$G$60,CapEx!$F$60)/12,0)</f>
        <v>0</v>
      </c>
      <c r="CE52" s="295">
        <f>IF(AND(CE$3&gt;=$AC52,CE$3&lt;(CapEx!$F$60*12)+$AC$52,CapEx!$F$60&gt;1),SLN(CapEx!$C$60,CapEx!$G$60,CapEx!$F$60)/12,0)</f>
        <v>0</v>
      </c>
      <c r="CF52" s="295">
        <f>IF(AND(CF$3&gt;=$AC52,CF$3&lt;(CapEx!$F$60*12)+$AC$52,CapEx!$F$60&gt;1),SLN(CapEx!$C$60,CapEx!$G$60,CapEx!$F$60)/12,0)</f>
        <v>0</v>
      </c>
      <c r="CG52" s="295">
        <f>IF(AND(CG$3&gt;=$AC52,CG$3&lt;(CapEx!$F$60*12)+$AC$52,CapEx!$F$60&gt;1),SLN(CapEx!$C$60,CapEx!$G$60,CapEx!$F$60)/12,0)</f>
        <v>0</v>
      </c>
      <c r="CH52" s="295">
        <f>IF(AND(CH$3&gt;=$AC52,CH$3&lt;(CapEx!$F$60*12)+$AC$52,CapEx!$F$60&gt;1),SLN(CapEx!$C$60,CapEx!$G$60,CapEx!$F$60)/12,0)</f>
        <v>0</v>
      </c>
      <c r="CI52" s="295">
        <f>IF(AND(CI$3&gt;=$AC52,CI$3&lt;(CapEx!$F$60*12)+$AC$52,CapEx!$F$60&gt;1),SLN(CapEx!$C$60,CapEx!$G$60,CapEx!$F$60)/12,0)</f>
        <v>0</v>
      </c>
      <c r="CJ52" s="295">
        <f>IF(AND(CJ$3&gt;=$AC52,CJ$3&lt;(CapEx!$F$60*12)+$AC$52,CapEx!$F$60&gt;1),SLN(CapEx!$C$60,CapEx!$G$60,CapEx!$F$60)/12,0)</f>
        <v>0</v>
      </c>
      <c r="CK52" s="295">
        <f>IF(AND(CK$3&gt;=$AC52,CK$3&lt;(CapEx!$F$60*12)+$AC$52,CapEx!$F$60&gt;1),SLN(CapEx!$C$60,CapEx!$G$60,CapEx!$F$60)/12,0)</f>
        <v>0</v>
      </c>
    </row>
    <row r="53" spans="1:89">
      <c r="A53" t="s">
        <v>7</v>
      </c>
      <c r="Y53" s="79">
        <f>CapEx!F61</f>
        <v>1</v>
      </c>
      <c r="Z53" s="145" t="s">
        <v>246</v>
      </c>
      <c r="AA53" s="297">
        <v>50</v>
      </c>
      <c r="AB53">
        <f>CapEx!C61</f>
        <v>0</v>
      </c>
      <c r="AC53" s="79">
        <f>IF(AB53=0,1,DATEDIF($K$12,DATEVALUE("01-"&amp;CapEx!$D61&amp;"-"&amp;CapEx!$E61),"m")+1)</f>
        <v>1</v>
      </c>
      <c r="AD53" s="295">
        <f>IF(AND(AD$3&gt;=$AC53,AD$3&lt;(CapEx!$F$61*12)+$AC$53,CapEx!$F$61&gt;1),SLN(CapEx!$C$61,CapEx!$G$61,CapEx!$F$61)/12,0)</f>
        <v>0</v>
      </c>
      <c r="AE53" s="295">
        <f>IF(AND(AE$3&gt;=$AC53,AE$3&lt;(CapEx!$F$61*12)+$AC$53,CapEx!$F$61&gt;1),SLN(CapEx!$C$61,CapEx!$G$61,CapEx!$F$61)/12,0)</f>
        <v>0</v>
      </c>
      <c r="AF53" s="295">
        <f>IF(AND(AF$3&gt;=$AC53,AF$3&lt;(CapEx!$F$61*12)+$AC$53,CapEx!$F$61&gt;1),SLN(CapEx!$C$61,CapEx!$G$61,CapEx!$F$61)/12,0)</f>
        <v>0</v>
      </c>
      <c r="AG53" s="295">
        <f>IF(AND(AG$3&gt;=$AC53,AG$3&lt;(CapEx!$F$61*12)+$AC$53,CapEx!$F$61&gt;1),SLN(CapEx!$C$61,CapEx!$G$61,CapEx!$F$61)/12,0)</f>
        <v>0</v>
      </c>
      <c r="AH53" s="295">
        <f>IF(AND(AH$3&gt;=$AC53,AH$3&lt;(CapEx!$F$61*12)+$AC$53,CapEx!$F$61&gt;1),SLN(CapEx!$C$61,CapEx!$G$61,CapEx!$F$61)/12,0)</f>
        <v>0</v>
      </c>
      <c r="AI53" s="295">
        <f>IF(AND(AI$3&gt;=$AC53,AI$3&lt;(CapEx!$F$61*12)+$AC$53,CapEx!$F$61&gt;1),SLN(CapEx!$C$61,CapEx!$G$61,CapEx!$F$61)/12,0)</f>
        <v>0</v>
      </c>
      <c r="AJ53" s="295">
        <f>IF(AND(AJ$3&gt;=$AC53,AJ$3&lt;(CapEx!$F$61*12)+$AC$53,CapEx!$F$61&gt;1),SLN(CapEx!$C$61,CapEx!$G$61,CapEx!$F$61)/12,0)</f>
        <v>0</v>
      </c>
      <c r="AK53" s="295">
        <f>IF(AND(AK$3&gt;=$AC53,AK$3&lt;(CapEx!$F$61*12)+$AC$53,CapEx!$F$61&gt;1),SLN(CapEx!$C$61,CapEx!$G$61,CapEx!$F$61)/12,0)</f>
        <v>0</v>
      </c>
      <c r="AL53" s="295">
        <f>IF(AND(AL$3&gt;=$AC53,AL$3&lt;(CapEx!$F$61*12)+$AC$53,CapEx!$F$61&gt;1),SLN(CapEx!$C$61,CapEx!$G$61,CapEx!$F$61)/12,0)</f>
        <v>0</v>
      </c>
      <c r="AM53" s="295">
        <f>IF(AND(AM$3&gt;=$AC53,AM$3&lt;(CapEx!$F$61*12)+$AC$53,CapEx!$F$61&gt;1),SLN(CapEx!$C$61,CapEx!$G$61,CapEx!$F$61)/12,0)</f>
        <v>0</v>
      </c>
      <c r="AN53" s="295">
        <f>IF(AND(AN$3&gt;=$AC53,AN$3&lt;(CapEx!$F$61*12)+$AC$53,CapEx!$F$61&gt;1),SLN(CapEx!$C$61,CapEx!$G$61,CapEx!$F$61)/12,0)</f>
        <v>0</v>
      </c>
      <c r="AO53" s="295">
        <f>IF(AND(AO$3&gt;=$AC53,AO$3&lt;(CapEx!$F$61*12)+$AC$53,CapEx!$F$61&gt;1),SLN(CapEx!$C$61,CapEx!$G$61,CapEx!$F$61)/12,0)</f>
        <v>0</v>
      </c>
      <c r="AP53" s="295">
        <f>IF(AND(AP$3&gt;=$AC53,AP$3&lt;(CapEx!$F$61*12)+$AC$53,CapEx!$F$61&gt;1),SLN(CapEx!$C$61,CapEx!$G$61,CapEx!$F$61)/12,0)</f>
        <v>0</v>
      </c>
      <c r="AQ53" s="295">
        <f>IF(AND(AQ$3&gt;=$AC53,AQ$3&lt;(CapEx!$F$61*12)+$AC$53,CapEx!$F$61&gt;1),SLN(CapEx!$C$61,CapEx!$G$61,CapEx!$F$61)/12,0)</f>
        <v>0</v>
      </c>
      <c r="AR53" s="295">
        <f>IF(AND(AR$3&gt;=$AC53,AR$3&lt;(CapEx!$F$61*12)+$AC$53,CapEx!$F$61&gt;1),SLN(CapEx!$C$61,CapEx!$G$61,CapEx!$F$61)/12,0)</f>
        <v>0</v>
      </c>
      <c r="AS53" s="295">
        <f>IF(AND(AS$3&gt;=$AC53,AS$3&lt;(CapEx!$F$61*12)+$AC$53,CapEx!$F$61&gt;1),SLN(CapEx!$C$61,CapEx!$G$61,CapEx!$F$61)/12,0)</f>
        <v>0</v>
      </c>
      <c r="AT53" s="295">
        <f>IF(AND(AT$3&gt;=$AC53,AT$3&lt;(CapEx!$F$61*12)+$AC$53,CapEx!$F$61&gt;1),SLN(CapEx!$C$61,CapEx!$G$61,CapEx!$F$61)/12,0)</f>
        <v>0</v>
      </c>
      <c r="AU53" s="295">
        <f>IF(AND(AU$3&gt;=$AC53,AU$3&lt;(CapEx!$F$61*12)+$AC$53,CapEx!$F$61&gt;1),SLN(CapEx!$C$61,CapEx!$G$61,CapEx!$F$61)/12,0)</f>
        <v>0</v>
      </c>
      <c r="AV53" s="295">
        <f>IF(AND(AV$3&gt;=$AC53,AV$3&lt;(CapEx!$F$61*12)+$AC$53,CapEx!$F$61&gt;1),SLN(CapEx!$C$61,CapEx!$G$61,CapEx!$F$61)/12,0)</f>
        <v>0</v>
      </c>
      <c r="AW53" s="295">
        <f>IF(AND(AW$3&gt;=$AC53,AW$3&lt;(CapEx!$F$61*12)+$AC$53,CapEx!$F$61&gt;1),SLN(CapEx!$C$61,CapEx!$G$61,CapEx!$F$61)/12,0)</f>
        <v>0</v>
      </c>
      <c r="AX53" s="295">
        <f>IF(AND(AX$3&gt;=$AC53,AX$3&lt;(CapEx!$F$61*12)+$AC$53,CapEx!$F$61&gt;1),SLN(CapEx!$C$61,CapEx!$G$61,CapEx!$F$61)/12,0)</f>
        <v>0</v>
      </c>
      <c r="AY53" s="295">
        <f>IF(AND(AY$3&gt;=$AC53,AY$3&lt;(CapEx!$F$61*12)+$AC$53,CapEx!$F$61&gt;1),SLN(CapEx!$C$61,CapEx!$G$61,CapEx!$F$61)/12,0)</f>
        <v>0</v>
      </c>
      <c r="AZ53" s="295">
        <f>IF(AND(AZ$3&gt;=$AC53,AZ$3&lt;(CapEx!$F$61*12)+$AC$53,CapEx!$F$61&gt;1),SLN(CapEx!$C$61,CapEx!$G$61,CapEx!$F$61)/12,0)</f>
        <v>0</v>
      </c>
      <c r="BA53" s="295">
        <f>IF(AND(BA$3&gt;=$AC53,BA$3&lt;(CapEx!$F$61*12)+$AC$53,CapEx!$F$61&gt;1),SLN(CapEx!$C$61,CapEx!$G$61,CapEx!$F$61)/12,0)</f>
        <v>0</v>
      </c>
      <c r="BB53" s="295">
        <f>IF(AND(BB$3&gt;=$AC53,BB$3&lt;(CapEx!$F$61*12)+$AC$53,CapEx!$F$61&gt;1),SLN(CapEx!$C$61,CapEx!$G$61,CapEx!$F$61)/12,0)</f>
        <v>0</v>
      </c>
      <c r="BC53" s="295">
        <f>IF(AND(BC$3&gt;=$AC53,BC$3&lt;(CapEx!$F$61*12)+$AC$53,CapEx!$F$61&gt;1),SLN(CapEx!$C$61,CapEx!$G$61,CapEx!$F$61)/12,0)</f>
        <v>0</v>
      </c>
      <c r="BD53" s="295">
        <f>IF(AND(BD$3&gt;=$AC53,BD$3&lt;(CapEx!$F$61*12)+$AC$53,CapEx!$F$61&gt;1),SLN(CapEx!$C$61,CapEx!$G$61,CapEx!$F$61)/12,0)</f>
        <v>0</v>
      </c>
      <c r="BE53" s="295">
        <f>IF(AND(BE$3&gt;=$AC53,BE$3&lt;(CapEx!$F$61*12)+$AC$53,CapEx!$F$61&gt;1),SLN(CapEx!$C$61,CapEx!$G$61,CapEx!$F$61)/12,0)</f>
        <v>0</v>
      </c>
      <c r="BF53" s="295">
        <f>IF(AND(BF$3&gt;=$AC53,BF$3&lt;(CapEx!$F$61*12)+$AC$53,CapEx!$F$61&gt;1),SLN(CapEx!$C$61,CapEx!$G$61,CapEx!$F$61)/12,0)</f>
        <v>0</v>
      </c>
      <c r="BG53" s="295">
        <f>IF(AND(BG$3&gt;=$AC53,BG$3&lt;(CapEx!$F$61*12)+$AC$53,CapEx!$F$61&gt;1),SLN(CapEx!$C$61,CapEx!$G$61,CapEx!$F$61)/12,0)</f>
        <v>0</v>
      </c>
      <c r="BH53" s="295">
        <f>IF(AND(BH$3&gt;=$AC53,BH$3&lt;(CapEx!$F$61*12)+$AC$53,CapEx!$F$61&gt;1),SLN(CapEx!$C$61,CapEx!$G$61,CapEx!$F$61)/12,0)</f>
        <v>0</v>
      </c>
      <c r="BI53" s="295">
        <f>IF(AND(BI$3&gt;=$AC53,BI$3&lt;(CapEx!$F$61*12)+$AC$53,CapEx!$F$61&gt;1),SLN(CapEx!$C$61,CapEx!$G$61,CapEx!$F$61)/12,0)</f>
        <v>0</v>
      </c>
      <c r="BJ53" s="295">
        <f>IF(AND(BJ$3&gt;=$AC53,BJ$3&lt;(CapEx!$F$61*12)+$AC$53,CapEx!$F$61&gt;1),SLN(CapEx!$C$61,CapEx!$G$61,CapEx!$F$61)/12,0)</f>
        <v>0</v>
      </c>
      <c r="BK53" s="295">
        <f>IF(AND(BK$3&gt;=$AC53,BK$3&lt;(CapEx!$F$61*12)+$AC$53,CapEx!$F$61&gt;1),SLN(CapEx!$C$61,CapEx!$G$61,CapEx!$F$61)/12,0)</f>
        <v>0</v>
      </c>
      <c r="BL53" s="295">
        <f>IF(AND(BL$3&gt;=$AC53,BL$3&lt;(CapEx!$F$61*12)+$AC$53,CapEx!$F$61&gt;1),SLN(CapEx!$C$61,CapEx!$G$61,CapEx!$F$61)/12,0)</f>
        <v>0</v>
      </c>
      <c r="BM53" s="295">
        <f>IF(AND(BM$3&gt;=$AC53,BM$3&lt;(CapEx!$F$61*12)+$AC$53,CapEx!$F$61&gt;1),SLN(CapEx!$C$61,CapEx!$G$61,CapEx!$F$61)/12,0)</f>
        <v>0</v>
      </c>
      <c r="BN53" s="295">
        <f>IF(AND(BN$3&gt;=$AC53,BN$3&lt;(CapEx!$F$61*12)+$AC$53,CapEx!$F$61&gt;1),SLN(CapEx!$C$61,CapEx!$G$61,CapEx!$F$61)/12,0)</f>
        <v>0</v>
      </c>
      <c r="BO53" s="295">
        <f>IF(AND(BO$3&gt;=$AC53,BO$3&lt;(CapEx!$F$61*12)+$AC$53,CapEx!$F$61&gt;1),SLN(CapEx!$C$61,CapEx!$G$61,CapEx!$F$61)/12,0)</f>
        <v>0</v>
      </c>
      <c r="BP53" s="295">
        <f>IF(AND(BP$3&gt;=$AC53,BP$3&lt;(CapEx!$F$61*12)+$AC$53,CapEx!$F$61&gt;1),SLN(CapEx!$C$61,CapEx!$G$61,CapEx!$F$61)/12,0)</f>
        <v>0</v>
      </c>
      <c r="BQ53" s="295">
        <f>IF(AND(BQ$3&gt;=$AC53,BQ$3&lt;(CapEx!$F$61*12)+$AC$53,CapEx!$F$61&gt;1),SLN(CapEx!$C$61,CapEx!$G$61,CapEx!$F$61)/12,0)</f>
        <v>0</v>
      </c>
      <c r="BR53" s="295">
        <f>IF(AND(BR$3&gt;=$AC53,BR$3&lt;(CapEx!$F$61*12)+$AC$53,CapEx!$F$61&gt;1),SLN(CapEx!$C$61,CapEx!$G$61,CapEx!$F$61)/12,0)</f>
        <v>0</v>
      </c>
      <c r="BS53" s="295">
        <f>IF(AND(BS$3&gt;=$AC53,BS$3&lt;(CapEx!$F$61*12)+$AC$53,CapEx!$F$61&gt;1),SLN(CapEx!$C$61,CapEx!$G$61,CapEx!$F$61)/12,0)</f>
        <v>0</v>
      </c>
      <c r="BT53" s="295">
        <f>IF(AND(BT$3&gt;=$AC53,BT$3&lt;(CapEx!$F$61*12)+$AC$53,CapEx!$F$61&gt;1),SLN(CapEx!$C$61,CapEx!$G$61,CapEx!$F$61)/12,0)</f>
        <v>0</v>
      </c>
      <c r="BU53" s="295">
        <f>IF(AND(BU$3&gt;=$AC53,BU$3&lt;(CapEx!$F$61*12)+$AC$53,CapEx!$F$61&gt;1),SLN(CapEx!$C$61,CapEx!$G$61,CapEx!$F$61)/12,0)</f>
        <v>0</v>
      </c>
      <c r="BV53" s="295">
        <f>IF(AND(BV$3&gt;=$AC53,BV$3&lt;(CapEx!$F$61*12)+$AC$53,CapEx!$F$61&gt;1),SLN(CapEx!$C$61,CapEx!$G$61,CapEx!$F$61)/12,0)</f>
        <v>0</v>
      </c>
      <c r="BW53" s="295">
        <f>IF(AND(BW$3&gt;=$AC53,BW$3&lt;(CapEx!$F$61*12)+$AC$53,CapEx!$F$61&gt;1),SLN(CapEx!$C$61,CapEx!$G$61,CapEx!$F$61)/12,0)</f>
        <v>0</v>
      </c>
      <c r="BX53" s="295">
        <f>IF(AND(BX$3&gt;=$AC53,BX$3&lt;(CapEx!$F$61*12)+$AC$53,CapEx!$F$61&gt;1),SLN(CapEx!$C$61,CapEx!$G$61,CapEx!$F$61)/12,0)</f>
        <v>0</v>
      </c>
      <c r="BY53" s="295">
        <f>IF(AND(BY$3&gt;=$AC53,BY$3&lt;(CapEx!$F$61*12)+$AC$53,CapEx!$F$61&gt;1),SLN(CapEx!$C$61,CapEx!$G$61,CapEx!$F$61)/12,0)</f>
        <v>0</v>
      </c>
      <c r="BZ53" s="295">
        <f>IF(AND(BZ$3&gt;=$AC53,BZ$3&lt;(CapEx!$F$61*12)+$AC$53,CapEx!$F$61&gt;1),SLN(CapEx!$C$61,CapEx!$G$61,CapEx!$F$61)/12,0)</f>
        <v>0</v>
      </c>
      <c r="CA53" s="295">
        <f>IF(AND(CA$3&gt;=$AC53,CA$3&lt;(CapEx!$F$61*12)+$AC$53,CapEx!$F$61&gt;1),SLN(CapEx!$C$61,CapEx!$G$61,CapEx!$F$61)/12,0)</f>
        <v>0</v>
      </c>
      <c r="CB53" s="295">
        <f>IF(AND(CB$3&gt;=$AC53,CB$3&lt;(CapEx!$F$61*12)+$AC$53,CapEx!$F$61&gt;1),SLN(CapEx!$C$61,CapEx!$G$61,CapEx!$F$61)/12,0)</f>
        <v>0</v>
      </c>
      <c r="CC53" s="295">
        <f>IF(AND(CC$3&gt;=$AC53,CC$3&lt;(CapEx!$F$61*12)+$AC$53,CapEx!$F$61&gt;1),SLN(CapEx!$C$61,CapEx!$G$61,CapEx!$F$61)/12,0)</f>
        <v>0</v>
      </c>
      <c r="CD53" s="295">
        <f>IF(AND(CD$3&gt;=$AC53,CD$3&lt;(CapEx!$F$61*12)+$AC$53,CapEx!$F$61&gt;1),SLN(CapEx!$C$61,CapEx!$G$61,CapEx!$F$61)/12,0)</f>
        <v>0</v>
      </c>
      <c r="CE53" s="295">
        <f>IF(AND(CE$3&gt;=$AC53,CE$3&lt;(CapEx!$F$61*12)+$AC$53,CapEx!$F$61&gt;1),SLN(CapEx!$C$61,CapEx!$G$61,CapEx!$F$61)/12,0)</f>
        <v>0</v>
      </c>
      <c r="CF53" s="295">
        <f>IF(AND(CF$3&gt;=$AC53,CF$3&lt;(CapEx!$F$61*12)+$AC$53,CapEx!$F$61&gt;1),SLN(CapEx!$C$61,CapEx!$G$61,CapEx!$F$61)/12,0)</f>
        <v>0</v>
      </c>
      <c r="CG53" s="295">
        <f>IF(AND(CG$3&gt;=$AC53,CG$3&lt;(CapEx!$F$61*12)+$AC$53,CapEx!$F$61&gt;1),SLN(CapEx!$C$61,CapEx!$G$61,CapEx!$F$61)/12,0)</f>
        <v>0</v>
      </c>
      <c r="CH53" s="295">
        <f>IF(AND(CH$3&gt;=$AC53,CH$3&lt;(CapEx!$F$61*12)+$AC$53,CapEx!$F$61&gt;1),SLN(CapEx!$C$61,CapEx!$G$61,CapEx!$F$61)/12,0)</f>
        <v>0</v>
      </c>
      <c r="CI53" s="295">
        <f>IF(AND(CI$3&gt;=$AC53,CI$3&lt;(CapEx!$F$61*12)+$AC$53,CapEx!$F$61&gt;1),SLN(CapEx!$C$61,CapEx!$G$61,CapEx!$F$61)/12,0)</f>
        <v>0</v>
      </c>
      <c r="CJ53" s="295">
        <f>IF(AND(CJ$3&gt;=$AC53,CJ$3&lt;(CapEx!$F$61*12)+$AC$53,CapEx!$F$61&gt;1),SLN(CapEx!$C$61,CapEx!$G$61,CapEx!$F$61)/12,0)</f>
        <v>0</v>
      </c>
      <c r="CK53" s="295">
        <f>IF(AND(CK$3&gt;=$AC53,CK$3&lt;(CapEx!$F$61*12)+$AC$53,CapEx!$F$61&gt;1),SLN(CapEx!$C$61,CapEx!$G$61,CapEx!$F$61)/12,0)</f>
        <v>0</v>
      </c>
    </row>
    <row r="54" spans="1:89">
      <c r="A54" t="s">
        <v>8</v>
      </c>
      <c r="Y54" s="313">
        <v>1</v>
      </c>
      <c r="Z54" s="145" t="s">
        <v>129</v>
      </c>
      <c r="AA54" s="297">
        <v>51</v>
      </c>
      <c r="AB54">
        <f>CapEx!C64</f>
        <v>0</v>
      </c>
      <c r="AC54" s="79">
        <f>IF(AB54=0,1,DATEDIF($K$12,DATEVALUE("01-"&amp;CapEx!$D64&amp;"-"&amp;CapEx!$E64),"m")+1)</f>
        <v>1</v>
      </c>
      <c r="AD54" s="307"/>
      <c r="AE54" s="307"/>
      <c r="AF54" s="307"/>
      <c r="AG54" s="307"/>
      <c r="AH54" s="307"/>
      <c r="AI54" s="307"/>
      <c r="AJ54" s="307"/>
      <c r="AK54" s="307"/>
      <c r="AL54" s="307"/>
      <c r="AM54" s="307"/>
      <c r="AN54" s="307"/>
      <c r="AO54" s="307"/>
      <c r="AP54" s="307"/>
      <c r="AQ54" s="307"/>
      <c r="AR54" s="307"/>
      <c r="AS54" s="307"/>
      <c r="AT54" s="307"/>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7"/>
      <c r="BW54" s="307"/>
      <c r="BX54" s="307"/>
      <c r="BY54" s="307"/>
      <c r="BZ54" s="307"/>
      <c r="CA54" s="307"/>
      <c r="CB54" s="307"/>
      <c r="CC54" s="307"/>
      <c r="CD54" s="307"/>
      <c r="CE54" s="307"/>
      <c r="CF54" s="307"/>
      <c r="CG54" s="307"/>
      <c r="CH54" s="307"/>
      <c r="CI54" s="307"/>
      <c r="CJ54" s="307"/>
      <c r="CK54" s="307"/>
    </row>
    <row r="55" spans="1:89">
      <c r="A55" t="s">
        <v>9</v>
      </c>
      <c r="Y55" s="313">
        <v>1</v>
      </c>
      <c r="Z55" s="145" t="s">
        <v>129</v>
      </c>
      <c r="AA55" s="297">
        <v>52</v>
      </c>
      <c r="AB55">
        <f>CapEx!C65</f>
        <v>0</v>
      </c>
      <c r="AC55" s="79">
        <f>IF(AB55=0,1,DATEDIF($K$12,DATEVALUE("01-"&amp;CapEx!$D65&amp;"-"&amp;CapEx!$E65),"m")+1)</f>
        <v>1</v>
      </c>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7"/>
      <c r="BW55" s="307"/>
      <c r="BX55" s="307"/>
      <c r="BY55" s="307"/>
      <c r="BZ55" s="307"/>
      <c r="CA55" s="307"/>
      <c r="CB55" s="307"/>
      <c r="CC55" s="307"/>
      <c r="CD55" s="307"/>
      <c r="CE55" s="307"/>
      <c r="CF55" s="307"/>
      <c r="CG55" s="307"/>
      <c r="CH55" s="307"/>
      <c r="CI55" s="307"/>
      <c r="CJ55" s="307"/>
      <c r="CK55" s="307"/>
    </row>
    <row r="56" spans="1:89">
      <c r="A56" t="s">
        <v>10</v>
      </c>
      <c r="Y56" s="313">
        <v>1</v>
      </c>
      <c r="Z56" s="145" t="s">
        <v>129</v>
      </c>
      <c r="AA56" s="297">
        <v>53</v>
      </c>
      <c r="AB56">
        <f>CapEx!C66</f>
        <v>0</v>
      </c>
      <c r="AC56" s="79">
        <f>IF(AB56=0,1,DATEDIF($K$12,DATEVALUE("01-"&amp;CapEx!$D66&amp;"-"&amp;CapEx!$E66),"m")+1)</f>
        <v>1</v>
      </c>
      <c r="AD56" s="307"/>
      <c r="AE56" s="307"/>
      <c r="AF56" s="307"/>
      <c r="AG56" s="307"/>
      <c r="AH56" s="307"/>
      <c r="AI56" s="307"/>
      <c r="AJ56" s="307"/>
      <c r="AK56" s="307"/>
      <c r="AL56" s="307"/>
      <c r="AM56" s="307"/>
      <c r="AN56" s="307"/>
      <c r="AO56" s="307"/>
      <c r="AP56" s="307"/>
      <c r="AQ56" s="307"/>
      <c r="AR56" s="307"/>
      <c r="AS56" s="307"/>
      <c r="AT56" s="307"/>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7"/>
      <c r="BW56" s="307"/>
      <c r="BX56" s="307"/>
      <c r="BY56" s="307"/>
      <c r="BZ56" s="307"/>
      <c r="CA56" s="307"/>
      <c r="CB56" s="307"/>
      <c r="CC56" s="307"/>
      <c r="CD56" s="307"/>
      <c r="CE56" s="307"/>
      <c r="CF56" s="307"/>
      <c r="CG56" s="307"/>
      <c r="CH56" s="307"/>
      <c r="CI56" s="307"/>
      <c r="CJ56" s="307"/>
      <c r="CK56" s="307"/>
    </row>
    <row r="57" spans="1:89">
      <c r="A57" t="s">
        <v>150</v>
      </c>
      <c r="Y57" s="313">
        <v>1</v>
      </c>
      <c r="Z57" s="145" t="s">
        <v>129</v>
      </c>
      <c r="AA57" s="297">
        <v>54</v>
      </c>
      <c r="AB57">
        <f>CapEx!C67</f>
        <v>0</v>
      </c>
      <c r="AC57" s="79">
        <f>IF(AB57=0,1,DATEDIF($K$12,DATEVALUE("01-"&amp;CapEx!$D67&amp;"-"&amp;CapEx!$E67),"m")+1)</f>
        <v>1</v>
      </c>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7"/>
      <c r="BW57" s="307"/>
      <c r="BX57" s="307"/>
      <c r="BY57" s="307"/>
      <c r="BZ57" s="307"/>
      <c r="CA57" s="307"/>
      <c r="CB57" s="307"/>
      <c r="CC57" s="307"/>
      <c r="CD57" s="307"/>
      <c r="CE57" s="307"/>
      <c r="CF57" s="307"/>
      <c r="CG57" s="307"/>
      <c r="CH57" s="307"/>
      <c r="CI57" s="307"/>
      <c r="CJ57" s="307"/>
      <c r="CK57" s="307"/>
    </row>
    <row r="58" spans="1:89" s="300" customFormat="1">
      <c r="A58" t="s">
        <v>11</v>
      </c>
      <c r="Y58" s="313">
        <v>1</v>
      </c>
      <c r="Z58" s="145" t="s">
        <v>129</v>
      </c>
      <c r="AA58" s="297">
        <v>55</v>
      </c>
      <c r="AB58">
        <f>CapEx!C68</f>
        <v>0</v>
      </c>
      <c r="AC58" s="79">
        <f>IF(AB58=0,1,DATEDIF($K$12,DATEVALUE("01-"&amp;CapEx!$D68&amp;"-"&amp;CapEx!$E68),"m")+1)</f>
        <v>1</v>
      </c>
      <c r="AD58" s="308"/>
      <c r="AE58" s="308"/>
      <c r="AF58" s="308"/>
      <c r="AG58" s="308"/>
      <c r="AH58" s="308"/>
      <c r="AI58" s="308"/>
      <c r="AJ58" s="308"/>
      <c r="AK58" s="308"/>
      <c r="AL58" s="308"/>
      <c r="AM58" s="308"/>
      <c r="AN58" s="308"/>
      <c r="AO58" s="308"/>
      <c r="AP58" s="308"/>
      <c r="AQ58" s="308"/>
      <c r="AR58" s="308"/>
      <c r="AS58" s="308"/>
      <c r="AT58" s="308"/>
      <c r="AU58" s="308"/>
      <c r="AV58" s="308"/>
      <c r="AW58" s="308"/>
      <c r="AX58" s="308"/>
      <c r="AY58" s="308"/>
      <c r="AZ58" s="308"/>
      <c r="BA58" s="308"/>
      <c r="BB58" s="308"/>
      <c r="BC58" s="308"/>
      <c r="BD58" s="308"/>
      <c r="BE58" s="308"/>
      <c r="BF58" s="308"/>
      <c r="BG58" s="308"/>
      <c r="BH58" s="308"/>
      <c r="BI58" s="308"/>
      <c r="BJ58" s="308"/>
      <c r="BK58" s="308"/>
      <c r="BL58" s="308"/>
      <c r="BM58" s="308"/>
      <c r="BN58" s="308"/>
      <c r="BO58" s="308"/>
      <c r="BP58" s="308"/>
      <c r="BQ58" s="308"/>
      <c r="BR58" s="308"/>
      <c r="BS58" s="308"/>
      <c r="BT58" s="308"/>
      <c r="BU58" s="308"/>
      <c r="BV58" s="308"/>
      <c r="BW58" s="308"/>
      <c r="BX58" s="308"/>
      <c r="BY58" s="308"/>
      <c r="BZ58" s="308"/>
      <c r="CA58" s="308"/>
      <c r="CB58" s="308"/>
      <c r="CC58" s="308"/>
      <c r="CD58" s="308"/>
      <c r="CE58" s="308"/>
      <c r="CF58" s="308"/>
      <c r="CG58" s="308"/>
      <c r="CH58" s="308"/>
      <c r="CI58" s="308"/>
      <c r="CJ58" s="308"/>
      <c r="CK58" s="308"/>
    </row>
    <row r="59" spans="1:89">
      <c r="A59" t="s">
        <v>12</v>
      </c>
      <c r="Y59" s="313">
        <v>1</v>
      </c>
      <c r="Z59" s="145" t="s">
        <v>129</v>
      </c>
      <c r="AA59" s="297">
        <v>56</v>
      </c>
      <c r="AB59">
        <f>CapEx!C69</f>
        <v>0</v>
      </c>
      <c r="AC59" s="79">
        <f>IF(AB59=0,1,DATEDIF($K$12,DATEVALUE("01-"&amp;CapEx!$D69&amp;"-"&amp;CapEx!$E69),"m")+1)</f>
        <v>1</v>
      </c>
      <c r="AD59" s="307"/>
      <c r="AE59" s="307"/>
      <c r="AF59" s="307"/>
      <c r="AG59" s="307"/>
      <c r="AH59" s="307"/>
      <c r="AI59" s="307"/>
      <c r="AJ59" s="307"/>
      <c r="AK59" s="307"/>
      <c r="AL59" s="307"/>
      <c r="AM59" s="307"/>
      <c r="AN59" s="307"/>
      <c r="AO59" s="307"/>
      <c r="AP59" s="307"/>
      <c r="AQ59" s="307"/>
      <c r="AR59" s="307"/>
      <c r="AS59" s="307"/>
      <c r="AT59" s="307"/>
      <c r="AU59" s="307"/>
      <c r="AV59" s="307"/>
      <c r="AW59" s="307"/>
      <c r="AX59" s="307"/>
      <c r="AY59" s="307"/>
      <c r="AZ59" s="307"/>
      <c r="BA59" s="307"/>
      <c r="BB59" s="307"/>
      <c r="BC59" s="307"/>
      <c r="BD59" s="307"/>
      <c r="BE59" s="307"/>
      <c r="BF59" s="307"/>
      <c r="BG59" s="307"/>
      <c r="BH59" s="307"/>
      <c r="BI59" s="307"/>
      <c r="BJ59" s="307"/>
      <c r="BK59" s="307"/>
      <c r="BL59" s="307"/>
      <c r="BM59" s="307"/>
      <c r="BN59" s="307"/>
      <c r="BO59" s="307"/>
      <c r="BP59" s="307"/>
      <c r="BQ59" s="307"/>
      <c r="BR59" s="307"/>
      <c r="BS59" s="307"/>
      <c r="BT59" s="307"/>
      <c r="BU59" s="307"/>
      <c r="BV59" s="307"/>
      <c r="BW59" s="307"/>
      <c r="BX59" s="307"/>
      <c r="BY59" s="307"/>
      <c r="BZ59" s="307"/>
      <c r="CA59" s="307"/>
      <c r="CB59" s="307"/>
      <c r="CC59" s="307"/>
      <c r="CD59" s="307"/>
      <c r="CE59" s="307"/>
      <c r="CF59" s="307"/>
      <c r="CG59" s="307"/>
      <c r="CH59" s="307"/>
      <c r="CI59" s="307"/>
      <c r="CJ59" s="307"/>
      <c r="CK59" s="307"/>
    </row>
    <row r="60" spans="1:89">
      <c r="A60" t="s">
        <v>13</v>
      </c>
      <c r="Y60" s="313">
        <v>1</v>
      </c>
      <c r="Z60" s="145" t="s">
        <v>129</v>
      </c>
      <c r="AA60" s="297">
        <v>57</v>
      </c>
      <c r="AB60">
        <f>CapEx!C70</f>
        <v>0</v>
      </c>
      <c r="AC60" s="79">
        <f>IF(AB60=0,1,DATEDIF($K$12,DATEVALUE("01-"&amp;CapEx!$D70&amp;"-"&amp;CapEx!$E70),"m")+1)</f>
        <v>1</v>
      </c>
      <c r="AD60" s="307"/>
      <c r="AE60" s="307"/>
      <c r="AF60" s="307"/>
      <c r="AG60" s="307"/>
      <c r="AH60" s="307"/>
      <c r="AI60" s="307"/>
      <c r="AJ60" s="307"/>
      <c r="AK60" s="307"/>
      <c r="AL60" s="307"/>
      <c r="AM60" s="307"/>
      <c r="AN60" s="307"/>
      <c r="AO60" s="307"/>
      <c r="AP60" s="307"/>
      <c r="AQ60" s="307"/>
      <c r="AR60" s="307"/>
      <c r="AS60" s="307"/>
      <c r="AT60" s="307"/>
      <c r="AU60" s="307"/>
      <c r="AV60" s="307"/>
      <c r="AW60" s="307"/>
      <c r="AX60" s="307"/>
      <c r="AY60" s="307"/>
      <c r="AZ60" s="307"/>
      <c r="BA60" s="307"/>
      <c r="BB60" s="307"/>
      <c r="BC60" s="307"/>
      <c r="BD60" s="307"/>
      <c r="BE60" s="307"/>
      <c r="BF60" s="307"/>
      <c r="BG60" s="307"/>
      <c r="BH60" s="307"/>
      <c r="BI60" s="307"/>
      <c r="BJ60" s="307"/>
      <c r="BK60" s="307"/>
      <c r="BL60" s="307"/>
      <c r="BM60" s="307"/>
      <c r="BN60" s="307"/>
      <c r="BO60" s="307"/>
      <c r="BP60" s="307"/>
      <c r="BQ60" s="307"/>
      <c r="BR60" s="307"/>
      <c r="BS60" s="307"/>
      <c r="BT60" s="307"/>
      <c r="BU60" s="307"/>
      <c r="BV60" s="307"/>
      <c r="BW60" s="307"/>
      <c r="BX60" s="307"/>
      <c r="BY60" s="307"/>
      <c r="BZ60" s="307"/>
      <c r="CA60" s="307"/>
      <c r="CB60" s="307"/>
      <c r="CC60" s="307"/>
      <c r="CD60" s="307"/>
      <c r="CE60" s="307"/>
      <c r="CF60" s="307"/>
      <c r="CG60" s="307"/>
      <c r="CH60" s="307"/>
      <c r="CI60" s="307"/>
      <c r="CJ60" s="307"/>
      <c r="CK60" s="307"/>
    </row>
    <row r="61" spans="1:89">
      <c r="A61" t="s">
        <v>14</v>
      </c>
      <c r="Y61" s="313">
        <v>1</v>
      </c>
      <c r="Z61" s="145" t="s">
        <v>129</v>
      </c>
      <c r="AA61" s="297">
        <v>58</v>
      </c>
      <c r="AB61">
        <f>CapEx!C71</f>
        <v>0</v>
      </c>
      <c r="AC61" s="79">
        <f>IF(AB61=0,1,DATEDIF($K$12,DATEVALUE("01-"&amp;CapEx!$D71&amp;"-"&amp;CapEx!$E71),"m")+1)</f>
        <v>1</v>
      </c>
      <c r="AD61" s="307"/>
      <c r="AE61" s="307"/>
      <c r="AF61" s="307"/>
      <c r="AG61" s="307"/>
      <c r="AH61" s="307"/>
      <c r="AI61" s="307"/>
      <c r="AJ61" s="307"/>
      <c r="AK61" s="307"/>
      <c r="AL61" s="307"/>
      <c r="AM61" s="307"/>
      <c r="AN61" s="307"/>
      <c r="AO61" s="307"/>
      <c r="AP61" s="307"/>
      <c r="AQ61" s="307"/>
      <c r="AR61" s="307"/>
      <c r="AS61" s="307"/>
      <c r="AT61" s="307"/>
      <c r="AU61" s="307"/>
      <c r="AV61" s="307"/>
      <c r="AW61" s="307"/>
      <c r="AX61" s="307"/>
      <c r="AY61" s="307"/>
      <c r="AZ61" s="307"/>
      <c r="BA61" s="307"/>
      <c r="BB61" s="307"/>
      <c r="BC61" s="307"/>
      <c r="BD61" s="307"/>
      <c r="BE61" s="307"/>
      <c r="BF61" s="307"/>
      <c r="BG61" s="307"/>
      <c r="BH61" s="307"/>
      <c r="BI61" s="307"/>
      <c r="BJ61" s="307"/>
      <c r="BK61" s="307"/>
      <c r="BL61" s="307"/>
      <c r="BM61" s="307"/>
      <c r="BN61" s="307"/>
      <c r="BO61" s="307"/>
      <c r="BP61" s="307"/>
      <c r="BQ61" s="307"/>
      <c r="BR61" s="307"/>
      <c r="BS61" s="307"/>
      <c r="BT61" s="307"/>
      <c r="BU61" s="307"/>
      <c r="BV61" s="307"/>
      <c r="BW61" s="307"/>
      <c r="BX61" s="307"/>
      <c r="BY61" s="307"/>
      <c r="BZ61" s="307"/>
      <c r="CA61" s="307"/>
      <c r="CB61" s="307"/>
      <c r="CC61" s="307"/>
      <c r="CD61" s="307"/>
      <c r="CE61" s="307"/>
      <c r="CF61" s="307"/>
      <c r="CG61" s="307"/>
      <c r="CH61" s="307"/>
      <c r="CI61" s="307"/>
      <c r="CJ61" s="307"/>
      <c r="CK61" s="307"/>
    </row>
    <row r="62" spans="1:89">
      <c r="A62" t="s">
        <v>15</v>
      </c>
      <c r="Y62" s="313">
        <v>1</v>
      </c>
      <c r="Z62" s="145" t="s">
        <v>129</v>
      </c>
      <c r="AA62" s="297">
        <v>59</v>
      </c>
      <c r="AB62">
        <f>CapEx!C72</f>
        <v>0</v>
      </c>
      <c r="AC62" s="79">
        <f>IF(AB62=0,1,DATEDIF($K$12,DATEVALUE("01-"&amp;CapEx!$D72&amp;"-"&amp;CapEx!$E72),"m")+1)</f>
        <v>1</v>
      </c>
      <c r="AD62" s="307"/>
      <c r="AE62" s="307"/>
      <c r="AF62" s="307"/>
      <c r="AG62" s="307"/>
      <c r="AH62" s="307"/>
      <c r="AI62" s="307"/>
      <c r="AJ62" s="307"/>
      <c r="AK62" s="307"/>
      <c r="AL62" s="307"/>
      <c r="AM62" s="307"/>
      <c r="AN62" s="307"/>
      <c r="AO62" s="307"/>
      <c r="AP62" s="307"/>
      <c r="AQ62" s="307"/>
      <c r="AR62" s="307"/>
      <c r="AS62" s="307"/>
      <c r="AT62" s="307"/>
      <c r="AU62" s="307"/>
      <c r="AV62" s="307"/>
      <c r="AW62" s="307"/>
      <c r="AX62" s="307"/>
      <c r="AY62" s="307"/>
      <c r="AZ62" s="307"/>
      <c r="BA62" s="307"/>
      <c r="BB62" s="307"/>
      <c r="BC62" s="307"/>
      <c r="BD62" s="307"/>
      <c r="BE62" s="307"/>
      <c r="BF62" s="307"/>
      <c r="BG62" s="307"/>
      <c r="BH62" s="307"/>
      <c r="BI62" s="307"/>
      <c r="BJ62" s="307"/>
      <c r="BK62" s="307"/>
      <c r="BL62" s="307"/>
      <c r="BM62" s="307"/>
      <c r="BN62" s="307"/>
      <c r="BO62" s="307"/>
      <c r="BP62" s="307"/>
      <c r="BQ62" s="307"/>
      <c r="BR62" s="307"/>
      <c r="BS62" s="307"/>
      <c r="BT62" s="307"/>
      <c r="BU62" s="307"/>
      <c r="BV62" s="307"/>
      <c r="BW62" s="307"/>
      <c r="BX62" s="307"/>
      <c r="BY62" s="307"/>
      <c r="BZ62" s="307"/>
      <c r="CA62" s="307"/>
      <c r="CB62" s="307"/>
      <c r="CC62" s="307"/>
      <c r="CD62" s="307"/>
      <c r="CE62" s="307"/>
      <c r="CF62" s="307"/>
      <c r="CG62" s="307"/>
      <c r="CH62" s="307"/>
      <c r="CI62" s="307"/>
      <c r="CJ62" s="307"/>
      <c r="CK62" s="307"/>
    </row>
    <row r="63" spans="1:89">
      <c r="A63" t="s">
        <v>16</v>
      </c>
      <c r="Y63" s="313">
        <v>1</v>
      </c>
      <c r="Z63" s="145" t="s">
        <v>129</v>
      </c>
      <c r="AA63" s="297">
        <v>60</v>
      </c>
      <c r="AB63" s="6">
        <f>CapEx!C73</f>
        <v>0</v>
      </c>
      <c r="AC63" s="79">
        <f>IF(AB63=0,1,DATEDIF($K$12,DATEVALUE("01-"&amp;CapEx!$D73&amp;"-"&amp;CapEx!$E73),"m")+1)</f>
        <v>1</v>
      </c>
      <c r="AD63" s="309"/>
      <c r="AE63" s="309"/>
      <c r="AF63" s="309"/>
      <c r="AG63" s="309"/>
      <c r="AH63" s="309"/>
      <c r="AI63" s="309"/>
      <c r="AJ63" s="309"/>
      <c r="AK63" s="309"/>
      <c r="AL63" s="309"/>
      <c r="AM63" s="309"/>
      <c r="AN63" s="309"/>
      <c r="AO63" s="309"/>
      <c r="AP63" s="309"/>
      <c r="AQ63" s="309"/>
      <c r="AR63" s="309"/>
      <c r="AS63" s="309"/>
      <c r="AT63" s="309"/>
      <c r="AU63" s="309"/>
      <c r="AV63" s="309"/>
      <c r="AW63" s="309"/>
      <c r="AX63" s="309"/>
      <c r="AY63" s="309"/>
      <c r="AZ63" s="309"/>
      <c r="BA63" s="309"/>
      <c r="BB63" s="309"/>
      <c r="BC63" s="309"/>
      <c r="BD63" s="309"/>
      <c r="BE63" s="309"/>
      <c r="BF63" s="309"/>
      <c r="BG63" s="309"/>
      <c r="BH63" s="309"/>
      <c r="BI63" s="309"/>
      <c r="BJ63" s="309"/>
      <c r="BK63" s="309"/>
      <c r="BL63" s="309"/>
      <c r="BM63" s="309"/>
      <c r="BN63" s="309"/>
      <c r="BO63" s="309"/>
      <c r="BP63" s="309"/>
      <c r="BQ63" s="309"/>
      <c r="BR63" s="309"/>
      <c r="BS63" s="309"/>
      <c r="BT63" s="309"/>
      <c r="BU63" s="309"/>
      <c r="BV63" s="309"/>
      <c r="BW63" s="309"/>
      <c r="BX63" s="309"/>
      <c r="BY63" s="309"/>
      <c r="BZ63" s="309"/>
      <c r="CA63" s="309"/>
      <c r="CB63" s="309"/>
      <c r="CC63" s="309"/>
      <c r="CD63" s="309"/>
      <c r="CE63" s="309"/>
      <c r="CF63" s="309"/>
      <c r="CG63" s="309"/>
      <c r="CH63" s="309"/>
      <c r="CI63" s="309"/>
      <c r="CJ63" s="309"/>
      <c r="CK63" s="309"/>
    </row>
    <row r="64" spans="1:89">
      <c r="A64" t="s">
        <v>17</v>
      </c>
      <c r="AA64" s="291"/>
      <c r="AB64" s="301"/>
      <c r="AC64" s="310" t="s">
        <v>18</v>
      </c>
      <c r="AD64" s="296">
        <f>SUM(AD4:AD53)</f>
        <v>0</v>
      </c>
      <c r="AE64" s="296">
        <f t="shared" ref="AE64:CK64" si="0">SUM(AE4:AE53)</f>
        <v>0</v>
      </c>
      <c r="AF64" s="296">
        <f t="shared" si="0"/>
        <v>0</v>
      </c>
      <c r="AG64" s="296">
        <f t="shared" si="0"/>
        <v>0</v>
      </c>
      <c r="AH64" s="296">
        <f t="shared" si="0"/>
        <v>0</v>
      </c>
      <c r="AI64" s="296">
        <f t="shared" si="0"/>
        <v>0</v>
      </c>
      <c r="AJ64" s="296">
        <f t="shared" si="0"/>
        <v>0</v>
      </c>
      <c r="AK64" s="296">
        <f t="shared" si="0"/>
        <v>0</v>
      </c>
      <c r="AL64" s="296">
        <f t="shared" si="0"/>
        <v>0</v>
      </c>
      <c r="AM64" s="296">
        <f t="shared" si="0"/>
        <v>0</v>
      </c>
      <c r="AN64" s="296">
        <f t="shared" si="0"/>
        <v>0</v>
      </c>
      <c r="AO64" s="296">
        <f t="shared" si="0"/>
        <v>0</v>
      </c>
      <c r="AP64" s="296">
        <f t="shared" si="0"/>
        <v>0</v>
      </c>
      <c r="AQ64" s="296">
        <f t="shared" si="0"/>
        <v>0</v>
      </c>
      <c r="AR64" s="296">
        <f t="shared" si="0"/>
        <v>0</v>
      </c>
      <c r="AS64" s="296">
        <f t="shared" si="0"/>
        <v>0</v>
      </c>
      <c r="AT64" s="296">
        <f t="shared" si="0"/>
        <v>0</v>
      </c>
      <c r="AU64" s="296">
        <f t="shared" si="0"/>
        <v>0</v>
      </c>
      <c r="AV64" s="296">
        <f t="shared" si="0"/>
        <v>0</v>
      </c>
      <c r="AW64" s="296">
        <f t="shared" si="0"/>
        <v>0</v>
      </c>
      <c r="AX64" s="296">
        <f t="shared" si="0"/>
        <v>0</v>
      </c>
      <c r="AY64" s="296">
        <f t="shared" si="0"/>
        <v>0</v>
      </c>
      <c r="AZ64" s="296">
        <f t="shared" si="0"/>
        <v>0</v>
      </c>
      <c r="BA64" s="296">
        <f t="shared" si="0"/>
        <v>0</v>
      </c>
      <c r="BB64" s="296">
        <f t="shared" si="0"/>
        <v>0</v>
      </c>
      <c r="BC64" s="296">
        <f t="shared" si="0"/>
        <v>0</v>
      </c>
      <c r="BD64" s="296">
        <f t="shared" si="0"/>
        <v>0</v>
      </c>
      <c r="BE64" s="296">
        <f t="shared" si="0"/>
        <v>0</v>
      </c>
      <c r="BF64" s="296">
        <f t="shared" si="0"/>
        <v>0</v>
      </c>
      <c r="BG64" s="296">
        <f t="shared" si="0"/>
        <v>0</v>
      </c>
      <c r="BH64" s="296">
        <f t="shared" si="0"/>
        <v>0</v>
      </c>
      <c r="BI64" s="296">
        <f t="shared" si="0"/>
        <v>0</v>
      </c>
      <c r="BJ64" s="296">
        <f t="shared" si="0"/>
        <v>0</v>
      </c>
      <c r="BK64" s="296">
        <f t="shared" si="0"/>
        <v>0</v>
      </c>
      <c r="BL64" s="296">
        <f t="shared" si="0"/>
        <v>0</v>
      </c>
      <c r="BM64" s="296">
        <f t="shared" si="0"/>
        <v>0</v>
      </c>
      <c r="BN64" s="296">
        <f t="shared" si="0"/>
        <v>0</v>
      </c>
      <c r="BO64" s="296">
        <f t="shared" si="0"/>
        <v>0</v>
      </c>
      <c r="BP64" s="296">
        <f t="shared" si="0"/>
        <v>0</v>
      </c>
      <c r="BQ64" s="296">
        <f t="shared" si="0"/>
        <v>0</v>
      </c>
      <c r="BR64" s="296">
        <f t="shared" si="0"/>
        <v>0</v>
      </c>
      <c r="BS64" s="296">
        <f t="shared" si="0"/>
        <v>0</v>
      </c>
      <c r="BT64" s="296">
        <f t="shared" si="0"/>
        <v>0</v>
      </c>
      <c r="BU64" s="296">
        <f t="shared" si="0"/>
        <v>0</v>
      </c>
      <c r="BV64" s="296">
        <f t="shared" si="0"/>
        <v>0</v>
      </c>
      <c r="BW64" s="296">
        <f t="shared" si="0"/>
        <v>0</v>
      </c>
      <c r="BX64" s="296">
        <f t="shared" si="0"/>
        <v>0</v>
      </c>
      <c r="BY64" s="296">
        <f t="shared" si="0"/>
        <v>0</v>
      </c>
      <c r="BZ64" s="296">
        <f t="shared" si="0"/>
        <v>0</v>
      </c>
      <c r="CA64" s="296">
        <f t="shared" si="0"/>
        <v>0</v>
      </c>
      <c r="CB64" s="296">
        <f t="shared" si="0"/>
        <v>0</v>
      </c>
      <c r="CC64" s="296">
        <f t="shared" si="0"/>
        <v>0</v>
      </c>
      <c r="CD64" s="296">
        <f t="shared" si="0"/>
        <v>0</v>
      </c>
      <c r="CE64" s="296">
        <f t="shared" si="0"/>
        <v>0</v>
      </c>
      <c r="CF64" s="296">
        <f t="shared" si="0"/>
        <v>0</v>
      </c>
      <c r="CG64" s="296">
        <f t="shared" si="0"/>
        <v>0</v>
      </c>
      <c r="CH64" s="296">
        <f t="shared" si="0"/>
        <v>0</v>
      </c>
      <c r="CI64" s="296">
        <f t="shared" si="0"/>
        <v>0</v>
      </c>
      <c r="CJ64" s="296">
        <f t="shared" si="0"/>
        <v>0</v>
      </c>
      <c r="CK64" s="296">
        <f t="shared" si="0"/>
        <v>0</v>
      </c>
    </row>
    <row r="65" spans="1:101">
      <c r="A65" s="290"/>
      <c r="AA65" s="291"/>
      <c r="AB65" s="72"/>
      <c r="AC65" s="311"/>
      <c r="AD65" s="296"/>
      <c r="AE65" s="296"/>
      <c r="AF65" s="296"/>
      <c r="AG65" s="296"/>
      <c r="AH65" s="296"/>
      <c r="AI65" s="296"/>
      <c r="AJ65" s="296"/>
      <c r="AK65" s="296"/>
      <c r="AL65" s="296"/>
      <c r="AM65" s="296"/>
      <c r="AN65" s="296"/>
      <c r="AO65" s="296"/>
      <c r="AP65" s="296"/>
      <c r="AQ65" s="296"/>
      <c r="AR65" s="296"/>
      <c r="AS65" s="296"/>
      <c r="AT65" s="296"/>
      <c r="AU65" s="296"/>
      <c r="AV65" s="296"/>
      <c r="AW65" s="296"/>
      <c r="AX65" s="296"/>
      <c r="AY65" s="296"/>
      <c r="AZ65" s="296"/>
      <c r="BA65" s="296"/>
      <c r="BB65" s="296"/>
      <c r="BC65" s="296"/>
      <c r="BD65" s="296"/>
      <c r="BE65" s="296"/>
      <c r="BF65" s="296"/>
      <c r="BG65" s="296"/>
      <c r="BH65" s="296"/>
      <c r="BI65" s="296"/>
      <c r="BJ65" s="296"/>
      <c r="BK65" s="296"/>
      <c r="BL65" s="296"/>
      <c r="BM65" s="296"/>
      <c r="BN65" s="296"/>
      <c r="BO65" s="296"/>
      <c r="BP65" s="296"/>
      <c r="BQ65" s="296"/>
      <c r="BR65" s="296"/>
      <c r="BS65" s="296"/>
      <c r="BT65" s="296"/>
      <c r="BU65" s="296"/>
      <c r="BV65" s="296"/>
      <c r="BW65" s="296"/>
      <c r="BX65" s="296"/>
      <c r="BY65" s="296"/>
      <c r="BZ65" s="296"/>
      <c r="CA65" s="296"/>
      <c r="CB65" s="296"/>
      <c r="CC65" s="296"/>
      <c r="CD65" s="296"/>
      <c r="CE65" s="296"/>
      <c r="CF65" s="296"/>
      <c r="CG65" s="296"/>
      <c r="CH65" s="296"/>
      <c r="CI65" s="296"/>
      <c r="CJ65" s="296"/>
      <c r="CK65" s="296"/>
    </row>
    <row r="66" spans="1:101">
      <c r="A66" s="290"/>
      <c r="B66" s="831" t="s">
        <v>335</v>
      </c>
      <c r="AA66" s="291"/>
      <c r="AB66" s="6"/>
      <c r="AC66" s="302" t="s">
        <v>129</v>
      </c>
      <c r="AD66">
        <f>SUMIF($AC$54:$AC$63,AD3,$AB$54:$AB$63)</f>
        <v>0</v>
      </c>
      <c r="AE66">
        <f t="shared" ref="AE66:CK66" si="1">SUMIF($AC$54:$AC$63,AE3,$AB$54:$AB$63)</f>
        <v>0</v>
      </c>
      <c r="AF66">
        <f t="shared" si="1"/>
        <v>0</v>
      </c>
      <c r="AG66">
        <f t="shared" si="1"/>
        <v>0</v>
      </c>
      <c r="AH66">
        <f t="shared" si="1"/>
        <v>0</v>
      </c>
      <c r="AI66">
        <f t="shared" si="1"/>
        <v>0</v>
      </c>
      <c r="AJ66">
        <f t="shared" si="1"/>
        <v>0</v>
      </c>
      <c r="AK66">
        <f t="shared" si="1"/>
        <v>0</v>
      </c>
      <c r="AL66">
        <f t="shared" si="1"/>
        <v>0</v>
      </c>
      <c r="AM66">
        <f t="shared" si="1"/>
        <v>0</v>
      </c>
      <c r="AN66">
        <f t="shared" si="1"/>
        <v>0</v>
      </c>
      <c r="AO66">
        <f t="shared" si="1"/>
        <v>0</v>
      </c>
      <c r="AP66">
        <f t="shared" si="1"/>
        <v>0</v>
      </c>
      <c r="AQ66">
        <f t="shared" si="1"/>
        <v>0</v>
      </c>
      <c r="AR66">
        <f t="shared" si="1"/>
        <v>0</v>
      </c>
      <c r="AS66">
        <f t="shared" si="1"/>
        <v>0</v>
      </c>
      <c r="AT66">
        <f t="shared" si="1"/>
        <v>0</v>
      </c>
      <c r="AU66">
        <f t="shared" si="1"/>
        <v>0</v>
      </c>
      <c r="AV66">
        <f t="shared" si="1"/>
        <v>0</v>
      </c>
      <c r="AW66">
        <f t="shared" si="1"/>
        <v>0</v>
      </c>
      <c r="AX66">
        <f t="shared" si="1"/>
        <v>0</v>
      </c>
      <c r="AY66">
        <f t="shared" si="1"/>
        <v>0</v>
      </c>
      <c r="AZ66">
        <f t="shared" si="1"/>
        <v>0</v>
      </c>
      <c r="BA66">
        <f t="shared" si="1"/>
        <v>0</v>
      </c>
      <c r="BB66">
        <f t="shared" si="1"/>
        <v>0</v>
      </c>
      <c r="BC66">
        <f t="shared" si="1"/>
        <v>0</v>
      </c>
      <c r="BD66">
        <f t="shared" si="1"/>
        <v>0</v>
      </c>
      <c r="BE66">
        <f t="shared" si="1"/>
        <v>0</v>
      </c>
      <c r="BF66">
        <f t="shared" si="1"/>
        <v>0</v>
      </c>
      <c r="BG66">
        <f t="shared" si="1"/>
        <v>0</v>
      </c>
      <c r="BH66">
        <f t="shared" si="1"/>
        <v>0</v>
      </c>
      <c r="BI66">
        <f t="shared" si="1"/>
        <v>0</v>
      </c>
      <c r="BJ66">
        <f t="shared" si="1"/>
        <v>0</v>
      </c>
      <c r="BK66">
        <f t="shared" si="1"/>
        <v>0</v>
      </c>
      <c r="BL66">
        <f t="shared" si="1"/>
        <v>0</v>
      </c>
      <c r="BM66">
        <f t="shared" si="1"/>
        <v>0</v>
      </c>
      <c r="BN66">
        <f t="shared" si="1"/>
        <v>0</v>
      </c>
      <c r="BO66">
        <f t="shared" si="1"/>
        <v>0</v>
      </c>
      <c r="BP66">
        <f t="shared" si="1"/>
        <v>0</v>
      </c>
      <c r="BQ66">
        <f t="shared" si="1"/>
        <v>0</v>
      </c>
      <c r="BR66">
        <f t="shared" si="1"/>
        <v>0</v>
      </c>
      <c r="BS66">
        <f t="shared" si="1"/>
        <v>0</v>
      </c>
      <c r="BT66">
        <f t="shared" si="1"/>
        <v>0</v>
      </c>
      <c r="BU66">
        <f t="shared" si="1"/>
        <v>0</v>
      </c>
      <c r="BV66">
        <f t="shared" si="1"/>
        <v>0</v>
      </c>
      <c r="BW66">
        <f t="shared" si="1"/>
        <v>0</v>
      </c>
      <c r="BX66">
        <f t="shared" si="1"/>
        <v>0</v>
      </c>
      <c r="BY66">
        <f t="shared" si="1"/>
        <v>0</v>
      </c>
      <c r="BZ66">
        <f t="shared" si="1"/>
        <v>0</v>
      </c>
      <c r="CA66">
        <f t="shared" si="1"/>
        <v>0</v>
      </c>
      <c r="CB66">
        <f t="shared" si="1"/>
        <v>0</v>
      </c>
      <c r="CC66">
        <f t="shared" si="1"/>
        <v>0</v>
      </c>
      <c r="CD66">
        <f t="shared" si="1"/>
        <v>0</v>
      </c>
      <c r="CE66">
        <f t="shared" si="1"/>
        <v>0</v>
      </c>
      <c r="CF66">
        <f t="shared" si="1"/>
        <v>0</v>
      </c>
      <c r="CG66">
        <f t="shared" si="1"/>
        <v>0</v>
      </c>
      <c r="CH66">
        <f t="shared" si="1"/>
        <v>0</v>
      </c>
      <c r="CI66">
        <f t="shared" si="1"/>
        <v>0</v>
      </c>
      <c r="CJ66">
        <f t="shared" si="1"/>
        <v>0</v>
      </c>
      <c r="CK66">
        <f t="shared" si="1"/>
        <v>0</v>
      </c>
    </row>
    <row r="67" spans="1:101" s="829" customFormat="1" ht="25.5">
      <c r="A67" s="832" t="s">
        <v>338</v>
      </c>
      <c r="B67" s="829" t="str">
        <f>cMonthStartup</f>
        <v>January</v>
      </c>
      <c r="C67" s="829" t="str">
        <f t="shared" ref="C67:M67" si="2">INDEX( listdoubleMonths, C68)</f>
        <v>February</v>
      </c>
      <c r="D67" s="829" t="str">
        <f t="shared" si="2"/>
        <v>March</v>
      </c>
      <c r="E67" s="829" t="str">
        <f t="shared" si="2"/>
        <v>April</v>
      </c>
      <c r="F67" s="829" t="str">
        <f t="shared" si="2"/>
        <v>May</v>
      </c>
      <c r="G67" s="829" t="str">
        <f t="shared" si="2"/>
        <v>June</v>
      </c>
      <c r="H67" s="829" t="str">
        <f t="shared" si="2"/>
        <v>July</v>
      </c>
      <c r="I67" s="829" t="str">
        <f t="shared" si="2"/>
        <v>August</v>
      </c>
      <c r="J67" s="829" t="str">
        <f t="shared" si="2"/>
        <v>September</v>
      </c>
      <c r="K67" s="829" t="str">
        <f t="shared" si="2"/>
        <v>October</v>
      </c>
      <c r="L67" s="829" t="str">
        <f t="shared" si="2"/>
        <v>November</v>
      </c>
      <c r="M67" s="829" t="str">
        <f t="shared" si="2"/>
        <v>December</v>
      </c>
      <c r="AC67" s="830" t="s">
        <v>213</v>
      </c>
      <c r="AD67" s="829">
        <f>SUMIF($AC$4:$AC$13,AD3,$AB$4:$AB$13)</f>
        <v>0</v>
      </c>
      <c r="AE67" s="829">
        <f t="shared" ref="AE67:CK67" si="3">SUMIF($AC$4:$AC$13,AE3,$AB$4:$AB$13)</f>
        <v>0</v>
      </c>
      <c r="AF67" s="829">
        <f t="shared" si="3"/>
        <v>0</v>
      </c>
      <c r="AG67" s="829">
        <f t="shared" si="3"/>
        <v>0</v>
      </c>
      <c r="AH67" s="829">
        <f t="shared" si="3"/>
        <v>0</v>
      </c>
      <c r="AI67" s="829">
        <f t="shared" si="3"/>
        <v>0</v>
      </c>
      <c r="AJ67" s="829">
        <f t="shared" si="3"/>
        <v>0</v>
      </c>
      <c r="AK67" s="829">
        <f t="shared" si="3"/>
        <v>0</v>
      </c>
      <c r="AL67" s="829">
        <f t="shared" si="3"/>
        <v>0</v>
      </c>
      <c r="AM67" s="829">
        <f t="shared" si="3"/>
        <v>0</v>
      </c>
      <c r="AN67" s="829">
        <f t="shared" si="3"/>
        <v>0</v>
      </c>
      <c r="AO67" s="829">
        <f t="shared" si="3"/>
        <v>0</v>
      </c>
      <c r="AP67" s="829">
        <f t="shared" si="3"/>
        <v>0</v>
      </c>
      <c r="AQ67" s="829">
        <f t="shared" si="3"/>
        <v>0</v>
      </c>
      <c r="AR67" s="829">
        <f t="shared" si="3"/>
        <v>0</v>
      </c>
      <c r="AS67" s="829">
        <f t="shared" si="3"/>
        <v>0</v>
      </c>
      <c r="AT67" s="829">
        <f t="shared" si="3"/>
        <v>0</v>
      </c>
      <c r="AU67" s="829">
        <f t="shared" si="3"/>
        <v>0</v>
      </c>
      <c r="AV67" s="829">
        <f t="shared" si="3"/>
        <v>0</v>
      </c>
      <c r="AW67" s="829">
        <f t="shared" si="3"/>
        <v>0</v>
      </c>
      <c r="AX67" s="829">
        <f t="shared" si="3"/>
        <v>0</v>
      </c>
      <c r="AY67" s="829">
        <f t="shared" si="3"/>
        <v>0</v>
      </c>
      <c r="AZ67" s="829">
        <f t="shared" si="3"/>
        <v>0</v>
      </c>
      <c r="BA67" s="829">
        <f t="shared" si="3"/>
        <v>0</v>
      </c>
      <c r="BB67" s="829">
        <f t="shared" si="3"/>
        <v>0</v>
      </c>
      <c r="BC67" s="829">
        <f t="shared" si="3"/>
        <v>0</v>
      </c>
      <c r="BD67" s="829">
        <f t="shared" si="3"/>
        <v>0</v>
      </c>
      <c r="BE67" s="829">
        <f t="shared" si="3"/>
        <v>0</v>
      </c>
      <c r="BF67" s="829">
        <f t="shared" si="3"/>
        <v>0</v>
      </c>
      <c r="BG67" s="829">
        <f t="shared" si="3"/>
        <v>0</v>
      </c>
      <c r="BH67" s="829">
        <f t="shared" si="3"/>
        <v>0</v>
      </c>
      <c r="BI67" s="829">
        <f t="shared" si="3"/>
        <v>0</v>
      </c>
      <c r="BJ67" s="829">
        <f t="shared" si="3"/>
        <v>0</v>
      </c>
      <c r="BK67" s="829">
        <f t="shared" si="3"/>
        <v>0</v>
      </c>
      <c r="BL67" s="829">
        <f t="shared" si="3"/>
        <v>0</v>
      </c>
      <c r="BM67" s="829">
        <f t="shared" si="3"/>
        <v>0</v>
      </c>
      <c r="BN67" s="829">
        <f t="shared" si="3"/>
        <v>0</v>
      </c>
      <c r="BO67" s="829">
        <f t="shared" si="3"/>
        <v>0</v>
      </c>
      <c r="BP67" s="829">
        <f t="shared" si="3"/>
        <v>0</v>
      </c>
      <c r="BQ67" s="829">
        <f t="shared" si="3"/>
        <v>0</v>
      </c>
      <c r="BR67" s="829">
        <f t="shared" si="3"/>
        <v>0</v>
      </c>
      <c r="BS67" s="829">
        <f t="shared" si="3"/>
        <v>0</v>
      </c>
      <c r="BT67" s="829">
        <f t="shared" si="3"/>
        <v>0</v>
      </c>
      <c r="BU67" s="829">
        <f t="shared" si="3"/>
        <v>0</v>
      </c>
      <c r="BV67" s="829">
        <f t="shared" si="3"/>
        <v>0</v>
      </c>
      <c r="BW67" s="829">
        <f t="shared" si="3"/>
        <v>0</v>
      </c>
      <c r="BX67" s="829">
        <f t="shared" si="3"/>
        <v>0</v>
      </c>
      <c r="BY67" s="829">
        <f t="shared" si="3"/>
        <v>0</v>
      </c>
      <c r="BZ67" s="829">
        <f t="shared" si="3"/>
        <v>0</v>
      </c>
      <c r="CA67" s="829">
        <f t="shared" si="3"/>
        <v>0</v>
      </c>
      <c r="CB67" s="829">
        <f t="shared" si="3"/>
        <v>0</v>
      </c>
      <c r="CC67" s="829">
        <f t="shared" si="3"/>
        <v>0</v>
      </c>
      <c r="CD67" s="829">
        <f t="shared" si="3"/>
        <v>0</v>
      </c>
      <c r="CE67" s="829">
        <f t="shared" si="3"/>
        <v>0</v>
      </c>
      <c r="CF67" s="829">
        <f t="shared" si="3"/>
        <v>0</v>
      </c>
      <c r="CG67" s="829">
        <f t="shared" si="3"/>
        <v>0</v>
      </c>
      <c r="CH67" s="829">
        <f t="shared" si="3"/>
        <v>0</v>
      </c>
      <c r="CI67" s="829">
        <f t="shared" si="3"/>
        <v>0</v>
      </c>
      <c r="CJ67" s="829">
        <f t="shared" si="3"/>
        <v>0</v>
      </c>
      <c r="CK67" s="829">
        <f t="shared" si="3"/>
        <v>0</v>
      </c>
    </row>
    <row r="68" spans="1:101" ht="38.25">
      <c r="A68" s="833" t="s">
        <v>339</v>
      </c>
      <c r="B68" s="283">
        <f>MATCH(B67, listdoubleMonths, 0)</f>
        <v>1</v>
      </c>
      <c r="C68" s="283">
        <f>B68+1</f>
        <v>2</v>
      </c>
      <c r="D68" s="283">
        <f t="shared" ref="D68:M68" si="4">C68+1</f>
        <v>3</v>
      </c>
      <c r="E68" s="283">
        <f t="shared" si="4"/>
        <v>4</v>
      </c>
      <c r="F68" s="283">
        <f t="shared" si="4"/>
        <v>5</v>
      </c>
      <c r="G68" s="283">
        <f t="shared" si="4"/>
        <v>6</v>
      </c>
      <c r="H68" s="283">
        <f t="shared" si="4"/>
        <v>7</v>
      </c>
      <c r="I68" s="283">
        <f t="shared" si="4"/>
        <v>8</v>
      </c>
      <c r="J68" s="283">
        <f t="shared" si="4"/>
        <v>9</v>
      </c>
      <c r="K68" s="283">
        <f t="shared" si="4"/>
        <v>10</v>
      </c>
      <c r="L68" s="283">
        <f t="shared" si="4"/>
        <v>11</v>
      </c>
      <c r="M68" s="283">
        <f t="shared" si="4"/>
        <v>12</v>
      </c>
      <c r="AA68" s="291"/>
      <c r="AC68" s="302" t="s">
        <v>245</v>
      </c>
      <c r="AD68">
        <f>SUMIF($AC$14:$AC$33,AD3,$AB$14:$AB$33)</f>
        <v>0</v>
      </c>
      <c r="AE68">
        <f t="shared" ref="AE68:CK68" si="5">SUMIF($AC$14:$AC$33,AE3,$AB$14:$AB$33)</f>
        <v>0</v>
      </c>
      <c r="AF68">
        <f t="shared" si="5"/>
        <v>0</v>
      </c>
      <c r="AG68">
        <f t="shared" si="5"/>
        <v>0</v>
      </c>
      <c r="AH68">
        <f t="shared" si="5"/>
        <v>0</v>
      </c>
      <c r="AI68">
        <f t="shared" si="5"/>
        <v>0</v>
      </c>
      <c r="AJ68">
        <f t="shared" si="5"/>
        <v>0</v>
      </c>
      <c r="AK68">
        <f t="shared" si="5"/>
        <v>0</v>
      </c>
      <c r="AL68">
        <f t="shared" si="5"/>
        <v>0</v>
      </c>
      <c r="AM68">
        <f t="shared" si="5"/>
        <v>0</v>
      </c>
      <c r="AN68">
        <f t="shared" si="5"/>
        <v>0</v>
      </c>
      <c r="AO68">
        <f t="shared" si="5"/>
        <v>0</v>
      </c>
      <c r="AP68">
        <f t="shared" si="5"/>
        <v>0</v>
      </c>
      <c r="AQ68">
        <f t="shared" si="5"/>
        <v>0</v>
      </c>
      <c r="AR68">
        <f t="shared" si="5"/>
        <v>0</v>
      </c>
      <c r="AS68">
        <f t="shared" si="5"/>
        <v>0</v>
      </c>
      <c r="AT68">
        <f t="shared" si="5"/>
        <v>0</v>
      </c>
      <c r="AU68">
        <f t="shared" si="5"/>
        <v>0</v>
      </c>
      <c r="AV68">
        <f t="shared" si="5"/>
        <v>0</v>
      </c>
      <c r="AW68">
        <f t="shared" si="5"/>
        <v>0</v>
      </c>
      <c r="AX68">
        <f t="shared" si="5"/>
        <v>0</v>
      </c>
      <c r="AY68">
        <f t="shared" si="5"/>
        <v>0</v>
      </c>
      <c r="AZ68">
        <f t="shared" si="5"/>
        <v>0</v>
      </c>
      <c r="BA68">
        <f t="shared" si="5"/>
        <v>0</v>
      </c>
      <c r="BB68">
        <f t="shared" si="5"/>
        <v>0</v>
      </c>
      <c r="BC68">
        <f t="shared" si="5"/>
        <v>0</v>
      </c>
      <c r="BD68">
        <f t="shared" si="5"/>
        <v>0</v>
      </c>
      <c r="BE68">
        <f t="shared" si="5"/>
        <v>0</v>
      </c>
      <c r="BF68">
        <f t="shared" si="5"/>
        <v>0</v>
      </c>
      <c r="BG68">
        <f t="shared" si="5"/>
        <v>0</v>
      </c>
      <c r="BH68">
        <f t="shared" si="5"/>
        <v>0</v>
      </c>
      <c r="BI68">
        <f t="shared" si="5"/>
        <v>0</v>
      </c>
      <c r="BJ68">
        <f t="shared" si="5"/>
        <v>0</v>
      </c>
      <c r="BK68">
        <f t="shared" si="5"/>
        <v>0</v>
      </c>
      <c r="BL68">
        <f t="shared" si="5"/>
        <v>0</v>
      </c>
      <c r="BM68">
        <f t="shared" si="5"/>
        <v>0</v>
      </c>
      <c r="BN68">
        <f t="shared" si="5"/>
        <v>0</v>
      </c>
      <c r="BO68">
        <f t="shared" si="5"/>
        <v>0</v>
      </c>
      <c r="BP68">
        <f t="shared" si="5"/>
        <v>0</v>
      </c>
      <c r="BQ68">
        <f t="shared" si="5"/>
        <v>0</v>
      </c>
      <c r="BR68">
        <f t="shared" si="5"/>
        <v>0</v>
      </c>
      <c r="BS68">
        <f t="shared" si="5"/>
        <v>0</v>
      </c>
      <c r="BT68">
        <f t="shared" si="5"/>
        <v>0</v>
      </c>
      <c r="BU68">
        <f t="shared" si="5"/>
        <v>0</v>
      </c>
      <c r="BV68">
        <f t="shared" si="5"/>
        <v>0</v>
      </c>
      <c r="BW68">
        <f t="shared" si="5"/>
        <v>0</v>
      </c>
      <c r="BX68">
        <f t="shared" si="5"/>
        <v>0</v>
      </c>
      <c r="BY68">
        <f t="shared" si="5"/>
        <v>0</v>
      </c>
      <c r="BZ68">
        <f t="shared" si="5"/>
        <v>0</v>
      </c>
      <c r="CA68">
        <f t="shared" si="5"/>
        <v>0</v>
      </c>
      <c r="CB68">
        <f t="shared" si="5"/>
        <v>0</v>
      </c>
      <c r="CC68">
        <f t="shared" si="5"/>
        <v>0</v>
      </c>
      <c r="CD68">
        <f t="shared" si="5"/>
        <v>0</v>
      </c>
      <c r="CE68">
        <f t="shared" si="5"/>
        <v>0</v>
      </c>
      <c r="CF68">
        <f t="shared" si="5"/>
        <v>0</v>
      </c>
      <c r="CG68">
        <f t="shared" si="5"/>
        <v>0</v>
      </c>
      <c r="CH68">
        <f t="shared" si="5"/>
        <v>0</v>
      </c>
      <c r="CI68">
        <f t="shared" si="5"/>
        <v>0</v>
      </c>
      <c r="CJ68">
        <f t="shared" si="5"/>
        <v>0</v>
      </c>
      <c r="CK68">
        <f t="shared" si="5"/>
        <v>0</v>
      </c>
    </row>
    <row r="69" spans="1:101" ht="26.25" customHeight="1">
      <c r="A69" s="834" t="s">
        <v>340</v>
      </c>
      <c r="B69" s="283">
        <f>IF(B68&lt;=12, B68, B68-12)</f>
        <v>1</v>
      </c>
      <c r="C69" s="283">
        <f t="shared" ref="C69:M69" si="6">IF(C68&lt;=12, C68, C68-12)</f>
        <v>2</v>
      </c>
      <c r="D69" s="283">
        <f t="shared" si="6"/>
        <v>3</v>
      </c>
      <c r="E69" s="283">
        <f t="shared" si="6"/>
        <v>4</v>
      </c>
      <c r="F69" s="283">
        <f t="shared" si="6"/>
        <v>5</v>
      </c>
      <c r="G69" s="283">
        <f t="shared" si="6"/>
        <v>6</v>
      </c>
      <c r="H69" s="283">
        <f t="shared" si="6"/>
        <v>7</v>
      </c>
      <c r="I69" s="283">
        <f t="shared" si="6"/>
        <v>8</v>
      </c>
      <c r="J69" s="283">
        <f t="shared" si="6"/>
        <v>9</v>
      </c>
      <c r="K69" s="283">
        <f t="shared" si="6"/>
        <v>10</v>
      </c>
      <c r="L69" s="283">
        <f t="shared" si="6"/>
        <v>11</v>
      </c>
      <c r="M69" s="283">
        <f t="shared" si="6"/>
        <v>12</v>
      </c>
      <c r="AA69" s="291"/>
      <c r="AC69" s="303" t="s">
        <v>246</v>
      </c>
      <c r="AD69">
        <f>SUMIF($AC$34:$AC$53,AD3,$AB$34:$AB$53)</f>
        <v>0</v>
      </c>
      <c r="AE69">
        <f t="shared" ref="AE69:CK69" si="7">SUMIF($AC$34:$AC$53,AE3,$AB$34:$AB$53)</f>
        <v>0</v>
      </c>
      <c r="AF69">
        <f t="shared" si="7"/>
        <v>0</v>
      </c>
      <c r="AG69">
        <f t="shared" si="7"/>
        <v>0</v>
      </c>
      <c r="AH69">
        <f t="shared" si="7"/>
        <v>0</v>
      </c>
      <c r="AI69">
        <f t="shared" si="7"/>
        <v>0</v>
      </c>
      <c r="AJ69">
        <f t="shared" si="7"/>
        <v>0</v>
      </c>
      <c r="AK69">
        <f t="shared" si="7"/>
        <v>0</v>
      </c>
      <c r="AL69">
        <f t="shared" si="7"/>
        <v>0</v>
      </c>
      <c r="AM69">
        <f t="shared" si="7"/>
        <v>0</v>
      </c>
      <c r="AN69">
        <f t="shared" si="7"/>
        <v>0</v>
      </c>
      <c r="AO69">
        <f t="shared" si="7"/>
        <v>0</v>
      </c>
      <c r="AP69">
        <f t="shared" si="7"/>
        <v>0</v>
      </c>
      <c r="AQ69">
        <f t="shared" si="7"/>
        <v>0</v>
      </c>
      <c r="AR69">
        <f t="shared" si="7"/>
        <v>0</v>
      </c>
      <c r="AS69">
        <f t="shared" si="7"/>
        <v>0</v>
      </c>
      <c r="AT69">
        <f t="shared" si="7"/>
        <v>0</v>
      </c>
      <c r="AU69">
        <f t="shared" si="7"/>
        <v>0</v>
      </c>
      <c r="AV69">
        <f t="shared" si="7"/>
        <v>0</v>
      </c>
      <c r="AW69">
        <f t="shared" si="7"/>
        <v>0</v>
      </c>
      <c r="AX69">
        <f t="shared" si="7"/>
        <v>0</v>
      </c>
      <c r="AY69">
        <f t="shared" si="7"/>
        <v>0</v>
      </c>
      <c r="AZ69">
        <f t="shared" si="7"/>
        <v>0</v>
      </c>
      <c r="BA69">
        <f t="shared" si="7"/>
        <v>0</v>
      </c>
      <c r="BB69">
        <f t="shared" si="7"/>
        <v>0</v>
      </c>
      <c r="BC69">
        <f t="shared" si="7"/>
        <v>0</v>
      </c>
      <c r="BD69">
        <f t="shared" si="7"/>
        <v>0</v>
      </c>
      <c r="BE69">
        <f t="shared" si="7"/>
        <v>0</v>
      </c>
      <c r="BF69">
        <f t="shared" si="7"/>
        <v>0</v>
      </c>
      <c r="BG69">
        <f t="shared" si="7"/>
        <v>0</v>
      </c>
      <c r="BH69">
        <f t="shared" si="7"/>
        <v>0</v>
      </c>
      <c r="BI69">
        <f t="shared" si="7"/>
        <v>0</v>
      </c>
      <c r="BJ69">
        <f t="shared" si="7"/>
        <v>0</v>
      </c>
      <c r="BK69">
        <f t="shared" si="7"/>
        <v>0</v>
      </c>
      <c r="BL69">
        <f t="shared" si="7"/>
        <v>0</v>
      </c>
      <c r="BM69">
        <f t="shared" si="7"/>
        <v>0</v>
      </c>
      <c r="BN69">
        <f t="shared" si="7"/>
        <v>0</v>
      </c>
      <c r="BO69">
        <f t="shared" si="7"/>
        <v>0</v>
      </c>
      <c r="BP69">
        <f t="shared" si="7"/>
        <v>0</v>
      </c>
      <c r="BQ69">
        <f t="shared" si="7"/>
        <v>0</v>
      </c>
      <c r="BR69">
        <f t="shared" si="7"/>
        <v>0</v>
      </c>
      <c r="BS69">
        <f t="shared" si="7"/>
        <v>0</v>
      </c>
      <c r="BT69">
        <f t="shared" si="7"/>
        <v>0</v>
      </c>
      <c r="BU69">
        <f t="shared" si="7"/>
        <v>0</v>
      </c>
      <c r="BV69">
        <f t="shared" si="7"/>
        <v>0</v>
      </c>
      <c r="BW69">
        <f t="shared" si="7"/>
        <v>0</v>
      </c>
      <c r="BX69">
        <f t="shared" si="7"/>
        <v>0</v>
      </c>
      <c r="BY69">
        <f t="shared" si="7"/>
        <v>0</v>
      </c>
      <c r="BZ69">
        <f t="shared" si="7"/>
        <v>0</v>
      </c>
      <c r="CA69">
        <f t="shared" si="7"/>
        <v>0</v>
      </c>
      <c r="CB69">
        <f t="shared" si="7"/>
        <v>0</v>
      </c>
      <c r="CC69">
        <f t="shared" si="7"/>
        <v>0</v>
      </c>
      <c r="CD69">
        <f t="shared" si="7"/>
        <v>0</v>
      </c>
      <c r="CE69">
        <f t="shared" si="7"/>
        <v>0</v>
      </c>
      <c r="CF69">
        <f t="shared" si="7"/>
        <v>0</v>
      </c>
      <c r="CG69">
        <f t="shared" si="7"/>
        <v>0</v>
      </c>
      <c r="CH69">
        <f t="shared" si="7"/>
        <v>0</v>
      </c>
      <c r="CI69">
        <f t="shared" si="7"/>
        <v>0</v>
      </c>
      <c r="CJ69">
        <f t="shared" si="7"/>
        <v>0</v>
      </c>
      <c r="CK69">
        <f t="shared" si="7"/>
        <v>0</v>
      </c>
    </row>
    <row r="70" spans="1:101" s="71" customFormat="1">
      <c r="A70" s="304" t="s">
        <v>341</v>
      </c>
      <c r="B70" s="275" t="str">
        <f>LEFT(B67,3)</f>
        <v>Jan</v>
      </c>
      <c r="C70" s="275" t="str">
        <f t="shared" ref="C70:M70" si="8">LEFT(C67,3)</f>
        <v>Feb</v>
      </c>
      <c r="D70" s="275" t="str">
        <f t="shared" si="8"/>
        <v>Mar</v>
      </c>
      <c r="E70" s="275" t="str">
        <f t="shared" si="8"/>
        <v>Apr</v>
      </c>
      <c r="F70" s="275" t="str">
        <f t="shared" si="8"/>
        <v>May</v>
      </c>
      <c r="G70" s="275" t="str">
        <f t="shared" si="8"/>
        <v>Jun</v>
      </c>
      <c r="H70" s="275" t="str">
        <f t="shared" si="8"/>
        <v>Jul</v>
      </c>
      <c r="I70" s="275" t="str">
        <f t="shared" si="8"/>
        <v>Aug</v>
      </c>
      <c r="J70" s="275" t="str">
        <f t="shared" si="8"/>
        <v>Sep</v>
      </c>
      <c r="K70" s="275" t="str">
        <f t="shared" si="8"/>
        <v>Oct</v>
      </c>
      <c r="L70" s="275" t="str">
        <f t="shared" si="8"/>
        <v>Nov</v>
      </c>
      <c r="M70" s="275" t="str">
        <f t="shared" si="8"/>
        <v>Dec</v>
      </c>
      <c r="AB70" s="314" t="s">
        <v>18</v>
      </c>
      <c r="AC70" s="305"/>
      <c r="AD70" s="306">
        <f>SUM(AD66:AD69)</f>
        <v>0</v>
      </c>
      <c r="AE70" s="306">
        <f t="shared" ref="AE70:CK70" si="9">SUM(AE66:AE69)</f>
        <v>0</v>
      </c>
      <c r="AF70" s="306">
        <f t="shared" si="9"/>
        <v>0</v>
      </c>
      <c r="AG70" s="306">
        <f t="shared" si="9"/>
        <v>0</v>
      </c>
      <c r="AH70" s="306">
        <f t="shared" si="9"/>
        <v>0</v>
      </c>
      <c r="AI70" s="306">
        <f t="shared" si="9"/>
        <v>0</v>
      </c>
      <c r="AJ70" s="306">
        <f t="shared" si="9"/>
        <v>0</v>
      </c>
      <c r="AK70" s="306">
        <f t="shared" si="9"/>
        <v>0</v>
      </c>
      <c r="AL70" s="306">
        <f t="shared" si="9"/>
        <v>0</v>
      </c>
      <c r="AM70" s="306">
        <f t="shared" si="9"/>
        <v>0</v>
      </c>
      <c r="AN70" s="306">
        <f t="shared" si="9"/>
        <v>0</v>
      </c>
      <c r="AO70" s="306">
        <f t="shared" si="9"/>
        <v>0</v>
      </c>
      <c r="AP70" s="306">
        <f t="shared" si="9"/>
        <v>0</v>
      </c>
      <c r="AQ70" s="306">
        <f t="shared" si="9"/>
        <v>0</v>
      </c>
      <c r="AR70" s="306">
        <f t="shared" si="9"/>
        <v>0</v>
      </c>
      <c r="AS70" s="306">
        <f t="shared" si="9"/>
        <v>0</v>
      </c>
      <c r="AT70" s="306">
        <f t="shared" si="9"/>
        <v>0</v>
      </c>
      <c r="AU70" s="306">
        <f t="shared" si="9"/>
        <v>0</v>
      </c>
      <c r="AV70" s="306">
        <f t="shared" si="9"/>
        <v>0</v>
      </c>
      <c r="AW70" s="306">
        <f t="shared" si="9"/>
        <v>0</v>
      </c>
      <c r="AX70" s="306">
        <f t="shared" si="9"/>
        <v>0</v>
      </c>
      <c r="AY70" s="306">
        <f t="shared" si="9"/>
        <v>0</v>
      </c>
      <c r="AZ70" s="306">
        <f t="shared" si="9"/>
        <v>0</v>
      </c>
      <c r="BA70" s="306">
        <f t="shared" si="9"/>
        <v>0</v>
      </c>
      <c r="BB70" s="306">
        <f t="shared" si="9"/>
        <v>0</v>
      </c>
      <c r="BC70" s="306">
        <f t="shared" si="9"/>
        <v>0</v>
      </c>
      <c r="BD70" s="306">
        <f t="shared" si="9"/>
        <v>0</v>
      </c>
      <c r="BE70" s="306">
        <f t="shared" si="9"/>
        <v>0</v>
      </c>
      <c r="BF70" s="306">
        <f t="shared" si="9"/>
        <v>0</v>
      </c>
      <c r="BG70" s="306">
        <f t="shared" si="9"/>
        <v>0</v>
      </c>
      <c r="BH70" s="306">
        <f t="shared" si="9"/>
        <v>0</v>
      </c>
      <c r="BI70" s="306">
        <f t="shared" si="9"/>
        <v>0</v>
      </c>
      <c r="BJ70" s="306">
        <f t="shared" si="9"/>
        <v>0</v>
      </c>
      <c r="BK70" s="306">
        <f t="shared" si="9"/>
        <v>0</v>
      </c>
      <c r="BL70" s="306">
        <f t="shared" si="9"/>
        <v>0</v>
      </c>
      <c r="BM70" s="306">
        <f t="shared" si="9"/>
        <v>0</v>
      </c>
      <c r="BN70" s="306">
        <f t="shared" si="9"/>
        <v>0</v>
      </c>
      <c r="BO70" s="306">
        <f t="shared" si="9"/>
        <v>0</v>
      </c>
      <c r="BP70" s="306">
        <f t="shared" si="9"/>
        <v>0</v>
      </c>
      <c r="BQ70" s="306">
        <f t="shared" si="9"/>
        <v>0</v>
      </c>
      <c r="BR70" s="306">
        <f t="shared" si="9"/>
        <v>0</v>
      </c>
      <c r="BS70" s="306">
        <f t="shared" si="9"/>
        <v>0</v>
      </c>
      <c r="BT70" s="306">
        <f t="shared" si="9"/>
        <v>0</v>
      </c>
      <c r="BU70" s="306">
        <f t="shared" si="9"/>
        <v>0</v>
      </c>
      <c r="BV70" s="306">
        <f t="shared" si="9"/>
        <v>0</v>
      </c>
      <c r="BW70" s="306">
        <f t="shared" si="9"/>
        <v>0</v>
      </c>
      <c r="BX70" s="306">
        <f t="shared" si="9"/>
        <v>0</v>
      </c>
      <c r="BY70" s="306">
        <f t="shared" si="9"/>
        <v>0</v>
      </c>
      <c r="BZ70" s="306">
        <f t="shared" si="9"/>
        <v>0</v>
      </c>
      <c r="CA70" s="306">
        <f t="shared" si="9"/>
        <v>0</v>
      </c>
      <c r="CB70" s="306">
        <f t="shared" si="9"/>
        <v>0</v>
      </c>
      <c r="CC70" s="306">
        <f t="shared" si="9"/>
        <v>0</v>
      </c>
      <c r="CD70" s="306">
        <f t="shared" si="9"/>
        <v>0</v>
      </c>
      <c r="CE70" s="306">
        <f t="shared" si="9"/>
        <v>0</v>
      </c>
      <c r="CF70" s="306">
        <f t="shared" si="9"/>
        <v>0</v>
      </c>
      <c r="CG70" s="306">
        <f t="shared" si="9"/>
        <v>0</v>
      </c>
      <c r="CH70" s="306">
        <f t="shared" si="9"/>
        <v>0</v>
      </c>
      <c r="CI70" s="306">
        <f t="shared" si="9"/>
        <v>0</v>
      </c>
      <c r="CJ70" s="306">
        <f t="shared" si="9"/>
        <v>0</v>
      </c>
      <c r="CK70" s="306">
        <f t="shared" si="9"/>
        <v>0</v>
      </c>
    </row>
    <row r="71" spans="1:101">
      <c r="A71" s="290"/>
      <c r="AB71" s="310"/>
    </row>
    <row r="72" spans="1:101">
      <c r="A72" s="290"/>
      <c r="AB72" s="306" t="s">
        <v>248</v>
      </c>
      <c r="AC72" s="306"/>
      <c r="AD72" s="306">
        <f t="array" ref="AD72">SUM(($AC$4:$AC$63=AD$3)*($Y$4:$Y$63=1)*$AB$4:$AB$63)</f>
        <v>0</v>
      </c>
      <c r="AE72" s="306">
        <f t="array" ref="AE72">SUM(($AC$4:$AC$63=AE$3)*($Y$4:$Y$63=1)*$AB$4:$AB$63)</f>
        <v>0</v>
      </c>
      <c r="AF72" s="306">
        <f t="array" ref="AF72">SUM(($AC$4:$AC$63=AF$3)*($Y$4:$Y$63=1)*$AB$4:$AB$63)</f>
        <v>0</v>
      </c>
      <c r="AG72" s="306">
        <f t="array" ref="AG72">SUM(($AC$4:$AC$63=AG$3)*($Y$4:$Y$63=1)*$AB$4:$AB$63)</f>
        <v>0</v>
      </c>
      <c r="AH72" s="306">
        <f t="array" ref="AH72">SUM(($AC$4:$AC$63=AH$3)*($Y$4:$Y$63=1)*$AB$4:$AB$63)</f>
        <v>0</v>
      </c>
      <c r="AI72" s="306">
        <f t="array" ref="AI72">SUM(($AC$4:$AC$63=AI$3)*($Y$4:$Y$63=1)*$AB$4:$AB$63)</f>
        <v>0</v>
      </c>
      <c r="AJ72" s="306">
        <f t="array" ref="AJ72">SUM(($AC$4:$AC$63=AJ$3)*($Y$4:$Y$63=1)*$AB$4:$AB$63)</f>
        <v>0</v>
      </c>
      <c r="AK72" s="306">
        <f t="array" ref="AK72">SUM(($AC$4:$AC$63=AK$3)*($Y$4:$Y$63=1)*$AB$4:$AB$63)</f>
        <v>0</v>
      </c>
      <c r="AL72" s="306">
        <f t="array" ref="AL72">SUM(($AC$4:$AC$63=AL$3)*($Y$4:$Y$63=1)*$AB$4:$AB$63)</f>
        <v>0</v>
      </c>
      <c r="AM72" s="306">
        <f t="array" ref="AM72">SUM(($AC$4:$AC$63=AM$3)*($Y$4:$Y$63=1)*$AB$4:$AB$63)</f>
        <v>0</v>
      </c>
      <c r="AN72" s="306">
        <f t="array" ref="AN72">SUM(($AC$4:$AC$63=AN$3)*($Y$4:$Y$63=1)*$AB$4:$AB$63)</f>
        <v>0</v>
      </c>
      <c r="AO72" s="306">
        <f t="array" ref="AO72">SUM(($AC$4:$AC$63=AO$3)*($Y$4:$Y$63=1)*$AB$4:$AB$63)</f>
        <v>0</v>
      </c>
      <c r="AP72" s="306">
        <f t="array" ref="AP72">SUM(($AC$4:$AC$63=AP$3)*($Y$4:$Y$63=1)*$AB$4:$AB$63)</f>
        <v>0</v>
      </c>
      <c r="AQ72" s="306">
        <f t="array" ref="AQ72">SUM(($AC$4:$AC$63=AQ$3)*($Y$4:$Y$63=1)*$AB$4:$AB$63)</f>
        <v>0</v>
      </c>
      <c r="AR72" s="306">
        <f t="array" ref="AR72">SUM(($AC$4:$AC$63=AR$3)*($Y$4:$Y$63=1)*$AB$4:$AB$63)</f>
        <v>0</v>
      </c>
      <c r="AS72" s="306">
        <f t="array" ref="AS72">SUM(($AC$4:$AC$63=AS$3)*($Y$4:$Y$63=1)*$AB$4:$AB$63)</f>
        <v>0</v>
      </c>
      <c r="AT72" s="306">
        <f t="array" ref="AT72">SUM(($AC$4:$AC$63=AT$3)*($Y$4:$Y$63=1)*$AB$4:$AB$63)</f>
        <v>0</v>
      </c>
      <c r="AU72" s="306">
        <f t="array" ref="AU72">SUM(($AC$4:$AC$63=AU$3)*($Y$4:$Y$63=1)*$AB$4:$AB$63)</f>
        <v>0</v>
      </c>
      <c r="AV72" s="306">
        <f t="array" ref="AV72">SUM(($AC$4:$AC$63=AV$3)*($Y$4:$Y$63=1)*$AB$4:$AB$63)</f>
        <v>0</v>
      </c>
      <c r="AW72" s="306">
        <f t="array" ref="AW72">SUM(($AC$4:$AC$63=AW$3)*($Y$4:$Y$63=1)*$AB$4:$AB$63)</f>
        <v>0</v>
      </c>
      <c r="AX72" s="306">
        <f t="array" ref="AX72">SUM(($AC$4:$AC$63=AX$3)*($Y$4:$Y$63=1)*$AB$4:$AB$63)</f>
        <v>0</v>
      </c>
      <c r="AY72" s="306">
        <f t="array" ref="AY72">SUM(($AC$4:$AC$63=AY$3)*($Y$4:$Y$63=1)*$AB$4:$AB$63)</f>
        <v>0</v>
      </c>
      <c r="AZ72" s="306">
        <f t="array" ref="AZ72">SUM(($AC$4:$AC$63=AZ$3)*($Y$4:$Y$63=1)*$AB$4:$AB$63)</f>
        <v>0</v>
      </c>
      <c r="BA72" s="306">
        <f t="array" ref="BA72">SUM(($AC$4:$AC$63=BA$3)*($Y$4:$Y$63=1)*$AB$4:$AB$63)</f>
        <v>0</v>
      </c>
      <c r="BB72" s="306">
        <f t="array" ref="BB72">SUM(($AC$4:$AC$63=BB$3)*($Y$4:$Y$63=1)*$AB$4:$AB$63)</f>
        <v>0</v>
      </c>
      <c r="BC72" s="306">
        <f t="array" ref="BC72">SUM(($AC$4:$AC$63=BC$3)*($Y$4:$Y$63=1)*$AB$4:$AB$63)</f>
        <v>0</v>
      </c>
      <c r="BD72" s="306">
        <f t="array" ref="BD72">SUM(($AC$4:$AC$63=BD$3)*($Y$4:$Y$63=1)*$AB$4:$AB$63)</f>
        <v>0</v>
      </c>
      <c r="BE72" s="306">
        <f t="array" ref="BE72">SUM(($AC$4:$AC$63=BE$3)*($Y$4:$Y$63=1)*$AB$4:$AB$63)</f>
        <v>0</v>
      </c>
      <c r="BF72" s="306">
        <f t="array" ref="BF72">SUM(($AC$4:$AC$63=BF$3)*($Y$4:$Y$63=1)*$AB$4:$AB$63)</f>
        <v>0</v>
      </c>
      <c r="BG72" s="306">
        <f t="array" ref="BG72">SUM(($AC$4:$AC$63=BG$3)*($Y$4:$Y$63=1)*$AB$4:$AB$63)</f>
        <v>0</v>
      </c>
      <c r="BH72" s="306">
        <f t="array" ref="BH72">SUM(($AC$4:$AC$63=BH$3)*($Y$4:$Y$63=1)*$AB$4:$AB$63)</f>
        <v>0</v>
      </c>
      <c r="BI72" s="306">
        <f t="array" ref="BI72">SUM(($AC$4:$AC$63=BI$3)*($Y$4:$Y$63=1)*$AB$4:$AB$63)</f>
        <v>0</v>
      </c>
      <c r="BJ72" s="306">
        <f t="array" ref="BJ72">SUM(($AC$4:$AC$63=BJ$3)*($Y$4:$Y$63=1)*$AB$4:$AB$63)</f>
        <v>0</v>
      </c>
      <c r="BK72" s="306">
        <f t="array" ref="BK72">SUM(($AC$4:$AC$63=BK$3)*($Y$4:$Y$63=1)*$AB$4:$AB$63)</f>
        <v>0</v>
      </c>
      <c r="BL72" s="306">
        <f t="array" ref="BL72">SUM(($AC$4:$AC$63=BL$3)*($Y$4:$Y$63=1)*$AB$4:$AB$63)</f>
        <v>0</v>
      </c>
      <c r="BM72" s="306">
        <f t="array" ref="BM72">SUM(($AC$4:$AC$63=BM$3)*($Y$4:$Y$63=1)*$AB$4:$AB$63)</f>
        <v>0</v>
      </c>
      <c r="BN72" s="306">
        <f t="array" ref="BN72">SUM(($AC$4:$AC$63=BN$3)*($Y$4:$Y$63=1)*$AB$4:$AB$63)</f>
        <v>0</v>
      </c>
      <c r="BO72" s="306">
        <f t="array" ref="BO72">SUM(($AC$4:$AC$63=BO$3)*($Y$4:$Y$63=1)*$AB$4:$AB$63)</f>
        <v>0</v>
      </c>
      <c r="BP72" s="306">
        <f t="array" ref="BP72">SUM(($AC$4:$AC$63=BP$3)*($Y$4:$Y$63=1)*$AB$4:$AB$63)</f>
        <v>0</v>
      </c>
      <c r="BQ72" s="306">
        <f t="array" ref="BQ72">SUM(($AC$4:$AC$63=BQ$3)*($Y$4:$Y$63=1)*$AB$4:$AB$63)</f>
        <v>0</v>
      </c>
      <c r="BR72" s="306">
        <f t="array" ref="BR72">SUM(($AC$4:$AC$63=BR$3)*($Y$4:$Y$63=1)*$AB$4:$AB$63)</f>
        <v>0</v>
      </c>
      <c r="BS72" s="306">
        <f t="array" ref="BS72">SUM(($AC$4:$AC$63=BS$3)*($Y$4:$Y$63=1)*$AB$4:$AB$63)</f>
        <v>0</v>
      </c>
      <c r="BT72" s="306">
        <f t="array" ref="BT72">SUM(($AC$4:$AC$63=BT$3)*($Y$4:$Y$63=1)*$AB$4:$AB$63)</f>
        <v>0</v>
      </c>
      <c r="BU72" s="306">
        <f t="array" ref="BU72">SUM(($AC$4:$AC$63=BU$3)*($Y$4:$Y$63=1)*$AB$4:$AB$63)</f>
        <v>0</v>
      </c>
      <c r="BV72" s="306">
        <f t="array" ref="BV72">SUM(($AC$4:$AC$63=BV$3)*($Y$4:$Y$63=1)*$AB$4:$AB$63)</f>
        <v>0</v>
      </c>
      <c r="BW72" s="306">
        <f t="array" ref="BW72">SUM(($AC$4:$AC$63=BW$3)*($Y$4:$Y$63=1)*$AB$4:$AB$63)</f>
        <v>0</v>
      </c>
      <c r="BX72" s="306">
        <f t="array" ref="BX72">SUM(($AC$4:$AC$63=BX$3)*($Y$4:$Y$63=1)*$AB$4:$AB$63)</f>
        <v>0</v>
      </c>
      <c r="BY72" s="306">
        <f t="array" ref="BY72">SUM(($AC$4:$AC$63=BY$3)*($Y$4:$Y$63=1)*$AB$4:$AB$63)</f>
        <v>0</v>
      </c>
      <c r="BZ72" s="306">
        <f t="array" ref="BZ72">SUM(($AC$4:$AC$63=BZ$3)*($Y$4:$Y$63=1)*$AB$4:$AB$63)</f>
        <v>0</v>
      </c>
      <c r="CA72" s="306">
        <f t="array" ref="CA72">SUM(($AC$4:$AC$63=CA$3)*($Y$4:$Y$63=1)*$AB$4:$AB$63)</f>
        <v>0</v>
      </c>
      <c r="CB72" s="306">
        <f t="array" ref="CB72">SUM(($AC$4:$AC$63=CB$3)*($Y$4:$Y$63=1)*$AB$4:$AB$63)</f>
        <v>0</v>
      </c>
      <c r="CC72" s="306">
        <f t="array" ref="CC72">SUM(($AC$4:$AC$63=CC$3)*($Y$4:$Y$63=1)*$AB$4:$AB$63)</f>
        <v>0</v>
      </c>
      <c r="CD72" s="306">
        <f t="array" ref="CD72">SUM(($AC$4:$AC$63=CD$3)*($Y$4:$Y$63=1)*$AB$4:$AB$63)</f>
        <v>0</v>
      </c>
      <c r="CE72" s="306">
        <f t="array" ref="CE72">SUM(($AC$4:$AC$63=CE$3)*($Y$4:$Y$63=1)*$AB$4:$AB$63)</f>
        <v>0</v>
      </c>
      <c r="CF72" s="306">
        <f t="array" ref="CF72">SUM(($AC$4:$AC$63=CF$3)*($Y$4:$Y$63=1)*$AB$4:$AB$63)</f>
        <v>0</v>
      </c>
      <c r="CG72" s="306">
        <f t="array" ref="CG72">SUM(($AC$4:$AC$63=CG$3)*($Y$4:$Y$63=1)*$AB$4:$AB$63)</f>
        <v>0</v>
      </c>
      <c r="CH72" s="306">
        <f t="array" ref="CH72">SUM(($AC$4:$AC$63=CH$3)*($Y$4:$Y$63=1)*$AB$4:$AB$63)</f>
        <v>0</v>
      </c>
      <c r="CI72" s="306">
        <f t="array" ref="CI72">SUM(($AC$4:$AC$63=CI$3)*($Y$4:$Y$63=1)*$AB$4:$AB$63)</f>
        <v>0</v>
      </c>
      <c r="CJ72" s="306">
        <f t="array" ref="CJ72">SUM(($AC$4:$AC$63=CJ$3)*($Y$4:$Y$63=1)*$AB$4:$AB$63)</f>
        <v>0</v>
      </c>
      <c r="CK72" s="306">
        <f t="array" ref="CK72">SUM(($AC$4:$AC$63=CK$3)*($Y$4:$Y$63=1)*$AB$4:$AB$63)</f>
        <v>0</v>
      </c>
    </row>
    <row r="73" spans="1:101">
      <c r="A73" s="290"/>
    </row>
    <row r="74" spans="1:101" ht="12.75" customHeight="1">
      <c r="A74" s="290"/>
      <c r="Z74" s="312"/>
    </row>
    <row r="75" spans="1:101" ht="12.75" customHeight="1">
      <c r="A75" s="290"/>
      <c r="Y75" s="71" t="s">
        <v>270</v>
      </c>
      <c r="Z75" s="312"/>
    </row>
    <row r="76" spans="1:101">
      <c r="A76" s="290"/>
    </row>
    <row r="77" spans="1:101">
      <c r="A77" s="290"/>
      <c r="Y77" t="s">
        <v>271</v>
      </c>
      <c r="Z77" t="s">
        <v>272</v>
      </c>
      <c r="AB77" t="s">
        <v>260</v>
      </c>
      <c r="AC77" t="s">
        <v>273</v>
      </c>
    </row>
    <row r="78" spans="1:101">
      <c r="A78" s="290"/>
      <c r="X78" s="145"/>
      <c r="Y78" s="410">
        <f>CapInvest!G24</f>
        <v>0</v>
      </c>
      <c r="Z78" s="145">
        <f>CapInvest!F24</f>
        <v>12</v>
      </c>
      <c r="AA78" s="408">
        <v>1</v>
      </c>
      <c r="AB78" s="409">
        <f>CapInvest!C24</f>
        <v>0</v>
      </c>
      <c r="AC78" s="79">
        <f>IF(AB78=0,1,DATEDIF($K$12,DATEVALUE("01-"&amp;CapInvest!$D24&amp;"-"&amp;CapInvest!$E24),"m")+1)</f>
        <v>1</v>
      </c>
      <c r="AD78" s="409">
        <f>IF(AND(AD$3&gt;=$AC$78,AD$3&lt;($AC$78+$Z$78)),PMT($Y$78/12,$Z$78,-$AB$78),0)</f>
        <v>0</v>
      </c>
      <c r="AE78" s="409">
        <f t="shared" ref="AE78:CP78" si="10">IF(AND(AE$3&gt;=$AC$78,AE$3&lt;($AC$78+$Z$78)),PMT($Y$78/12,$Z$78,-$AB$78),0)</f>
        <v>0</v>
      </c>
      <c r="AF78" s="409">
        <f t="shared" si="10"/>
        <v>0</v>
      </c>
      <c r="AG78" s="409">
        <f t="shared" si="10"/>
        <v>0</v>
      </c>
      <c r="AH78" s="409">
        <f t="shared" si="10"/>
        <v>0</v>
      </c>
      <c r="AI78" s="409">
        <f t="shared" si="10"/>
        <v>0</v>
      </c>
      <c r="AJ78" s="409">
        <f t="shared" si="10"/>
        <v>0</v>
      </c>
      <c r="AK78" s="409">
        <f t="shared" si="10"/>
        <v>0</v>
      </c>
      <c r="AL78" s="409">
        <f t="shared" si="10"/>
        <v>0</v>
      </c>
      <c r="AM78" s="409">
        <f t="shared" si="10"/>
        <v>0</v>
      </c>
      <c r="AN78" s="409">
        <f t="shared" si="10"/>
        <v>0</v>
      </c>
      <c r="AO78" s="409">
        <f t="shared" si="10"/>
        <v>0</v>
      </c>
      <c r="AP78" s="409">
        <f t="shared" si="10"/>
        <v>0</v>
      </c>
      <c r="AQ78" s="409">
        <f t="shared" si="10"/>
        <v>0</v>
      </c>
      <c r="AR78" s="409">
        <f t="shared" si="10"/>
        <v>0</v>
      </c>
      <c r="AS78" s="409">
        <f t="shared" si="10"/>
        <v>0</v>
      </c>
      <c r="AT78" s="409">
        <f t="shared" si="10"/>
        <v>0</v>
      </c>
      <c r="AU78" s="409">
        <f t="shared" si="10"/>
        <v>0</v>
      </c>
      <c r="AV78" s="409">
        <f t="shared" si="10"/>
        <v>0</v>
      </c>
      <c r="AW78" s="409">
        <f t="shared" si="10"/>
        <v>0</v>
      </c>
      <c r="AX78" s="409">
        <f t="shared" si="10"/>
        <v>0</v>
      </c>
      <c r="AY78" s="409">
        <f t="shared" si="10"/>
        <v>0</v>
      </c>
      <c r="AZ78" s="409">
        <f t="shared" si="10"/>
        <v>0</v>
      </c>
      <c r="BA78" s="409">
        <f t="shared" si="10"/>
        <v>0</v>
      </c>
      <c r="BB78" s="409">
        <f t="shared" si="10"/>
        <v>0</v>
      </c>
      <c r="BC78" s="409">
        <f t="shared" si="10"/>
        <v>0</v>
      </c>
      <c r="BD78" s="409">
        <f t="shared" si="10"/>
        <v>0</v>
      </c>
      <c r="BE78" s="409">
        <f t="shared" si="10"/>
        <v>0</v>
      </c>
      <c r="BF78" s="409">
        <f t="shared" si="10"/>
        <v>0</v>
      </c>
      <c r="BG78" s="409">
        <f t="shared" si="10"/>
        <v>0</v>
      </c>
      <c r="BH78" s="409">
        <f t="shared" si="10"/>
        <v>0</v>
      </c>
      <c r="BI78" s="409">
        <f t="shared" si="10"/>
        <v>0</v>
      </c>
      <c r="BJ78" s="409">
        <f t="shared" si="10"/>
        <v>0</v>
      </c>
      <c r="BK78" s="409">
        <f t="shared" si="10"/>
        <v>0</v>
      </c>
      <c r="BL78" s="409">
        <f t="shared" si="10"/>
        <v>0</v>
      </c>
      <c r="BM78" s="409">
        <f t="shared" si="10"/>
        <v>0</v>
      </c>
      <c r="BN78" s="409">
        <f t="shared" si="10"/>
        <v>0</v>
      </c>
      <c r="BO78" s="409">
        <f t="shared" si="10"/>
        <v>0</v>
      </c>
      <c r="BP78" s="409">
        <f t="shared" si="10"/>
        <v>0</v>
      </c>
      <c r="BQ78" s="409">
        <f t="shared" si="10"/>
        <v>0</v>
      </c>
      <c r="BR78" s="409">
        <f t="shared" si="10"/>
        <v>0</v>
      </c>
      <c r="BS78" s="409">
        <f t="shared" si="10"/>
        <v>0</v>
      </c>
      <c r="BT78" s="409">
        <f t="shared" si="10"/>
        <v>0</v>
      </c>
      <c r="BU78" s="409">
        <f t="shared" si="10"/>
        <v>0</v>
      </c>
      <c r="BV78" s="409">
        <f t="shared" si="10"/>
        <v>0</v>
      </c>
      <c r="BW78" s="409">
        <f t="shared" si="10"/>
        <v>0</v>
      </c>
      <c r="BX78" s="409">
        <f t="shared" si="10"/>
        <v>0</v>
      </c>
      <c r="BY78" s="409">
        <f t="shared" si="10"/>
        <v>0</v>
      </c>
      <c r="BZ78" s="409">
        <f t="shared" si="10"/>
        <v>0</v>
      </c>
      <c r="CA78" s="409">
        <f t="shared" si="10"/>
        <v>0</v>
      </c>
      <c r="CB78" s="409">
        <f t="shared" si="10"/>
        <v>0</v>
      </c>
      <c r="CC78" s="409">
        <f t="shared" si="10"/>
        <v>0</v>
      </c>
      <c r="CD78" s="409">
        <f t="shared" si="10"/>
        <v>0</v>
      </c>
      <c r="CE78" s="409">
        <f t="shared" si="10"/>
        <v>0</v>
      </c>
      <c r="CF78" s="409">
        <f t="shared" si="10"/>
        <v>0</v>
      </c>
      <c r="CG78" s="409">
        <f t="shared" si="10"/>
        <v>0</v>
      </c>
      <c r="CH78" s="409">
        <f t="shared" si="10"/>
        <v>0</v>
      </c>
      <c r="CI78" s="409">
        <f t="shared" si="10"/>
        <v>0</v>
      </c>
      <c r="CJ78" s="409">
        <f t="shared" si="10"/>
        <v>0</v>
      </c>
      <c r="CK78" s="409">
        <f t="shared" si="10"/>
        <v>0</v>
      </c>
      <c r="CL78" s="409">
        <f t="shared" si="10"/>
        <v>0</v>
      </c>
      <c r="CM78" s="409">
        <f t="shared" si="10"/>
        <v>0</v>
      </c>
      <c r="CN78" s="409">
        <f t="shared" si="10"/>
        <v>0</v>
      </c>
      <c r="CO78" s="409">
        <f t="shared" si="10"/>
        <v>0</v>
      </c>
      <c r="CP78" s="409">
        <f t="shared" si="10"/>
        <v>0</v>
      </c>
      <c r="CQ78" s="409">
        <f t="shared" ref="CQ78:CW78" si="11">IF(AND(CQ$3&gt;=$AC$78,CQ$3&lt;($AC$78+$Z$78)),PMT($Y$78/12,$Z$78,-$AB$78),0)</f>
        <v>0</v>
      </c>
      <c r="CR78" s="409">
        <f t="shared" si="11"/>
        <v>0</v>
      </c>
      <c r="CS78" s="409">
        <f t="shared" si="11"/>
        <v>0</v>
      </c>
      <c r="CT78" s="409">
        <f t="shared" si="11"/>
        <v>0</v>
      </c>
      <c r="CU78" s="409">
        <f t="shared" si="11"/>
        <v>0</v>
      </c>
      <c r="CV78" s="409">
        <f t="shared" si="11"/>
        <v>0</v>
      </c>
      <c r="CW78" s="409">
        <f t="shared" si="11"/>
        <v>0</v>
      </c>
    </row>
    <row r="79" spans="1:101">
      <c r="A79" s="290"/>
      <c r="X79" s="145"/>
      <c r="Y79" s="410">
        <f>CapInvest!G25</f>
        <v>0</v>
      </c>
      <c r="Z79" s="145">
        <f>CapInvest!F25</f>
        <v>12</v>
      </c>
      <c r="AA79" s="408">
        <v>2</v>
      </c>
      <c r="AB79" s="409">
        <f>CapInvest!C25</f>
        <v>0</v>
      </c>
      <c r="AC79" s="79">
        <f>IF($AB79=0,1,DATEDIF($K$12,DATEVALUE("01-"&amp;CapInvest!$D25&amp;"-"&amp;CapInvest!$E25),"m")+1)</f>
        <v>1</v>
      </c>
      <c r="AD79" s="409">
        <f>IF(AND(AD$3&gt;=$AC$79,AD$3&lt;($AC$79+$Z$79)),PMT($Y$79/12,$Z$79,-$AB$79),0)</f>
        <v>0</v>
      </c>
      <c r="AE79" s="409">
        <f t="shared" ref="AE79:CP79" si="12">IF(AND(AE$3&gt;=$AC$79,AE$3&lt;($AC$79+$Z$79)),PMT($Y$79/12,$Z$79,-$AB$79),0)</f>
        <v>0</v>
      </c>
      <c r="AF79" s="409">
        <f t="shared" si="12"/>
        <v>0</v>
      </c>
      <c r="AG79" s="409">
        <f t="shared" si="12"/>
        <v>0</v>
      </c>
      <c r="AH79" s="409">
        <f t="shared" si="12"/>
        <v>0</v>
      </c>
      <c r="AI79" s="409">
        <f t="shared" si="12"/>
        <v>0</v>
      </c>
      <c r="AJ79" s="409">
        <f t="shared" si="12"/>
        <v>0</v>
      </c>
      <c r="AK79" s="409">
        <f t="shared" si="12"/>
        <v>0</v>
      </c>
      <c r="AL79" s="409">
        <f t="shared" si="12"/>
        <v>0</v>
      </c>
      <c r="AM79" s="409">
        <f t="shared" si="12"/>
        <v>0</v>
      </c>
      <c r="AN79" s="409">
        <f t="shared" si="12"/>
        <v>0</v>
      </c>
      <c r="AO79" s="409">
        <f t="shared" si="12"/>
        <v>0</v>
      </c>
      <c r="AP79" s="409">
        <f t="shared" si="12"/>
        <v>0</v>
      </c>
      <c r="AQ79" s="409">
        <f t="shared" si="12"/>
        <v>0</v>
      </c>
      <c r="AR79" s="409">
        <f t="shared" si="12"/>
        <v>0</v>
      </c>
      <c r="AS79" s="409">
        <f t="shared" si="12"/>
        <v>0</v>
      </c>
      <c r="AT79" s="409">
        <f t="shared" si="12"/>
        <v>0</v>
      </c>
      <c r="AU79" s="409">
        <f t="shared" si="12"/>
        <v>0</v>
      </c>
      <c r="AV79" s="409">
        <f t="shared" si="12"/>
        <v>0</v>
      </c>
      <c r="AW79" s="409">
        <f t="shared" si="12"/>
        <v>0</v>
      </c>
      <c r="AX79" s="409">
        <f t="shared" si="12"/>
        <v>0</v>
      </c>
      <c r="AY79" s="409">
        <f t="shared" si="12"/>
        <v>0</v>
      </c>
      <c r="AZ79" s="409">
        <f t="shared" si="12"/>
        <v>0</v>
      </c>
      <c r="BA79" s="409">
        <f t="shared" si="12"/>
        <v>0</v>
      </c>
      <c r="BB79" s="409">
        <f t="shared" si="12"/>
        <v>0</v>
      </c>
      <c r="BC79" s="409">
        <f t="shared" si="12"/>
        <v>0</v>
      </c>
      <c r="BD79" s="409">
        <f t="shared" si="12"/>
        <v>0</v>
      </c>
      <c r="BE79" s="409">
        <f t="shared" si="12"/>
        <v>0</v>
      </c>
      <c r="BF79" s="409">
        <f t="shared" si="12"/>
        <v>0</v>
      </c>
      <c r="BG79" s="409">
        <f t="shared" si="12"/>
        <v>0</v>
      </c>
      <c r="BH79" s="409">
        <f t="shared" si="12"/>
        <v>0</v>
      </c>
      <c r="BI79" s="409">
        <f t="shared" si="12"/>
        <v>0</v>
      </c>
      <c r="BJ79" s="409">
        <f t="shared" si="12"/>
        <v>0</v>
      </c>
      <c r="BK79" s="409">
        <f t="shared" si="12"/>
        <v>0</v>
      </c>
      <c r="BL79" s="409">
        <f t="shared" si="12"/>
        <v>0</v>
      </c>
      <c r="BM79" s="409">
        <f t="shared" si="12"/>
        <v>0</v>
      </c>
      <c r="BN79" s="409">
        <f t="shared" si="12"/>
        <v>0</v>
      </c>
      <c r="BO79" s="409">
        <f t="shared" si="12"/>
        <v>0</v>
      </c>
      <c r="BP79" s="409">
        <f t="shared" si="12"/>
        <v>0</v>
      </c>
      <c r="BQ79" s="409">
        <f t="shared" si="12"/>
        <v>0</v>
      </c>
      <c r="BR79" s="409">
        <f t="shared" si="12"/>
        <v>0</v>
      </c>
      <c r="BS79" s="409">
        <f t="shared" si="12"/>
        <v>0</v>
      </c>
      <c r="BT79" s="409">
        <f t="shared" si="12"/>
        <v>0</v>
      </c>
      <c r="BU79" s="409">
        <f t="shared" si="12"/>
        <v>0</v>
      </c>
      <c r="BV79" s="409">
        <f t="shared" si="12"/>
        <v>0</v>
      </c>
      <c r="BW79" s="409">
        <f t="shared" si="12"/>
        <v>0</v>
      </c>
      <c r="BX79" s="409">
        <f t="shared" si="12"/>
        <v>0</v>
      </c>
      <c r="BY79" s="409">
        <f t="shared" si="12"/>
        <v>0</v>
      </c>
      <c r="BZ79" s="409">
        <f t="shared" si="12"/>
        <v>0</v>
      </c>
      <c r="CA79" s="409">
        <f t="shared" si="12"/>
        <v>0</v>
      </c>
      <c r="CB79" s="409">
        <f t="shared" si="12"/>
        <v>0</v>
      </c>
      <c r="CC79" s="409">
        <f t="shared" si="12"/>
        <v>0</v>
      </c>
      <c r="CD79" s="409">
        <f t="shared" si="12"/>
        <v>0</v>
      </c>
      <c r="CE79" s="409">
        <f t="shared" si="12"/>
        <v>0</v>
      </c>
      <c r="CF79" s="409">
        <f t="shared" si="12"/>
        <v>0</v>
      </c>
      <c r="CG79" s="409">
        <f t="shared" si="12"/>
        <v>0</v>
      </c>
      <c r="CH79" s="409">
        <f t="shared" si="12"/>
        <v>0</v>
      </c>
      <c r="CI79" s="409">
        <f t="shared" si="12"/>
        <v>0</v>
      </c>
      <c r="CJ79" s="409">
        <f t="shared" si="12"/>
        <v>0</v>
      </c>
      <c r="CK79" s="409">
        <f t="shared" si="12"/>
        <v>0</v>
      </c>
      <c r="CL79" s="409">
        <f t="shared" si="12"/>
        <v>0</v>
      </c>
      <c r="CM79" s="409">
        <f t="shared" si="12"/>
        <v>0</v>
      </c>
      <c r="CN79" s="409">
        <f t="shared" si="12"/>
        <v>0</v>
      </c>
      <c r="CO79" s="409">
        <f t="shared" si="12"/>
        <v>0</v>
      </c>
      <c r="CP79" s="409">
        <f t="shared" si="12"/>
        <v>0</v>
      </c>
      <c r="CQ79" s="409">
        <f t="shared" ref="CQ79:CW79" si="13">IF(AND(CQ$3&gt;=$AC$79,CQ$3&lt;($AC$79+$Z$79)),PMT($Y$79/12,$Z$79,-$AB$79),0)</f>
        <v>0</v>
      </c>
      <c r="CR79" s="409">
        <f t="shared" si="13"/>
        <v>0</v>
      </c>
      <c r="CS79" s="409">
        <f t="shared" si="13"/>
        <v>0</v>
      </c>
      <c r="CT79" s="409">
        <f t="shared" si="13"/>
        <v>0</v>
      </c>
      <c r="CU79" s="409">
        <f t="shared" si="13"/>
        <v>0</v>
      </c>
      <c r="CV79" s="409">
        <f t="shared" si="13"/>
        <v>0</v>
      </c>
      <c r="CW79" s="409">
        <f t="shared" si="13"/>
        <v>0</v>
      </c>
    </row>
    <row r="80" spans="1:101">
      <c r="A80" s="290"/>
      <c r="X80" s="145"/>
      <c r="Y80" s="410">
        <f>CapInvest!G26</f>
        <v>0</v>
      </c>
      <c r="Z80" s="145">
        <f>CapInvest!F26</f>
        <v>12</v>
      </c>
      <c r="AA80" s="408">
        <v>3</v>
      </c>
      <c r="AB80" s="409">
        <f>CapInvest!C26</f>
        <v>0</v>
      </c>
      <c r="AC80" s="79">
        <f>IF($AB80=0,1,DATEDIF($K$12,DATEVALUE("01-"&amp;CapInvest!$D26&amp;"-"&amp;CapInvest!$E26),"m")+1)</f>
        <v>1</v>
      </c>
      <c r="AD80" s="409">
        <f>IF(AND(AD$3&gt;=$AC$80,AD$3&lt;($AC$80+$Z$80)),PMT($Y$80/12,$Z$80,-$AB$80),0)</f>
        <v>0</v>
      </c>
      <c r="AE80" s="409">
        <f t="shared" ref="AE80:CP80" si="14">IF(AND(AE$3&gt;=$AC$80,AE$3&lt;($AC$80+$Z$80)),PMT($Y$80/12,$Z$80,-$AB$80),0)</f>
        <v>0</v>
      </c>
      <c r="AF80" s="409">
        <f t="shared" si="14"/>
        <v>0</v>
      </c>
      <c r="AG80" s="409">
        <f t="shared" si="14"/>
        <v>0</v>
      </c>
      <c r="AH80" s="409">
        <f t="shared" si="14"/>
        <v>0</v>
      </c>
      <c r="AI80" s="409">
        <f t="shared" si="14"/>
        <v>0</v>
      </c>
      <c r="AJ80" s="409">
        <f t="shared" si="14"/>
        <v>0</v>
      </c>
      <c r="AK80" s="409">
        <f t="shared" si="14"/>
        <v>0</v>
      </c>
      <c r="AL80" s="409">
        <f t="shared" si="14"/>
        <v>0</v>
      </c>
      <c r="AM80" s="409">
        <f t="shared" si="14"/>
        <v>0</v>
      </c>
      <c r="AN80" s="409">
        <f t="shared" si="14"/>
        <v>0</v>
      </c>
      <c r="AO80" s="409">
        <f t="shared" si="14"/>
        <v>0</v>
      </c>
      <c r="AP80" s="409">
        <f t="shared" si="14"/>
        <v>0</v>
      </c>
      <c r="AQ80" s="409">
        <f t="shared" si="14"/>
        <v>0</v>
      </c>
      <c r="AR80" s="409">
        <f t="shared" si="14"/>
        <v>0</v>
      </c>
      <c r="AS80" s="409">
        <f t="shared" si="14"/>
        <v>0</v>
      </c>
      <c r="AT80" s="409">
        <f t="shared" si="14"/>
        <v>0</v>
      </c>
      <c r="AU80" s="409">
        <f t="shared" si="14"/>
        <v>0</v>
      </c>
      <c r="AV80" s="409">
        <f t="shared" si="14"/>
        <v>0</v>
      </c>
      <c r="AW80" s="409">
        <f t="shared" si="14"/>
        <v>0</v>
      </c>
      <c r="AX80" s="409">
        <f t="shared" si="14"/>
        <v>0</v>
      </c>
      <c r="AY80" s="409">
        <f t="shared" si="14"/>
        <v>0</v>
      </c>
      <c r="AZ80" s="409">
        <f t="shared" si="14"/>
        <v>0</v>
      </c>
      <c r="BA80" s="409">
        <f t="shared" si="14"/>
        <v>0</v>
      </c>
      <c r="BB80" s="409">
        <f t="shared" si="14"/>
        <v>0</v>
      </c>
      <c r="BC80" s="409">
        <f t="shared" si="14"/>
        <v>0</v>
      </c>
      <c r="BD80" s="409">
        <f t="shared" si="14"/>
        <v>0</v>
      </c>
      <c r="BE80" s="409">
        <f t="shared" si="14"/>
        <v>0</v>
      </c>
      <c r="BF80" s="409">
        <f t="shared" si="14"/>
        <v>0</v>
      </c>
      <c r="BG80" s="409">
        <f t="shared" si="14"/>
        <v>0</v>
      </c>
      <c r="BH80" s="409">
        <f t="shared" si="14"/>
        <v>0</v>
      </c>
      <c r="BI80" s="409">
        <f t="shared" si="14"/>
        <v>0</v>
      </c>
      <c r="BJ80" s="409">
        <f t="shared" si="14"/>
        <v>0</v>
      </c>
      <c r="BK80" s="409">
        <f t="shared" si="14"/>
        <v>0</v>
      </c>
      <c r="BL80" s="409">
        <f t="shared" si="14"/>
        <v>0</v>
      </c>
      <c r="BM80" s="409">
        <f t="shared" si="14"/>
        <v>0</v>
      </c>
      <c r="BN80" s="409">
        <f t="shared" si="14"/>
        <v>0</v>
      </c>
      <c r="BO80" s="409">
        <f t="shared" si="14"/>
        <v>0</v>
      </c>
      <c r="BP80" s="409">
        <f t="shared" si="14"/>
        <v>0</v>
      </c>
      <c r="BQ80" s="409">
        <f t="shared" si="14"/>
        <v>0</v>
      </c>
      <c r="BR80" s="409">
        <f t="shared" si="14"/>
        <v>0</v>
      </c>
      <c r="BS80" s="409">
        <f t="shared" si="14"/>
        <v>0</v>
      </c>
      <c r="BT80" s="409">
        <f t="shared" si="14"/>
        <v>0</v>
      </c>
      <c r="BU80" s="409">
        <f t="shared" si="14"/>
        <v>0</v>
      </c>
      <c r="BV80" s="409">
        <f t="shared" si="14"/>
        <v>0</v>
      </c>
      <c r="BW80" s="409">
        <f t="shared" si="14"/>
        <v>0</v>
      </c>
      <c r="BX80" s="409">
        <f t="shared" si="14"/>
        <v>0</v>
      </c>
      <c r="BY80" s="409">
        <f t="shared" si="14"/>
        <v>0</v>
      </c>
      <c r="BZ80" s="409">
        <f t="shared" si="14"/>
        <v>0</v>
      </c>
      <c r="CA80" s="409">
        <f t="shared" si="14"/>
        <v>0</v>
      </c>
      <c r="CB80" s="409">
        <f t="shared" si="14"/>
        <v>0</v>
      </c>
      <c r="CC80" s="409">
        <f t="shared" si="14"/>
        <v>0</v>
      </c>
      <c r="CD80" s="409">
        <f t="shared" si="14"/>
        <v>0</v>
      </c>
      <c r="CE80" s="409">
        <f t="shared" si="14"/>
        <v>0</v>
      </c>
      <c r="CF80" s="409">
        <f t="shared" si="14"/>
        <v>0</v>
      </c>
      <c r="CG80" s="409">
        <f t="shared" si="14"/>
        <v>0</v>
      </c>
      <c r="CH80" s="409">
        <f t="shared" si="14"/>
        <v>0</v>
      </c>
      <c r="CI80" s="409">
        <f t="shared" si="14"/>
        <v>0</v>
      </c>
      <c r="CJ80" s="409">
        <f t="shared" si="14"/>
        <v>0</v>
      </c>
      <c r="CK80" s="409">
        <f t="shared" si="14"/>
        <v>0</v>
      </c>
      <c r="CL80" s="409">
        <f t="shared" si="14"/>
        <v>0</v>
      </c>
      <c r="CM80" s="409">
        <f t="shared" si="14"/>
        <v>0</v>
      </c>
      <c r="CN80" s="409">
        <f t="shared" si="14"/>
        <v>0</v>
      </c>
      <c r="CO80" s="409">
        <f t="shared" si="14"/>
        <v>0</v>
      </c>
      <c r="CP80" s="409">
        <f t="shared" si="14"/>
        <v>0</v>
      </c>
      <c r="CQ80" s="409">
        <f t="shared" ref="CQ80:CW80" si="15">IF(AND(CQ$3&gt;=$AC$80,CQ$3&lt;($AC$80+$Z$80)),PMT($Y$80/12,$Z$80,-$AB$80),0)</f>
        <v>0</v>
      </c>
      <c r="CR80" s="409">
        <f t="shared" si="15"/>
        <v>0</v>
      </c>
      <c r="CS80" s="409">
        <f t="shared" si="15"/>
        <v>0</v>
      </c>
      <c r="CT80" s="409">
        <f t="shared" si="15"/>
        <v>0</v>
      </c>
      <c r="CU80" s="409">
        <f t="shared" si="15"/>
        <v>0</v>
      </c>
      <c r="CV80" s="409">
        <f t="shared" si="15"/>
        <v>0</v>
      </c>
      <c r="CW80" s="409">
        <f t="shared" si="15"/>
        <v>0</v>
      </c>
    </row>
    <row r="81" spans="1:101">
      <c r="A81" s="290"/>
      <c r="X81" s="145"/>
      <c r="Y81" s="410">
        <f>CapInvest!G27</f>
        <v>0</v>
      </c>
      <c r="Z81" s="145">
        <f>CapInvest!F27</f>
        <v>12</v>
      </c>
      <c r="AA81" s="408">
        <v>4</v>
      </c>
      <c r="AB81" s="409">
        <f>CapInvest!C27</f>
        <v>0</v>
      </c>
      <c r="AC81" s="79">
        <f>IF($AB81=0,1,DATEDIF($K$12,DATEVALUE("01-"&amp;CapInvest!$D27&amp;"-"&amp;CapInvest!$E27),"m")+1)</f>
        <v>1</v>
      </c>
      <c r="AD81" s="409">
        <f>IF(AND(AD$3&gt;=$AC$81,AD$3&lt;($AC$81+$Z$81)),PMT($Y$81/12,$Z$81,-$AB$81),0)</f>
        <v>0</v>
      </c>
      <c r="AE81" s="409">
        <f t="shared" ref="AE81:CP81" si="16">IF(AND(AE$3&gt;=$AC$81,AE$3&lt;($AC$81+$Z$81)),PMT($Y$81/12,$Z$81,-$AB$81),0)</f>
        <v>0</v>
      </c>
      <c r="AF81" s="409">
        <f t="shared" si="16"/>
        <v>0</v>
      </c>
      <c r="AG81" s="409">
        <f t="shared" si="16"/>
        <v>0</v>
      </c>
      <c r="AH81" s="409">
        <f t="shared" si="16"/>
        <v>0</v>
      </c>
      <c r="AI81" s="409">
        <f t="shared" si="16"/>
        <v>0</v>
      </c>
      <c r="AJ81" s="409">
        <f t="shared" si="16"/>
        <v>0</v>
      </c>
      <c r="AK81" s="409">
        <f t="shared" si="16"/>
        <v>0</v>
      </c>
      <c r="AL81" s="409">
        <f t="shared" si="16"/>
        <v>0</v>
      </c>
      <c r="AM81" s="409">
        <f t="shared" si="16"/>
        <v>0</v>
      </c>
      <c r="AN81" s="409">
        <f t="shared" si="16"/>
        <v>0</v>
      </c>
      <c r="AO81" s="409">
        <f t="shared" si="16"/>
        <v>0</v>
      </c>
      <c r="AP81" s="409">
        <f t="shared" si="16"/>
        <v>0</v>
      </c>
      <c r="AQ81" s="409">
        <f t="shared" si="16"/>
        <v>0</v>
      </c>
      <c r="AR81" s="409">
        <f t="shared" si="16"/>
        <v>0</v>
      </c>
      <c r="AS81" s="409">
        <f t="shared" si="16"/>
        <v>0</v>
      </c>
      <c r="AT81" s="409">
        <f t="shared" si="16"/>
        <v>0</v>
      </c>
      <c r="AU81" s="409">
        <f t="shared" si="16"/>
        <v>0</v>
      </c>
      <c r="AV81" s="409">
        <f t="shared" si="16"/>
        <v>0</v>
      </c>
      <c r="AW81" s="409">
        <f t="shared" si="16"/>
        <v>0</v>
      </c>
      <c r="AX81" s="409">
        <f t="shared" si="16"/>
        <v>0</v>
      </c>
      <c r="AY81" s="409">
        <f t="shared" si="16"/>
        <v>0</v>
      </c>
      <c r="AZ81" s="409">
        <f t="shared" si="16"/>
        <v>0</v>
      </c>
      <c r="BA81" s="409">
        <f t="shared" si="16"/>
        <v>0</v>
      </c>
      <c r="BB81" s="409">
        <f t="shared" si="16"/>
        <v>0</v>
      </c>
      <c r="BC81" s="409">
        <f t="shared" si="16"/>
        <v>0</v>
      </c>
      <c r="BD81" s="409">
        <f t="shared" si="16"/>
        <v>0</v>
      </c>
      <c r="BE81" s="409">
        <f t="shared" si="16"/>
        <v>0</v>
      </c>
      <c r="BF81" s="409">
        <f t="shared" si="16"/>
        <v>0</v>
      </c>
      <c r="BG81" s="409">
        <f t="shared" si="16"/>
        <v>0</v>
      </c>
      <c r="BH81" s="409">
        <f t="shared" si="16"/>
        <v>0</v>
      </c>
      <c r="BI81" s="409">
        <f t="shared" si="16"/>
        <v>0</v>
      </c>
      <c r="BJ81" s="409">
        <f t="shared" si="16"/>
        <v>0</v>
      </c>
      <c r="BK81" s="409">
        <f t="shared" si="16"/>
        <v>0</v>
      </c>
      <c r="BL81" s="409">
        <f t="shared" si="16"/>
        <v>0</v>
      </c>
      <c r="BM81" s="409">
        <f t="shared" si="16"/>
        <v>0</v>
      </c>
      <c r="BN81" s="409">
        <f t="shared" si="16"/>
        <v>0</v>
      </c>
      <c r="BO81" s="409">
        <f t="shared" si="16"/>
        <v>0</v>
      </c>
      <c r="BP81" s="409">
        <f t="shared" si="16"/>
        <v>0</v>
      </c>
      <c r="BQ81" s="409">
        <f t="shared" si="16"/>
        <v>0</v>
      </c>
      <c r="BR81" s="409">
        <f t="shared" si="16"/>
        <v>0</v>
      </c>
      <c r="BS81" s="409">
        <f t="shared" si="16"/>
        <v>0</v>
      </c>
      <c r="BT81" s="409">
        <f t="shared" si="16"/>
        <v>0</v>
      </c>
      <c r="BU81" s="409">
        <f t="shared" si="16"/>
        <v>0</v>
      </c>
      <c r="BV81" s="409">
        <f t="shared" si="16"/>
        <v>0</v>
      </c>
      <c r="BW81" s="409">
        <f t="shared" si="16"/>
        <v>0</v>
      </c>
      <c r="BX81" s="409">
        <f t="shared" si="16"/>
        <v>0</v>
      </c>
      <c r="BY81" s="409">
        <f t="shared" si="16"/>
        <v>0</v>
      </c>
      <c r="BZ81" s="409">
        <f t="shared" si="16"/>
        <v>0</v>
      </c>
      <c r="CA81" s="409">
        <f t="shared" si="16"/>
        <v>0</v>
      </c>
      <c r="CB81" s="409">
        <f t="shared" si="16"/>
        <v>0</v>
      </c>
      <c r="CC81" s="409">
        <f t="shared" si="16"/>
        <v>0</v>
      </c>
      <c r="CD81" s="409">
        <f t="shared" si="16"/>
        <v>0</v>
      </c>
      <c r="CE81" s="409">
        <f t="shared" si="16"/>
        <v>0</v>
      </c>
      <c r="CF81" s="409">
        <f t="shared" si="16"/>
        <v>0</v>
      </c>
      <c r="CG81" s="409">
        <f t="shared" si="16"/>
        <v>0</v>
      </c>
      <c r="CH81" s="409">
        <f t="shared" si="16"/>
        <v>0</v>
      </c>
      <c r="CI81" s="409">
        <f t="shared" si="16"/>
        <v>0</v>
      </c>
      <c r="CJ81" s="409">
        <f t="shared" si="16"/>
        <v>0</v>
      </c>
      <c r="CK81" s="409">
        <f t="shared" si="16"/>
        <v>0</v>
      </c>
      <c r="CL81" s="409">
        <f t="shared" si="16"/>
        <v>0</v>
      </c>
      <c r="CM81" s="409">
        <f t="shared" si="16"/>
        <v>0</v>
      </c>
      <c r="CN81" s="409">
        <f t="shared" si="16"/>
        <v>0</v>
      </c>
      <c r="CO81" s="409">
        <f t="shared" si="16"/>
        <v>0</v>
      </c>
      <c r="CP81" s="409">
        <f t="shared" si="16"/>
        <v>0</v>
      </c>
      <c r="CQ81" s="409">
        <f t="shared" ref="CQ81:CW81" si="17">IF(AND(CQ$3&gt;=$AC$81,CQ$3&lt;($AC$81+$Z$81)),PMT($Y$81/12,$Z$81,-$AB$81),0)</f>
        <v>0</v>
      </c>
      <c r="CR81" s="409">
        <f t="shared" si="17"/>
        <v>0</v>
      </c>
      <c r="CS81" s="409">
        <f t="shared" si="17"/>
        <v>0</v>
      </c>
      <c r="CT81" s="409">
        <f t="shared" si="17"/>
        <v>0</v>
      </c>
      <c r="CU81" s="409">
        <f t="shared" si="17"/>
        <v>0</v>
      </c>
      <c r="CV81" s="409">
        <f t="shared" si="17"/>
        <v>0</v>
      </c>
      <c r="CW81" s="409">
        <f t="shared" si="17"/>
        <v>0</v>
      </c>
    </row>
    <row r="82" spans="1:101">
      <c r="A82" s="290"/>
      <c r="X82" s="145"/>
      <c r="Y82" s="410">
        <f>CapInvest!G28</f>
        <v>0</v>
      </c>
      <c r="Z82" s="145">
        <f>CapInvest!F28</f>
        <v>12</v>
      </c>
      <c r="AA82" s="408">
        <v>5</v>
      </c>
      <c r="AB82" s="409">
        <f>CapInvest!C28</f>
        <v>0</v>
      </c>
      <c r="AC82" s="79">
        <f>IF($AB82=0,1,DATEDIF($K$12,DATEVALUE("01-"&amp;CapInvest!$D28&amp;"-"&amp;CapInvest!$E28),"m")+1)</f>
        <v>1</v>
      </c>
      <c r="AD82" s="409">
        <f>IF(AND(AD$3&gt;=$AC$82,AD$3&lt;($AC$82+$Z$82)),PMT($Y$82/12,$Z$82,-$AB$82),0)</f>
        <v>0</v>
      </c>
      <c r="AE82" s="409">
        <f t="shared" ref="AE82:CP82" si="18">IF(AND(AE$3&gt;=$AC$82,AE$3&lt;($AC$82+$Z$82)),PMT($Y$82/12,$Z$82,-$AB$82),0)</f>
        <v>0</v>
      </c>
      <c r="AF82" s="409">
        <f t="shared" si="18"/>
        <v>0</v>
      </c>
      <c r="AG82" s="409">
        <f t="shared" si="18"/>
        <v>0</v>
      </c>
      <c r="AH82" s="409">
        <f t="shared" si="18"/>
        <v>0</v>
      </c>
      <c r="AI82" s="409">
        <f t="shared" si="18"/>
        <v>0</v>
      </c>
      <c r="AJ82" s="409">
        <f t="shared" si="18"/>
        <v>0</v>
      </c>
      <c r="AK82" s="409">
        <f t="shared" si="18"/>
        <v>0</v>
      </c>
      <c r="AL82" s="409">
        <f t="shared" si="18"/>
        <v>0</v>
      </c>
      <c r="AM82" s="409">
        <f t="shared" si="18"/>
        <v>0</v>
      </c>
      <c r="AN82" s="409">
        <f t="shared" si="18"/>
        <v>0</v>
      </c>
      <c r="AO82" s="409">
        <f t="shared" si="18"/>
        <v>0</v>
      </c>
      <c r="AP82" s="409">
        <f t="shared" si="18"/>
        <v>0</v>
      </c>
      <c r="AQ82" s="409">
        <f t="shared" si="18"/>
        <v>0</v>
      </c>
      <c r="AR82" s="409">
        <f t="shared" si="18"/>
        <v>0</v>
      </c>
      <c r="AS82" s="409">
        <f t="shared" si="18"/>
        <v>0</v>
      </c>
      <c r="AT82" s="409">
        <f t="shared" si="18"/>
        <v>0</v>
      </c>
      <c r="AU82" s="409">
        <f t="shared" si="18"/>
        <v>0</v>
      </c>
      <c r="AV82" s="409">
        <f t="shared" si="18"/>
        <v>0</v>
      </c>
      <c r="AW82" s="409">
        <f t="shared" si="18"/>
        <v>0</v>
      </c>
      <c r="AX82" s="409">
        <f t="shared" si="18"/>
        <v>0</v>
      </c>
      <c r="AY82" s="409">
        <f t="shared" si="18"/>
        <v>0</v>
      </c>
      <c r="AZ82" s="409">
        <f t="shared" si="18"/>
        <v>0</v>
      </c>
      <c r="BA82" s="409">
        <f t="shared" si="18"/>
        <v>0</v>
      </c>
      <c r="BB82" s="409">
        <f t="shared" si="18"/>
        <v>0</v>
      </c>
      <c r="BC82" s="409">
        <f t="shared" si="18"/>
        <v>0</v>
      </c>
      <c r="BD82" s="409">
        <f t="shared" si="18"/>
        <v>0</v>
      </c>
      <c r="BE82" s="409">
        <f t="shared" si="18"/>
        <v>0</v>
      </c>
      <c r="BF82" s="409">
        <f t="shared" si="18"/>
        <v>0</v>
      </c>
      <c r="BG82" s="409">
        <f t="shared" si="18"/>
        <v>0</v>
      </c>
      <c r="BH82" s="409">
        <f t="shared" si="18"/>
        <v>0</v>
      </c>
      <c r="BI82" s="409">
        <f t="shared" si="18"/>
        <v>0</v>
      </c>
      <c r="BJ82" s="409">
        <f t="shared" si="18"/>
        <v>0</v>
      </c>
      <c r="BK82" s="409">
        <f t="shared" si="18"/>
        <v>0</v>
      </c>
      <c r="BL82" s="409">
        <f t="shared" si="18"/>
        <v>0</v>
      </c>
      <c r="BM82" s="409">
        <f t="shared" si="18"/>
        <v>0</v>
      </c>
      <c r="BN82" s="409">
        <f t="shared" si="18"/>
        <v>0</v>
      </c>
      <c r="BO82" s="409">
        <f t="shared" si="18"/>
        <v>0</v>
      </c>
      <c r="BP82" s="409">
        <f t="shared" si="18"/>
        <v>0</v>
      </c>
      <c r="BQ82" s="409">
        <f t="shared" si="18"/>
        <v>0</v>
      </c>
      <c r="BR82" s="409">
        <f t="shared" si="18"/>
        <v>0</v>
      </c>
      <c r="BS82" s="409">
        <f t="shared" si="18"/>
        <v>0</v>
      </c>
      <c r="BT82" s="409">
        <f t="shared" si="18"/>
        <v>0</v>
      </c>
      <c r="BU82" s="409">
        <f t="shared" si="18"/>
        <v>0</v>
      </c>
      <c r="BV82" s="409">
        <f t="shared" si="18"/>
        <v>0</v>
      </c>
      <c r="BW82" s="409">
        <f t="shared" si="18"/>
        <v>0</v>
      </c>
      <c r="BX82" s="409">
        <f t="shared" si="18"/>
        <v>0</v>
      </c>
      <c r="BY82" s="409">
        <f t="shared" si="18"/>
        <v>0</v>
      </c>
      <c r="BZ82" s="409">
        <f t="shared" si="18"/>
        <v>0</v>
      </c>
      <c r="CA82" s="409">
        <f t="shared" si="18"/>
        <v>0</v>
      </c>
      <c r="CB82" s="409">
        <f t="shared" si="18"/>
        <v>0</v>
      </c>
      <c r="CC82" s="409">
        <f t="shared" si="18"/>
        <v>0</v>
      </c>
      <c r="CD82" s="409">
        <f t="shared" si="18"/>
        <v>0</v>
      </c>
      <c r="CE82" s="409">
        <f t="shared" si="18"/>
        <v>0</v>
      </c>
      <c r="CF82" s="409">
        <f t="shared" si="18"/>
        <v>0</v>
      </c>
      <c r="CG82" s="409">
        <f t="shared" si="18"/>
        <v>0</v>
      </c>
      <c r="CH82" s="409">
        <f t="shared" si="18"/>
        <v>0</v>
      </c>
      <c r="CI82" s="409">
        <f t="shared" si="18"/>
        <v>0</v>
      </c>
      <c r="CJ82" s="409">
        <f t="shared" si="18"/>
        <v>0</v>
      </c>
      <c r="CK82" s="409">
        <f t="shared" si="18"/>
        <v>0</v>
      </c>
      <c r="CL82" s="409">
        <f t="shared" si="18"/>
        <v>0</v>
      </c>
      <c r="CM82" s="409">
        <f t="shared" si="18"/>
        <v>0</v>
      </c>
      <c r="CN82" s="409">
        <f t="shared" si="18"/>
        <v>0</v>
      </c>
      <c r="CO82" s="409">
        <f t="shared" si="18"/>
        <v>0</v>
      </c>
      <c r="CP82" s="409">
        <f t="shared" si="18"/>
        <v>0</v>
      </c>
      <c r="CQ82" s="409">
        <f t="shared" ref="CQ82:CW82" si="19">IF(AND(CQ$3&gt;=$AC$82,CQ$3&lt;($AC$82+$Z$82)),PMT($Y$82/12,$Z$82,-$AB$82),0)</f>
        <v>0</v>
      </c>
      <c r="CR82" s="409">
        <f t="shared" si="19"/>
        <v>0</v>
      </c>
      <c r="CS82" s="409">
        <f t="shared" si="19"/>
        <v>0</v>
      </c>
      <c r="CT82" s="409">
        <f t="shared" si="19"/>
        <v>0</v>
      </c>
      <c r="CU82" s="409">
        <f t="shared" si="19"/>
        <v>0</v>
      </c>
      <c r="CV82" s="409">
        <f t="shared" si="19"/>
        <v>0</v>
      </c>
      <c r="CW82" s="409">
        <f t="shared" si="19"/>
        <v>0</v>
      </c>
    </row>
    <row r="83" spans="1:101">
      <c r="A83" s="290"/>
      <c r="X83" s="145"/>
      <c r="Y83" s="410">
        <f>CapInvest!G29</f>
        <v>0</v>
      </c>
      <c r="Z83" s="145">
        <f>CapInvest!F29</f>
        <v>12</v>
      </c>
      <c r="AA83" s="408">
        <v>6</v>
      </c>
      <c r="AB83" s="409">
        <f>CapInvest!C29</f>
        <v>0</v>
      </c>
      <c r="AC83" s="79">
        <f>IF($AB83=0,1,DATEDIF($K$12,DATEVALUE("01-"&amp;CapInvest!$D29&amp;"-"&amp;CapInvest!$E29),"m")+1)</f>
        <v>1</v>
      </c>
      <c r="AD83" s="409">
        <f>IF(AND(AD$3&gt;=$AC$83,AD$3&lt;($AC$83+$Z$83)),PMT($Y$83/12,$Z$83,-$AB$83),0)</f>
        <v>0</v>
      </c>
      <c r="AE83" s="409">
        <f t="shared" ref="AE83:CP83" si="20">IF(AND(AE$3&gt;=$AC$83,AE$3&lt;($AC$83+$Z$83)),PMT($Y$83/12,$Z$83,-$AB$83),0)</f>
        <v>0</v>
      </c>
      <c r="AF83" s="409">
        <f t="shared" si="20"/>
        <v>0</v>
      </c>
      <c r="AG83" s="409">
        <f t="shared" si="20"/>
        <v>0</v>
      </c>
      <c r="AH83" s="409">
        <f t="shared" si="20"/>
        <v>0</v>
      </c>
      <c r="AI83" s="409">
        <f t="shared" si="20"/>
        <v>0</v>
      </c>
      <c r="AJ83" s="409">
        <f t="shared" si="20"/>
        <v>0</v>
      </c>
      <c r="AK83" s="409">
        <f t="shared" si="20"/>
        <v>0</v>
      </c>
      <c r="AL83" s="409">
        <f t="shared" si="20"/>
        <v>0</v>
      </c>
      <c r="AM83" s="409">
        <f t="shared" si="20"/>
        <v>0</v>
      </c>
      <c r="AN83" s="409">
        <f t="shared" si="20"/>
        <v>0</v>
      </c>
      <c r="AO83" s="409">
        <f t="shared" si="20"/>
        <v>0</v>
      </c>
      <c r="AP83" s="409">
        <f t="shared" si="20"/>
        <v>0</v>
      </c>
      <c r="AQ83" s="409">
        <f t="shared" si="20"/>
        <v>0</v>
      </c>
      <c r="AR83" s="409">
        <f t="shared" si="20"/>
        <v>0</v>
      </c>
      <c r="AS83" s="409">
        <f t="shared" si="20"/>
        <v>0</v>
      </c>
      <c r="AT83" s="409">
        <f t="shared" si="20"/>
        <v>0</v>
      </c>
      <c r="AU83" s="409">
        <f t="shared" si="20"/>
        <v>0</v>
      </c>
      <c r="AV83" s="409">
        <f t="shared" si="20"/>
        <v>0</v>
      </c>
      <c r="AW83" s="409">
        <f t="shared" si="20"/>
        <v>0</v>
      </c>
      <c r="AX83" s="409">
        <f t="shared" si="20"/>
        <v>0</v>
      </c>
      <c r="AY83" s="409">
        <f t="shared" si="20"/>
        <v>0</v>
      </c>
      <c r="AZ83" s="409">
        <f t="shared" si="20"/>
        <v>0</v>
      </c>
      <c r="BA83" s="409">
        <f t="shared" si="20"/>
        <v>0</v>
      </c>
      <c r="BB83" s="409">
        <f t="shared" si="20"/>
        <v>0</v>
      </c>
      <c r="BC83" s="409">
        <f t="shared" si="20"/>
        <v>0</v>
      </c>
      <c r="BD83" s="409">
        <f t="shared" si="20"/>
        <v>0</v>
      </c>
      <c r="BE83" s="409">
        <f t="shared" si="20"/>
        <v>0</v>
      </c>
      <c r="BF83" s="409">
        <f t="shared" si="20"/>
        <v>0</v>
      </c>
      <c r="BG83" s="409">
        <f t="shared" si="20"/>
        <v>0</v>
      </c>
      <c r="BH83" s="409">
        <f t="shared" si="20"/>
        <v>0</v>
      </c>
      <c r="BI83" s="409">
        <f t="shared" si="20"/>
        <v>0</v>
      </c>
      <c r="BJ83" s="409">
        <f t="shared" si="20"/>
        <v>0</v>
      </c>
      <c r="BK83" s="409">
        <f t="shared" si="20"/>
        <v>0</v>
      </c>
      <c r="BL83" s="409">
        <f t="shared" si="20"/>
        <v>0</v>
      </c>
      <c r="BM83" s="409">
        <f t="shared" si="20"/>
        <v>0</v>
      </c>
      <c r="BN83" s="409">
        <f t="shared" si="20"/>
        <v>0</v>
      </c>
      <c r="BO83" s="409">
        <f t="shared" si="20"/>
        <v>0</v>
      </c>
      <c r="BP83" s="409">
        <f t="shared" si="20"/>
        <v>0</v>
      </c>
      <c r="BQ83" s="409">
        <f t="shared" si="20"/>
        <v>0</v>
      </c>
      <c r="BR83" s="409">
        <f t="shared" si="20"/>
        <v>0</v>
      </c>
      <c r="BS83" s="409">
        <f t="shared" si="20"/>
        <v>0</v>
      </c>
      <c r="BT83" s="409">
        <f t="shared" si="20"/>
        <v>0</v>
      </c>
      <c r="BU83" s="409">
        <f t="shared" si="20"/>
        <v>0</v>
      </c>
      <c r="BV83" s="409">
        <f t="shared" si="20"/>
        <v>0</v>
      </c>
      <c r="BW83" s="409">
        <f t="shared" si="20"/>
        <v>0</v>
      </c>
      <c r="BX83" s="409">
        <f t="shared" si="20"/>
        <v>0</v>
      </c>
      <c r="BY83" s="409">
        <f t="shared" si="20"/>
        <v>0</v>
      </c>
      <c r="BZ83" s="409">
        <f t="shared" si="20"/>
        <v>0</v>
      </c>
      <c r="CA83" s="409">
        <f t="shared" si="20"/>
        <v>0</v>
      </c>
      <c r="CB83" s="409">
        <f t="shared" si="20"/>
        <v>0</v>
      </c>
      <c r="CC83" s="409">
        <f t="shared" si="20"/>
        <v>0</v>
      </c>
      <c r="CD83" s="409">
        <f t="shared" si="20"/>
        <v>0</v>
      </c>
      <c r="CE83" s="409">
        <f t="shared" si="20"/>
        <v>0</v>
      </c>
      <c r="CF83" s="409">
        <f t="shared" si="20"/>
        <v>0</v>
      </c>
      <c r="CG83" s="409">
        <f t="shared" si="20"/>
        <v>0</v>
      </c>
      <c r="CH83" s="409">
        <f t="shared" si="20"/>
        <v>0</v>
      </c>
      <c r="CI83" s="409">
        <f t="shared" si="20"/>
        <v>0</v>
      </c>
      <c r="CJ83" s="409">
        <f t="shared" si="20"/>
        <v>0</v>
      </c>
      <c r="CK83" s="409">
        <f t="shared" si="20"/>
        <v>0</v>
      </c>
      <c r="CL83" s="409">
        <f t="shared" si="20"/>
        <v>0</v>
      </c>
      <c r="CM83" s="409">
        <f t="shared" si="20"/>
        <v>0</v>
      </c>
      <c r="CN83" s="409">
        <f t="shared" si="20"/>
        <v>0</v>
      </c>
      <c r="CO83" s="409">
        <f t="shared" si="20"/>
        <v>0</v>
      </c>
      <c r="CP83" s="409">
        <f t="shared" si="20"/>
        <v>0</v>
      </c>
      <c r="CQ83" s="409">
        <f t="shared" ref="CQ83:CW83" si="21">IF(AND(CQ$3&gt;=$AC$83,CQ$3&lt;($AC$83+$Z$83)),PMT($Y$83/12,$Z$83,-$AB$83),0)</f>
        <v>0</v>
      </c>
      <c r="CR83" s="409">
        <f t="shared" si="21"/>
        <v>0</v>
      </c>
      <c r="CS83" s="409">
        <f t="shared" si="21"/>
        <v>0</v>
      </c>
      <c r="CT83" s="409">
        <f t="shared" si="21"/>
        <v>0</v>
      </c>
      <c r="CU83" s="409">
        <f t="shared" si="21"/>
        <v>0</v>
      </c>
      <c r="CV83" s="409">
        <f t="shared" si="21"/>
        <v>0</v>
      </c>
      <c r="CW83" s="409">
        <f t="shared" si="21"/>
        <v>0</v>
      </c>
    </row>
    <row r="84" spans="1:101">
      <c r="A84" s="290"/>
      <c r="X84" s="145"/>
      <c r="Y84" s="410">
        <f>CapInvest!G30</f>
        <v>0</v>
      </c>
      <c r="Z84" s="145">
        <f>CapInvest!F30</f>
        <v>12</v>
      </c>
      <c r="AA84" s="408">
        <v>7</v>
      </c>
      <c r="AB84" s="409">
        <f>CapInvest!C30</f>
        <v>0</v>
      </c>
      <c r="AC84" s="79">
        <f>IF($AB84=0,1,DATEDIF($K$12,DATEVALUE("01-"&amp;CapInvest!$D30&amp;"-"&amp;CapInvest!$E30),"m")+1)</f>
        <v>1</v>
      </c>
      <c r="AD84" s="409">
        <f>IF(AND(AD$3&gt;=$AC$84,$AD$3&lt;($AC$84+$Z$84)),PMT($Y$84/12,$Z$84,-$AB$84),0)</f>
        <v>0</v>
      </c>
      <c r="AE84" s="409">
        <f t="shared" ref="AE84:CP84" si="22">IF(AND(AE$3&gt;=$AC$84,$AD$3&lt;($AC$84+$Z$84)),PMT($Y$84/12,$Z$84,-$AB$84),0)</f>
        <v>0</v>
      </c>
      <c r="AF84" s="409">
        <f t="shared" si="22"/>
        <v>0</v>
      </c>
      <c r="AG84" s="409">
        <f t="shared" si="22"/>
        <v>0</v>
      </c>
      <c r="AH84" s="409">
        <f t="shared" si="22"/>
        <v>0</v>
      </c>
      <c r="AI84" s="409">
        <f t="shared" si="22"/>
        <v>0</v>
      </c>
      <c r="AJ84" s="409">
        <f t="shared" si="22"/>
        <v>0</v>
      </c>
      <c r="AK84" s="409">
        <f t="shared" si="22"/>
        <v>0</v>
      </c>
      <c r="AL84" s="409">
        <f t="shared" si="22"/>
        <v>0</v>
      </c>
      <c r="AM84" s="409">
        <f t="shared" si="22"/>
        <v>0</v>
      </c>
      <c r="AN84" s="409">
        <f t="shared" si="22"/>
        <v>0</v>
      </c>
      <c r="AO84" s="409">
        <f t="shared" si="22"/>
        <v>0</v>
      </c>
      <c r="AP84" s="409">
        <f t="shared" si="22"/>
        <v>0</v>
      </c>
      <c r="AQ84" s="409">
        <f t="shared" si="22"/>
        <v>0</v>
      </c>
      <c r="AR84" s="409">
        <f t="shared" si="22"/>
        <v>0</v>
      </c>
      <c r="AS84" s="409">
        <f t="shared" si="22"/>
        <v>0</v>
      </c>
      <c r="AT84" s="409">
        <f t="shared" si="22"/>
        <v>0</v>
      </c>
      <c r="AU84" s="409">
        <f t="shared" si="22"/>
        <v>0</v>
      </c>
      <c r="AV84" s="409">
        <f t="shared" si="22"/>
        <v>0</v>
      </c>
      <c r="AW84" s="409">
        <f t="shared" si="22"/>
        <v>0</v>
      </c>
      <c r="AX84" s="409">
        <f t="shared" si="22"/>
        <v>0</v>
      </c>
      <c r="AY84" s="409">
        <f t="shared" si="22"/>
        <v>0</v>
      </c>
      <c r="AZ84" s="409">
        <f t="shared" si="22"/>
        <v>0</v>
      </c>
      <c r="BA84" s="409">
        <f t="shared" si="22"/>
        <v>0</v>
      </c>
      <c r="BB84" s="409">
        <f t="shared" si="22"/>
        <v>0</v>
      </c>
      <c r="BC84" s="409">
        <f t="shared" si="22"/>
        <v>0</v>
      </c>
      <c r="BD84" s="409">
        <f t="shared" si="22"/>
        <v>0</v>
      </c>
      <c r="BE84" s="409">
        <f t="shared" si="22"/>
        <v>0</v>
      </c>
      <c r="BF84" s="409">
        <f t="shared" si="22"/>
        <v>0</v>
      </c>
      <c r="BG84" s="409">
        <f t="shared" si="22"/>
        <v>0</v>
      </c>
      <c r="BH84" s="409">
        <f t="shared" si="22"/>
        <v>0</v>
      </c>
      <c r="BI84" s="409">
        <f t="shared" si="22"/>
        <v>0</v>
      </c>
      <c r="BJ84" s="409">
        <f t="shared" si="22"/>
        <v>0</v>
      </c>
      <c r="BK84" s="409">
        <f t="shared" si="22"/>
        <v>0</v>
      </c>
      <c r="BL84" s="409">
        <f t="shared" si="22"/>
        <v>0</v>
      </c>
      <c r="BM84" s="409">
        <f t="shared" si="22"/>
        <v>0</v>
      </c>
      <c r="BN84" s="409">
        <f t="shared" si="22"/>
        <v>0</v>
      </c>
      <c r="BO84" s="409">
        <f t="shared" si="22"/>
        <v>0</v>
      </c>
      <c r="BP84" s="409">
        <f t="shared" si="22"/>
        <v>0</v>
      </c>
      <c r="BQ84" s="409">
        <f t="shared" si="22"/>
        <v>0</v>
      </c>
      <c r="BR84" s="409">
        <f t="shared" si="22"/>
        <v>0</v>
      </c>
      <c r="BS84" s="409">
        <f t="shared" si="22"/>
        <v>0</v>
      </c>
      <c r="BT84" s="409">
        <f t="shared" si="22"/>
        <v>0</v>
      </c>
      <c r="BU84" s="409">
        <f t="shared" si="22"/>
        <v>0</v>
      </c>
      <c r="BV84" s="409">
        <f t="shared" si="22"/>
        <v>0</v>
      </c>
      <c r="BW84" s="409">
        <f t="shared" si="22"/>
        <v>0</v>
      </c>
      <c r="BX84" s="409">
        <f t="shared" si="22"/>
        <v>0</v>
      </c>
      <c r="BY84" s="409">
        <f t="shared" si="22"/>
        <v>0</v>
      </c>
      <c r="BZ84" s="409">
        <f t="shared" si="22"/>
        <v>0</v>
      </c>
      <c r="CA84" s="409">
        <f t="shared" si="22"/>
        <v>0</v>
      </c>
      <c r="CB84" s="409">
        <f t="shared" si="22"/>
        <v>0</v>
      </c>
      <c r="CC84" s="409">
        <f t="shared" si="22"/>
        <v>0</v>
      </c>
      <c r="CD84" s="409">
        <f t="shared" si="22"/>
        <v>0</v>
      </c>
      <c r="CE84" s="409">
        <f t="shared" si="22"/>
        <v>0</v>
      </c>
      <c r="CF84" s="409">
        <f t="shared" si="22"/>
        <v>0</v>
      </c>
      <c r="CG84" s="409">
        <f t="shared" si="22"/>
        <v>0</v>
      </c>
      <c r="CH84" s="409">
        <f t="shared" si="22"/>
        <v>0</v>
      </c>
      <c r="CI84" s="409">
        <f t="shared" si="22"/>
        <v>0</v>
      </c>
      <c r="CJ84" s="409">
        <f t="shared" si="22"/>
        <v>0</v>
      </c>
      <c r="CK84" s="409">
        <f t="shared" si="22"/>
        <v>0</v>
      </c>
      <c r="CL84" s="409">
        <f t="shared" si="22"/>
        <v>0</v>
      </c>
      <c r="CM84" s="409">
        <f t="shared" si="22"/>
        <v>0</v>
      </c>
      <c r="CN84" s="409">
        <f t="shared" si="22"/>
        <v>0</v>
      </c>
      <c r="CO84" s="409">
        <f t="shared" si="22"/>
        <v>0</v>
      </c>
      <c r="CP84" s="409">
        <f t="shared" si="22"/>
        <v>0</v>
      </c>
      <c r="CQ84" s="409">
        <f t="shared" ref="CQ84:CW84" si="23">IF(AND(CQ$3&gt;=$AC$84,$AD$3&lt;($AC$84+$Z$84)),PMT($Y$84/12,$Z$84,-$AB$84),0)</f>
        <v>0</v>
      </c>
      <c r="CR84" s="409">
        <f t="shared" si="23"/>
        <v>0</v>
      </c>
      <c r="CS84" s="409">
        <f t="shared" si="23"/>
        <v>0</v>
      </c>
      <c r="CT84" s="409">
        <f t="shared" si="23"/>
        <v>0</v>
      </c>
      <c r="CU84" s="409">
        <f t="shared" si="23"/>
        <v>0</v>
      </c>
      <c r="CV84" s="409">
        <f t="shared" si="23"/>
        <v>0</v>
      </c>
      <c r="CW84" s="409">
        <f t="shared" si="23"/>
        <v>0</v>
      </c>
    </row>
    <row r="85" spans="1:101">
      <c r="A85" s="290"/>
      <c r="X85" s="145"/>
      <c r="Y85" s="410">
        <f>CapInvest!G31</f>
        <v>0</v>
      </c>
      <c r="Z85" s="145">
        <f>CapInvest!F31</f>
        <v>12</v>
      </c>
      <c r="AA85" s="408">
        <v>8</v>
      </c>
      <c r="AB85" s="409">
        <f>CapInvest!C31</f>
        <v>0</v>
      </c>
      <c r="AC85" s="79">
        <f>IF($AB85=0,1,DATEDIF($K$12,DATEVALUE("01-"&amp;CapInvest!$D31&amp;"-"&amp;CapInvest!$E31),"m")+1)</f>
        <v>1</v>
      </c>
      <c r="AD85" s="409">
        <f>IF(AND(AD$3&gt;=$AC$85,AD$3&lt;($AC$85+$Z$85)),PMT($Y$85/12,$Z$85,-$AB$85),0)</f>
        <v>0</v>
      </c>
      <c r="AE85" s="409">
        <f t="shared" ref="AE85:CP85" si="24">IF(AND(AE$3&gt;=$AC$85,AE$3&lt;($AC$85+$Z$85)),PMT($Y$85/12,$Z$85,-$AB$85),0)</f>
        <v>0</v>
      </c>
      <c r="AF85" s="409">
        <f t="shared" si="24"/>
        <v>0</v>
      </c>
      <c r="AG85" s="409">
        <f t="shared" si="24"/>
        <v>0</v>
      </c>
      <c r="AH85" s="409">
        <f t="shared" si="24"/>
        <v>0</v>
      </c>
      <c r="AI85" s="409">
        <f t="shared" si="24"/>
        <v>0</v>
      </c>
      <c r="AJ85" s="409">
        <f t="shared" si="24"/>
        <v>0</v>
      </c>
      <c r="AK85" s="409">
        <f t="shared" si="24"/>
        <v>0</v>
      </c>
      <c r="AL85" s="409">
        <f t="shared" si="24"/>
        <v>0</v>
      </c>
      <c r="AM85" s="409">
        <f t="shared" si="24"/>
        <v>0</v>
      </c>
      <c r="AN85" s="409">
        <f t="shared" si="24"/>
        <v>0</v>
      </c>
      <c r="AO85" s="409">
        <f t="shared" si="24"/>
        <v>0</v>
      </c>
      <c r="AP85" s="409">
        <f t="shared" si="24"/>
        <v>0</v>
      </c>
      <c r="AQ85" s="409">
        <f t="shared" si="24"/>
        <v>0</v>
      </c>
      <c r="AR85" s="409">
        <f t="shared" si="24"/>
        <v>0</v>
      </c>
      <c r="AS85" s="409">
        <f t="shared" si="24"/>
        <v>0</v>
      </c>
      <c r="AT85" s="409">
        <f t="shared" si="24"/>
        <v>0</v>
      </c>
      <c r="AU85" s="409">
        <f t="shared" si="24"/>
        <v>0</v>
      </c>
      <c r="AV85" s="409">
        <f t="shared" si="24"/>
        <v>0</v>
      </c>
      <c r="AW85" s="409">
        <f t="shared" si="24"/>
        <v>0</v>
      </c>
      <c r="AX85" s="409">
        <f t="shared" si="24"/>
        <v>0</v>
      </c>
      <c r="AY85" s="409">
        <f t="shared" si="24"/>
        <v>0</v>
      </c>
      <c r="AZ85" s="409">
        <f t="shared" si="24"/>
        <v>0</v>
      </c>
      <c r="BA85" s="409">
        <f t="shared" si="24"/>
        <v>0</v>
      </c>
      <c r="BB85" s="409">
        <f t="shared" si="24"/>
        <v>0</v>
      </c>
      <c r="BC85" s="409">
        <f t="shared" si="24"/>
        <v>0</v>
      </c>
      <c r="BD85" s="409">
        <f t="shared" si="24"/>
        <v>0</v>
      </c>
      <c r="BE85" s="409">
        <f t="shared" si="24"/>
        <v>0</v>
      </c>
      <c r="BF85" s="409">
        <f t="shared" si="24"/>
        <v>0</v>
      </c>
      <c r="BG85" s="409">
        <f t="shared" si="24"/>
        <v>0</v>
      </c>
      <c r="BH85" s="409">
        <f t="shared" si="24"/>
        <v>0</v>
      </c>
      <c r="BI85" s="409">
        <f t="shared" si="24"/>
        <v>0</v>
      </c>
      <c r="BJ85" s="409">
        <f t="shared" si="24"/>
        <v>0</v>
      </c>
      <c r="BK85" s="409">
        <f t="shared" si="24"/>
        <v>0</v>
      </c>
      <c r="BL85" s="409">
        <f t="shared" si="24"/>
        <v>0</v>
      </c>
      <c r="BM85" s="409">
        <f t="shared" si="24"/>
        <v>0</v>
      </c>
      <c r="BN85" s="409">
        <f t="shared" si="24"/>
        <v>0</v>
      </c>
      <c r="BO85" s="409">
        <f t="shared" si="24"/>
        <v>0</v>
      </c>
      <c r="BP85" s="409">
        <f t="shared" si="24"/>
        <v>0</v>
      </c>
      <c r="BQ85" s="409">
        <f t="shared" si="24"/>
        <v>0</v>
      </c>
      <c r="BR85" s="409">
        <f t="shared" si="24"/>
        <v>0</v>
      </c>
      <c r="BS85" s="409">
        <f t="shared" si="24"/>
        <v>0</v>
      </c>
      <c r="BT85" s="409">
        <f t="shared" si="24"/>
        <v>0</v>
      </c>
      <c r="BU85" s="409">
        <f t="shared" si="24"/>
        <v>0</v>
      </c>
      <c r="BV85" s="409">
        <f t="shared" si="24"/>
        <v>0</v>
      </c>
      <c r="BW85" s="409">
        <f t="shared" si="24"/>
        <v>0</v>
      </c>
      <c r="BX85" s="409">
        <f t="shared" si="24"/>
        <v>0</v>
      </c>
      <c r="BY85" s="409">
        <f t="shared" si="24"/>
        <v>0</v>
      </c>
      <c r="BZ85" s="409">
        <f t="shared" si="24"/>
        <v>0</v>
      </c>
      <c r="CA85" s="409">
        <f t="shared" si="24"/>
        <v>0</v>
      </c>
      <c r="CB85" s="409">
        <f t="shared" si="24"/>
        <v>0</v>
      </c>
      <c r="CC85" s="409">
        <f t="shared" si="24"/>
        <v>0</v>
      </c>
      <c r="CD85" s="409">
        <f t="shared" si="24"/>
        <v>0</v>
      </c>
      <c r="CE85" s="409">
        <f t="shared" si="24"/>
        <v>0</v>
      </c>
      <c r="CF85" s="409">
        <f t="shared" si="24"/>
        <v>0</v>
      </c>
      <c r="CG85" s="409">
        <f t="shared" si="24"/>
        <v>0</v>
      </c>
      <c r="CH85" s="409">
        <f t="shared" si="24"/>
        <v>0</v>
      </c>
      <c r="CI85" s="409">
        <f t="shared" si="24"/>
        <v>0</v>
      </c>
      <c r="CJ85" s="409">
        <f t="shared" si="24"/>
        <v>0</v>
      </c>
      <c r="CK85" s="409">
        <f t="shared" si="24"/>
        <v>0</v>
      </c>
      <c r="CL85" s="409">
        <f t="shared" si="24"/>
        <v>0</v>
      </c>
      <c r="CM85" s="409">
        <f t="shared" si="24"/>
        <v>0</v>
      </c>
      <c r="CN85" s="409">
        <f t="shared" si="24"/>
        <v>0</v>
      </c>
      <c r="CO85" s="409">
        <f t="shared" si="24"/>
        <v>0</v>
      </c>
      <c r="CP85" s="409">
        <f t="shared" si="24"/>
        <v>0</v>
      </c>
      <c r="CQ85" s="409">
        <f t="shared" ref="CQ85:CW85" si="25">IF(AND(CQ$3&gt;=$AC$85,CQ$3&lt;($AC$85+$Z$85)),PMT($Y$85/12,$Z$85,-$AB$85),0)</f>
        <v>0</v>
      </c>
      <c r="CR85" s="409">
        <f t="shared" si="25"/>
        <v>0</v>
      </c>
      <c r="CS85" s="409">
        <f t="shared" si="25"/>
        <v>0</v>
      </c>
      <c r="CT85" s="409">
        <f t="shared" si="25"/>
        <v>0</v>
      </c>
      <c r="CU85" s="409">
        <f t="shared" si="25"/>
        <v>0</v>
      </c>
      <c r="CV85" s="409">
        <f t="shared" si="25"/>
        <v>0</v>
      </c>
      <c r="CW85" s="409">
        <f t="shared" si="25"/>
        <v>0</v>
      </c>
    </row>
    <row r="86" spans="1:101">
      <c r="A86" s="290"/>
      <c r="X86" s="145"/>
      <c r="Y86" s="410">
        <f>CapInvest!G32</f>
        <v>0</v>
      </c>
      <c r="Z86" s="145">
        <f>CapInvest!F32</f>
        <v>12</v>
      </c>
      <c r="AA86" s="408">
        <v>9</v>
      </c>
      <c r="AB86" s="409">
        <f>CapInvest!C32</f>
        <v>0</v>
      </c>
      <c r="AC86" s="79">
        <f>IF($AB86=0,1,DATEDIF($K$12,DATEVALUE("01-"&amp;CapInvest!$D32&amp;"-"&amp;CapInvest!$E32),"m")+1)</f>
        <v>1</v>
      </c>
      <c r="AD86" s="409">
        <f>IF(AND(AD$3&gt;=$AC$86,AD$3&lt;($AC$86+$Z$86)),PMT($Y$86/12,$Z$86,-$AB$86),0)</f>
        <v>0</v>
      </c>
      <c r="AE86" s="409">
        <f t="shared" ref="AE86:CP86" si="26">IF(AND(AE$3&gt;=$AC$86,AE$3&lt;($AC$86+$Z$86)),PMT($Y$86/12,$Z$86,-$AB$86),0)</f>
        <v>0</v>
      </c>
      <c r="AF86" s="409">
        <f t="shared" si="26"/>
        <v>0</v>
      </c>
      <c r="AG86" s="409">
        <f t="shared" si="26"/>
        <v>0</v>
      </c>
      <c r="AH86" s="409">
        <f t="shared" si="26"/>
        <v>0</v>
      </c>
      <c r="AI86" s="409">
        <f t="shared" si="26"/>
        <v>0</v>
      </c>
      <c r="AJ86" s="409">
        <f t="shared" si="26"/>
        <v>0</v>
      </c>
      <c r="AK86" s="409">
        <f t="shared" si="26"/>
        <v>0</v>
      </c>
      <c r="AL86" s="409">
        <f t="shared" si="26"/>
        <v>0</v>
      </c>
      <c r="AM86" s="409">
        <f t="shared" si="26"/>
        <v>0</v>
      </c>
      <c r="AN86" s="409">
        <f t="shared" si="26"/>
        <v>0</v>
      </c>
      <c r="AO86" s="409">
        <f t="shared" si="26"/>
        <v>0</v>
      </c>
      <c r="AP86" s="409">
        <f t="shared" si="26"/>
        <v>0</v>
      </c>
      <c r="AQ86" s="409">
        <f t="shared" si="26"/>
        <v>0</v>
      </c>
      <c r="AR86" s="409">
        <f t="shared" si="26"/>
        <v>0</v>
      </c>
      <c r="AS86" s="409">
        <f t="shared" si="26"/>
        <v>0</v>
      </c>
      <c r="AT86" s="409">
        <f t="shared" si="26"/>
        <v>0</v>
      </c>
      <c r="AU86" s="409">
        <f t="shared" si="26"/>
        <v>0</v>
      </c>
      <c r="AV86" s="409">
        <f t="shared" si="26"/>
        <v>0</v>
      </c>
      <c r="AW86" s="409">
        <f t="shared" si="26"/>
        <v>0</v>
      </c>
      <c r="AX86" s="409">
        <f t="shared" si="26"/>
        <v>0</v>
      </c>
      <c r="AY86" s="409">
        <f t="shared" si="26"/>
        <v>0</v>
      </c>
      <c r="AZ86" s="409">
        <f t="shared" si="26"/>
        <v>0</v>
      </c>
      <c r="BA86" s="409">
        <f t="shared" si="26"/>
        <v>0</v>
      </c>
      <c r="BB86" s="409">
        <f t="shared" si="26"/>
        <v>0</v>
      </c>
      <c r="BC86" s="409">
        <f t="shared" si="26"/>
        <v>0</v>
      </c>
      <c r="BD86" s="409">
        <f t="shared" si="26"/>
        <v>0</v>
      </c>
      <c r="BE86" s="409">
        <f t="shared" si="26"/>
        <v>0</v>
      </c>
      <c r="BF86" s="409">
        <f t="shared" si="26"/>
        <v>0</v>
      </c>
      <c r="BG86" s="409">
        <f t="shared" si="26"/>
        <v>0</v>
      </c>
      <c r="BH86" s="409">
        <f t="shared" si="26"/>
        <v>0</v>
      </c>
      <c r="BI86" s="409">
        <f t="shared" si="26"/>
        <v>0</v>
      </c>
      <c r="BJ86" s="409">
        <f t="shared" si="26"/>
        <v>0</v>
      </c>
      <c r="BK86" s="409">
        <f t="shared" si="26"/>
        <v>0</v>
      </c>
      <c r="BL86" s="409">
        <f t="shared" si="26"/>
        <v>0</v>
      </c>
      <c r="BM86" s="409">
        <f t="shared" si="26"/>
        <v>0</v>
      </c>
      <c r="BN86" s="409">
        <f t="shared" si="26"/>
        <v>0</v>
      </c>
      <c r="BO86" s="409">
        <f t="shared" si="26"/>
        <v>0</v>
      </c>
      <c r="BP86" s="409">
        <f t="shared" si="26"/>
        <v>0</v>
      </c>
      <c r="BQ86" s="409">
        <f t="shared" si="26"/>
        <v>0</v>
      </c>
      <c r="BR86" s="409">
        <f t="shared" si="26"/>
        <v>0</v>
      </c>
      <c r="BS86" s="409">
        <f t="shared" si="26"/>
        <v>0</v>
      </c>
      <c r="BT86" s="409">
        <f t="shared" si="26"/>
        <v>0</v>
      </c>
      <c r="BU86" s="409">
        <f t="shared" si="26"/>
        <v>0</v>
      </c>
      <c r="BV86" s="409">
        <f t="shared" si="26"/>
        <v>0</v>
      </c>
      <c r="BW86" s="409">
        <f t="shared" si="26"/>
        <v>0</v>
      </c>
      <c r="BX86" s="409">
        <f t="shared" si="26"/>
        <v>0</v>
      </c>
      <c r="BY86" s="409">
        <f t="shared" si="26"/>
        <v>0</v>
      </c>
      <c r="BZ86" s="409">
        <f t="shared" si="26"/>
        <v>0</v>
      </c>
      <c r="CA86" s="409">
        <f t="shared" si="26"/>
        <v>0</v>
      </c>
      <c r="CB86" s="409">
        <f t="shared" si="26"/>
        <v>0</v>
      </c>
      <c r="CC86" s="409">
        <f t="shared" si="26"/>
        <v>0</v>
      </c>
      <c r="CD86" s="409">
        <f t="shared" si="26"/>
        <v>0</v>
      </c>
      <c r="CE86" s="409">
        <f t="shared" si="26"/>
        <v>0</v>
      </c>
      <c r="CF86" s="409">
        <f t="shared" si="26"/>
        <v>0</v>
      </c>
      <c r="CG86" s="409">
        <f t="shared" si="26"/>
        <v>0</v>
      </c>
      <c r="CH86" s="409">
        <f t="shared" si="26"/>
        <v>0</v>
      </c>
      <c r="CI86" s="409">
        <f t="shared" si="26"/>
        <v>0</v>
      </c>
      <c r="CJ86" s="409">
        <f t="shared" si="26"/>
        <v>0</v>
      </c>
      <c r="CK86" s="409">
        <f t="shared" si="26"/>
        <v>0</v>
      </c>
      <c r="CL86" s="409">
        <f t="shared" si="26"/>
        <v>0</v>
      </c>
      <c r="CM86" s="409">
        <f t="shared" si="26"/>
        <v>0</v>
      </c>
      <c r="CN86" s="409">
        <f t="shared" si="26"/>
        <v>0</v>
      </c>
      <c r="CO86" s="409">
        <f t="shared" si="26"/>
        <v>0</v>
      </c>
      <c r="CP86" s="409">
        <f t="shared" si="26"/>
        <v>0</v>
      </c>
      <c r="CQ86" s="409">
        <f t="shared" ref="CQ86:CW86" si="27">IF(AND(CQ$3&gt;=$AC$86,CQ$3&lt;($AC$86+$Z$86)),PMT($Y$86/12,$Z$86,-$AB$86),0)</f>
        <v>0</v>
      </c>
      <c r="CR86" s="409">
        <f t="shared" si="27"/>
        <v>0</v>
      </c>
      <c r="CS86" s="409">
        <f t="shared" si="27"/>
        <v>0</v>
      </c>
      <c r="CT86" s="409">
        <f t="shared" si="27"/>
        <v>0</v>
      </c>
      <c r="CU86" s="409">
        <f t="shared" si="27"/>
        <v>0</v>
      </c>
      <c r="CV86" s="409">
        <f t="shared" si="27"/>
        <v>0</v>
      </c>
      <c r="CW86" s="409">
        <f t="shared" si="27"/>
        <v>0</v>
      </c>
    </row>
    <row r="87" spans="1:101">
      <c r="A87" s="290"/>
      <c r="X87" s="145"/>
      <c r="Y87" s="410">
        <f>CapInvest!G33</f>
        <v>0</v>
      </c>
      <c r="Z87" s="145">
        <f>CapInvest!F33</f>
        <v>12</v>
      </c>
      <c r="AA87" s="408">
        <v>10</v>
      </c>
      <c r="AB87" s="409">
        <f>CapInvest!C33</f>
        <v>0</v>
      </c>
      <c r="AC87" s="79">
        <f>IF($AB87=0,1,DATEDIF($K$12,DATEVALUE("01-"&amp;CapInvest!$D33&amp;"-"&amp;CapInvest!$E33),"m")+1)</f>
        <v>1</v>
      </c>
      <c r="AD87" s="409">
        <f>IF(AND(AD$3&gt;=$AC$87,AD$3&lt;($AC$87+$Z$87)),PMT($Y$87/12,$Z$87,-$AB$87),0)</f>
        <v>0</v>
      </c>
      <c r="AE87" s="409">
        <f t="shared" ref="AE87:CP87" si="28">IF(AND(AE$3&gt;=$AC$87,AE$3&lt;($AC$87+$Z$87)),PMT($Y$87/12,$Z$87,-$AB$87),0)</f>
        <v>0</v>
      </c>
      <c r="AF87" s="409">
        <f t="shared" si="28"/>
        <v>0</v>
      </c>
      <c r="AG87" s="409">
        <f t="shared" si="28"/>
        <v>0</v>
      </c>
      <c r="AH87" s="409">
        <f t="shared" si="28"/>
        <v>0</v>
      </c>
      <c r="AI87" s="409">
        <f t="shared" si="28"/>
        <v>0</v>
      </c>
      <c r="AJ87" s="409">
        <f t="shared" si="28"/>
        <v>0</v>
      </c>
      <c r="AK87" s="409">
        <f t="shared" si="28"/>
        <v>0</v>
      </c>
      <c r="AL87" s="409">
        <f t="shared" si="28"/>
        <v>0</v>
      </c>
      <c r="AM87" s="409">
        <f t="shared" si="28"/>
        <v>0</v>
      </c>
      <c r="AN87" s="409">
        <f t="shared" si="28"/>
        <v>0</v>
      </c>
      <c r="AO87" s="409">
        <f t="shared" si="28"/>
        <v>0</v>
      </c>
      <c r="AP87" s="409">
        <f t="shared" si="28"/>
        <v>0</v>
      </c>
      <c r="AQ87" s="409">
        <f t="shared" si="28"/>
        <v>0</v>
      </c>
      <c r="AR87" s="409">
        <f t="shared" si="28"/>
        <v>0</v>
      </c>
      <c r="AS87" s="409">
        <f t="shared" si="28"/>
        <v>0</v>
      </c>
      <c r="AT87" s="409">
        <f t="shared" si="28"/>
        <v>0</v>
      </c>
      <c r="AU87" s="409">
        <f t="shared" si="28"/>
        <v>0</v>
      </c>
      <c r="AV87" s="409">
        <f t="shared" si="28"/>
        <v>0</v>
      </c>
      <c r="AW87" s="409">
        <f t="shared" si="28"/>
        <v>0</v>
      </c>
      <c r="AX87" s="409">
        <f t="shared" si="28"/>
        <v>0</v>
      </c>
      <c r="AY87" s="409">
        <f t="shared" si="28"/>
        <v>0</v>
      </c>
      <c r="AZ87" s="409">
        <f t="shared" si="28"/>
        <v>0</v>
      </c>
      <c r="BA87" s="409">
        <f t="shared" si="28"/>
        <v>0</v>
      </c>
      <c r="BB87" s="409">
        <f t="shared" si="28"/>
        <v>0</v>
      </c>
      <c r="BC87" s="409">
        <f t="shared" si="28"/>
        <v>0</v>
      </c>
      <c r="BD87" s="409">
        <f t="shared" si="28"/>
        <v>0</v>
      </c>
      <c r="BE87" s="409">
        <f t="shared" si="28"/>
        <v>0</v>
      </c>
      <c r="BF87" s="409">
        <f t="shared" si="28"/>
        <v>0</v>
      </c>
      <c r="BG87" s="409">
        <f t="shared" si="28"/>
        <v>0</v>
      </c>
      <c r="BH87" s="409">
        <f t="shared" si="28"/>
        <v>0</v>
      </c>
      <c r="BI87" s="409">
        <f t="shared" si="28"/>
        <v>0</v>
      </c>
      <c r="BJ87" s="409">
        <f t="shared" si="28"/>
        <v>0</v>
      </c>
      <c r="BK87" s="409">
        <f t="shared" si="28"/>
        <v>0</v>
      </c>
      <c r="BL87" s="409">
        <f t="shared" si="28"/>
        <v>0</v>
      </c>
      <c r="BM87" s="409">
        <f t="shared" si="28"/>
        <v>0</v>
      </c>
      <c r="BN87" s="409">
        <f t="shared" si="28"/>
        <v>0</v>
      </c>
      <c r="BO87" s="409">
        <f t="shared" si="28"/>
        <v>0</v>
      </c>
      <c r="BP87" s="409">
        <f t="shared" si="28"/>
        <v>0</v>
      </c>
      <c r="BQ87" s="409">
        <f t="shared" si="28"/>
        <v>0</v>
      </c>
      <c r="BR87" s="409">
        <f t="shared" si="28"/>
        <v>0</v>
      </c>
      <c r="BS87" s="409">
        <f t="shared" si="28"/>
        <v>0</v>
      </c>
      <c r="BT87" s="409">
        <f t="shared" si="28"/>
        <v>0</v>
      </c>
      <c r="BU87" s="409">
        <f t="shared" si="28"/>
        <v>0</v>
      </c>
      <c r="BV87" s="409">
        <f t="shared" si="28"/>
        <v>0</v>
      </c>
      <c r="BW87" s="409">
        <f t="shared" si="28"/>
        <v>0</v>
      </c>
      <c r="BX87" s="409">
        <f t="shared" si="28"/>
        <v>0</v>
      </c>
      <c r="BY87" s="409">
        <f t="shared" si="28"/>
        <v>0</v>
      </c>
      <c r="BZ87" s="409">
        <f t="shared" si="28"/>
        <v>0</v>
      </c>
      <c r="CA87" s="409">
        <f t="shared" si="28"/>
        <v>0</v>
      </c>
      <c r="CB87" s="409">
        <f t="shared" si="28"/>
        <v>0</v>
      </c>
      <c r="CC87" s="409">
        <f t="shared" si="28"/>
        <v>0</v>
      </c>
      <c r="CD87" s="409">
        <f t="shared" si="28"/>
        <v>0</v>
      </c>
      <c r="CE87" s="409">
        <f t="shared" si="28"/>
        <v>0</v>
      </c>
      <c r="CF87" s="409">
        <f t="shared" si="28"/>
        <v>0</v>
      </c>
      <c r="CG87" s="409">
        <f t="shared" si="28"/>
        <v>0</v>
      </c>
      <c r="CH87" s="409">
        <f t="shared" si="28"/>
        <v>0</v>
      </c>
      <c r="CI87" s="409">
        <f t="shared" si="28"/>
        <v>0</v>
      </c>
      <c r="CJ87" s="409">
        <f t="shared" si="28"/>
        <v>0</v>
      </c>
      <c r="CK87" s="409">
        <f t="shared" si="28"/>
        <v>0</v>
      </c>
      <c r="CL87" s="409">
        <f t="shared" si="28"/>
        <v>0</v>
      </c>
      <c r="CM87" s="409">
        <f t="shared" si="28"/>
        <v>0</v>
      </c>
      <c r="CN87" s="409">
        <f t="shared" si="28"/>
        <v>0</v>
      </c>
      <c r="CO87" s="409">
        <f t="shared" si="28"/>
        <v>0</v>
      </c>
      <c r="CP87" s="409">
        <f t="shared" si="28"/>
        <v>0</v>
      </c>
      <c r="CQ87" s="409">
        <f t="shared" ref="CQ87:CW87" si="29">IF(AND(CQ$3&gt;=$AC$87,CQ$3&lt;($AC$87+$Z$87)),PMT($Y$87/12,$Z$87,-$AB$87),0)</f>
        <v>0</v>
      </c>
      <c r="CR87" s="409">
        <f t="shared" si="29"/>
        <v>0</v>
      </c>
      <c r="CS87" s="409">
        <f t="shared" si="29"/>
        <v>0</v>
      </c>
      <c r="CT87" s="409">
        <f t="shared" si="29"/>
        <v>0</v>
      </c>
      <c r="CU87" s="409">
        <f t="shared" si="29"/>
        <v>0</v>
      </c>
      <c r="CV87" s="409">
        <f t="shared" si="29"/>
        <v>0</v>
      </c>
      <c r="CW87" s="409">
        <f t="shared" si="29"/>
        <v>0</v>
      </c>
    </row>
    <row r="88" spans="1:101">
      <c r="A88" s="290"/>
      <c r="X88" s="145"/>
      <c r="Y88" s="410">
        <f>CapInvest!G34</f>
        <v>0</v>
      </c>
      <c r="Z88" s="145">
        <f>CapInvest!F34</f>
        <v>12</v>
      </c>
      <c r="AA88" s="408">
        <v>11</v>
      </c>
      <c r="AB88" s="409">
        <f>CapInvest!C34</f>
        <v>0</v>
      </c>
      <c r="AC88" s="79">
        <f>IF($AB88=0,1,DATEDIF($K$12,DATEVALUE("01-"&amp;CapInvest!$D34&amp;"-"&amp;CapInvest!$E34),"m")+1)</f>
        <v>1</v>
      </c>
      <c r="AD88" s="409">
        <f>IF(AND(AD$3&gt;=$AC$88,AD$3&lt;($AC$88+$Z$88)),PMT($Y$88/12,$Z$88,-$AB$88),0)</f>
        <v>0</v>
      </c>
      <c r="AE88" s="409">
        <f t="shared" ref="AE88:CP88" si="30">IF(AND(AE$3&gt;=$AC$88,AE$3&lt;($AC$88+$Z$88)),PMT($Y$88/12,$Z$88,-$AB$88),0)</f>
        <v>0</v>
      </c>
      <c r="AF88" s="409">
        <f t="shared" si="30"/>
        <v>0</v>
      </c>
      <c r="AG88" s="409">
        <f t="shared" si="30"/>
        <v>0</v>
      </c>
      <c r="AH88" s="409">
        <f t="shared" si="30"/>
        <v>0</v>
      </c>
      <c r="AI88" s="409">
        <f t="shared" si="30"/>
        <v>0</v>
      </c>
      <c r="AJ88" s="409">
        <f t="shared" si="30"/>
        <v>0</v>
      </c>
      <c r="AK88" s="409">
        <f t="shared" si="30"/>
        <v>0</v>
      </c>
      <c r="AL88" s="409">
        <f t="shared" si="30"/>
        <v>0</v>
      </c>
      <c r="AM88" s="409">
        <f t="shared" si="30"/>
        <v>0</v>
      </c>
      <c r="AN88" s="409">
        <f t="shared" si="30"/>
        <v>0</v>
      </c>
      <c r="AO88" s="409">
        <f t="shared" si="30"/>
        <v>0</v>
      </c>
      <c r="AP88" s="409">
        <f t="shared" si="30"/>
        <v>0</v>
      </c>
      <c r="AQ88" s="409">
        <f t="shared" si="30"/>
        <v>0</v>
      </c>
      <c r="AR88" s="409">
        <f t="shared" si="30"/>
        <v>0</v>
      </c>
      <c r="AS88" s="409">
        <f t="shared" si="30"/>
        <v>0</v>
      </c>
      <c r="AT88" s="409">
        <f t="shared" si="30"/>
        <v>0</v>
      </c>
      <c r="AU88" s="409">
        <f t="shared" si="30"/>
        <v>0</v>
      </c>
      <c r="AV88" s="409">
        <f t="shared" si="30"/>
        <v>0</v>
      </c>
      <c r="AW88" s="409">
        <f t="shared" si="30"/>
        <v>0</v>
      </c>
      <c r="AX88" s="409">
        <f t="shared" si="30"/>
        <v>0</v>
      </c>
      <c r="AY88" s="409">
        <f t="shared" si="30"/>
        <v>0</v>
      </c>
      <c r="AZ88" s="409">
        <f t="shared" si="30"/>
        <v>0</v>
      </c>
      <c r="BA88" s="409">
        <f t="shared" si="30"/>
        <v>0</v>
      </c>
      <c r="BB88" s="409">
        <f t="shared" si="30"/>
        <v>0</v>
      </c>
      <c r="BC88" s="409">
        <f t="shared" si="30"/>
        <v>0</v>
      </c>
      <c r="BD88" s="409">
        <f t="shared" si="30"/>
        <v>0</v>
      </c>
      <c r="BE88" s="409">
        <f t="shared" si="30"/>
        <v>0</v>
      </c>
      <c r="BF88" s="409">
        <f t="shared" si="30"/>
        <v>0</v>
      </c>
      <c r="BG88" s="409">
        <f t="shared" si="30"/>
        <v>0</v>
      </c>
      <c r="BH88" s="409">
        <f t="shared" si="30"/>
        <v>0</v>
      </c>
      <c r="BI88" s="409">
        <f t="shared" si="30"/>
        <v>0</v>
      </c>
      <c r="BJ88" s="409">
        <f t="shared" si="30"/>
        <v>0</v>
      </c>
      <c r="BK88" s="409">
        <f t="shared" si="30"/>
        <v>0</v>
      </c>
      <c r="BL88" s="409">
        <f t="shared" si="30"/>
        <v>0</v>
      </c>
      <c r="BM88" s="409">
        <f t="shared" si="30"/>
        <v>0</v>
      </c>
      <c r="BN88" s="409">
        <f t="shared" si="30"/>
        <v>0</v>
      </c>
      <c r="BO88" s="409">
        <f t="shared" si="30"/>
        <v>0</v>
      </c>
      <c r="BP88" s="409">
        <f t="shared" si="30"/>
        <v>0</v>
      </c>
      <c r="BQ88" s="409">
        <f t="shared" si="30"/>
        <v>0</v>
      </c>
      <c r="BR88" s="409">
        <f t="shared" si="30"/>
        <v>0</v>
      </c>
      <c r="BS88" s="409">
        <f t="shared" si="30"/>
        <v>0</v>
      </c>
      <c r="BT88" s="409">
        <f t="shared" si="30"/>
        <v>0</v>
      </c>
      <c r="BU88" s="409">
        <f t="shared" si="30"/>
        <v>0</v>
      </c>
      <c r="BV88" s="409">
        <f t="shared" si="30"/>
        <v>0</v>
      </c>
      <c r="BW88" s="409">
        <f t="shared" si="30"/>
        <v>0</v>
      </c>
      <c r="BX88" s="409">
        <f t="shared" si="30"/>
        <v>0</v>
      </c>
      <c r="BY88" s="409">
        <f t="shared" si="30"/>
        <v>0</v>
      </c>
      <c r="BZ88" s="409">
        <f t="shared" si="30"/>
        <v>0</v>
      </c>
      <c r="CA88" s="409">
        <f t="shared" si="30"/>
        <v>0</v>
      </c>
      <c r="CB88" s="409">
        <f t="shared" si="30"/>
        <v>0</v>
      </c>
      <c r="CC88" s="409">
        <f t="shared" si="30"/>
        <v>0</v>
      </c>
      <c r="CD88" s="409">
        <f t="shared" si="30"/>
        <v>0</v>
      </c>
      <c r="CE88" s="409">
        <f t="shared" si="30"/>
        <v>0</v>
      </c>
      <c r="CF88" s="409">
        <f t="shared" si="30"/>
        <v>0</v>
      </c>
      <c r="CG88" s="409">
        <f t="shared" si="30"/>
        <v>0</v>
      </c>
      <c r="CH88" s="409">
        <f t="shared" si="30"/>
        <v>0</v>
      </c>
      <c r="CI88" s="409">
        <f t="shared" si="30"/>
        <v>0</v>
      </c>
      <c r="CJ88" s="409">
        <f t="shared" si="30"/>
        <v>0</v>
      </c>
      <c r="CK88" s="409">
        <f t="shared" si="30"/>
        <v>0</v>
      </c>
      <c r="CL88" s="409">
        <f t="shared" si="30"/>
        <v>0</v>
      </c>
      <c r="CM88" s="409">
        <f t="shared" si="30"/>
        <v>0</v>
      </c>
      <c r="CN88" s="409">
        <f t="shared" si="30"/>
        <v>0</v>
      </c>
      <c r="CO88" s="409">
        <f t="shared" si="30"/>
        <v>0</v>
      </c>
      <c r="CP88" s="409">
        <f t="shared" si="30"/>
        <v>0</v>
      </c>
      <c r="CQ88" s="409">
        <f t="shared" ref="CQ88:CW88" si="31">IF(AND(CQ$3&gt;=$AC$88,CQ$3&lt;($AC$88+$Z$88)),PMT($Y$88/12,$Z$88,-$AB$88),0)</f>
        <v>0</v>
      </c>
      <c r="CR88" s="409">
        <f t="shared" si="31"/>
        <v>0</v>
      </c>
      <c r="CS88" s="409">
        <f t="shared" si="31"/>
        <v>0</v>
      </c>
      <c r="CT88" s="409">
        <f t="shared" si="31"/>
        <v>0</v>
      </c>
      <c r="CU88" s="409">
        <f t="shared" si="31"/>
        <v>0</v>
      </c>
      <c r="CV88" s="409">
        <f t="shared" si="31"/>
        <v>0</v>
      </c>
      <c r="CW88" s="409">
        <f t="shared" si="31"/>
        <v>0</v>
      </c>
    </row>
    <row r="89" spans="1:101">
      <c r="A89" s="290"/>
      <c r="X89" s="145"/>
      <c r="Y89" s="410">
        <f>CapInvest!G35</f>
        <v>0</v>
      </c>
      <c r="Z89" s="145">
        <f>CapInvest!F35</f>
        <v>12</v>
      </c>
      <c r="AA89" s="408">
        <v>12</v>
      </c>
      <c r="AB89" s="409">
        <f>CapInvest!C35</f>
        <v>0</v>
      </c>
      <c r="AC89" s="79">
        <f>IF($AB89=0,1,DATEDIF($K$12,DATEVALUE("01-"&amp;CapInvest!$D35&amp;"-"&amp;CapInvest!$E35),"m")+1)</f>
        <v>1</v>
      </c>
      <c r="AD89" s="409">
        <f>IF(AND(AD$3&gt;=$AC$89,AD$3&lt;($AC$89+$Z$89)),PMT($Y$89/12,$Z$89,-$AB$89),0)</f>
        <v>0</v>
      </c>
      <c r="AE89" s="409">
        <f t="shared" ref="AE89:CP89" si="32">IF(AND(AE$3&gt;=$AC$89,AE$3&lt;($AC$89+$Z$89)),PMT($Y$89/12,$Z$89,-$AB$89),0)</f>
        <v>0</v>
      </c>
      <c r="AF89" s="409">
        <f t="shared" si="32"/>
        <v>0</v>
      </c>
      <c r="AG89" s="409">
        <f t="shared" si="32"/>
        <v>0</v>
      </c>
      <c r="AH89" s="409">
        <f t="shared" si="32"/>
        <v>0</v>
      </c>
      <c r="AI89" s="409">
        <f t="shared" si="32"/>
        <v>0</v>
      </c>
      <c r="AJ89" s="409">
        <f t="shared" si="32"/>
        <v>0</v>
      </c>
      <c r="AK89" s="409">
        <f t="shared" si="32"/>
        <v>0</v>
      </c>
      <c r="AL89" s="409">
        <f t="shared" si="32"/>
        <v>0</v>
      </c>
      <c r="AM89" s="409">
        <f t="shared" si="32"/>
        <v>0</v>
      </c>
      <c r="AN89" s="409">
        <f t="shared" si="32"/>
        <v>0</v>
      </c>
      <c r="AO89" s="409">
        <f t="shared" si="32"/>
        <v>0</v>
      </c>
      <c r="AP89" s="409">
        <f t="shared" si="32"/>
        <v>0</v>
      </c>
      <c r="AQ89" s="409">
        <f t="shared" si="32"/>
        <v>0</v>
      </c>
      <c r="AR89" s="409">
        <f t="shared" si="32"/>
        <v>0</v>
      </c>
      <c r="AS89" s="409">
        <f t="shared" si="32"/>
        <v>0</v>
      </c>
      <c r="AT89" s="409">
        <f t="shared" si="32"/>
        <v>0</v>
      </c>
      <c r="AU89" s="409">
        <f t="shared" si="32"/>
        <v>0</v>
      </c>
      <c r="AV89" s="409">
        <f t="shared" si="32"/>
        <v>0</v>
      </c>
      <c r="AW89" s="409">
        <f t="shared" si="32"/>
        <v>0</v>
      </c>
      <c r="AX89" s="409">
        <f t="shared" si="32"/>
        <v>0</v>
      </c>
      <c r="AY89" s="409">
        <f t="shared" si="32"/>
        <v>0</v>
      </c>
      <c r="AZ89" s="409">
        <f t="shared" si="32"/>
        <v>0</v>
      </c>
      <c r="BA89" s="409">
        <f t="shared" si="32"/>
        <v>0</v>
      </c>
      <c r="BB89" s="409">
        <f t="shared" si="32"/>
        <v>0</v>
      </c>
      <c r="BC89" s="409">
        <f t="shared" si="32"/>
        <v>0</v>
      </c>
      <c r="BD89" s="409">
        <f t="shared" si="32"/>
        <v>0</v>
      </c>
      <c r="BE89" s="409">
        <f t="shared" si="32"/>
        <v>0</v>
      </c>
      <c r="BF89" s="409">
        <f t="shared" si="32"/>
        <v>0</v>
      </c>
      <c r="BG89" s="409">
        <f t="shared" si="32"/>
        <v>0</v>
      </c>
      <c r="BH89" s="409">
        <f t="shared" si="32"/>
        <v>0</v>
      </c>
      <c r="BI89" s="409">
        <f t="shared" si="32"/>
        <v>0</v>
      </c>
      <c r="BJ89" s="409">
        <f t="shared" si="32"/>
        <v>0</v>
      </c>
      <c r="BK89" s="409">
        <f t="shared" si="32"/>
        <v>0</v>
      </c>
      <c r="BL89" s="409">
        <f t="shared" si="32"/>
        <v>0</v>
      </c>
      <c r="BM89" s="409">
        <f t="shared" si="32"/>
        <v>0</v>
      </c>
      <c r="BN89" s="409">
        <f t="shared" si="32"/>
        <v>0</v>
      </c>
      <c r="BO89" s="409">
        <f t="shared" si="32"/>
        <v>0</v>
      </c>
      <c r="BP89" s="409">
        <f t="shared" si="32"/>
        <v>0</v>
      </c>
      <c r="BQ89" s="409">
        <f t="shared" si="32"/>
        <v>0</v>
      </c>
      <c r="BR89" s="409">
        <f t="shared" si="32"/>
        <v>0</v>
      </c>
      <c r="BS89" s="409">
        <f t="shared" si="32"/>
        <v>0</v>
      </c>
      <c r="BT89" s="409">
        <f t="shared" si="32"/>
        <v>0</v>
      </c>
      <c r="BU89" s="409">
        <f t="shared" si="32"/>
        <v>0</v>
      </c>
      <c r="BV89" s="409">
        <f t="shared" si="32"/>
        <v>0</v>
      </c>
      <c r="BW89" s="409">
        <f t="shared" si="32"/>
        <v>0</v>
      </c>
      <c r="BX89" s="409">
        <f t="shared" si="32"/>
        <v>0</v>
      </c>
      <c r="BY89" s="409">
        <f t="shared" si="32"/>
        <v>0</v>
      </c>
      <c r="BZ89" s="409">
        <f t="shared" si="32"/>
        <v>0</v>
      </c>
      <c r="CA89" s="409">
        <f t="shared" si="32"/>
        <v>0</v>
      </c>
      <c r="CB89" s="409">
        <f t="shared" si="32"/>
        <v>0</v>
      </c>
      <c r="CC89" s="409">
        <f t="shared" si="32"/>
        <v>0</v>
      </c>
      <c r="CD89" s="409">
        <f t="shared" si="32"/>
        <v>0</v>
      </c>
      <c r="CE89" s="409">
        <f t="shared" si="32"/>
        <v>0</v>
      </c>
      <c r="CF89" s="409">
        <f t="shared" si="32"/>
        <v>0</v>
      </c>
      <c r="CG89" s="409">
        <f t="shared" si="32"/>
        <v>0</v>
      </c>
      <c r="CH89" s="409">
        <f t="shared" si="32"/>
        <v>0</v>
      </c>
      <c r="CI89" s="409">
        <f t="shared" si="32"/>
        <v>0</v>
      </c>
      <c r="CJ89" s="409">
        <f t="shared" si="32"/>
        <v>0</v>
      </c>
      <c r="CK89" s="409">
        <f t="shared" si="32"/>
        <v>0</v>
      </c>
      <c r="CL89" s="409">
        <f t="shared" si="32"/>
        <v>0</v>
      </c>
      <c r="CM89" s="409">
        <f t="shared" si="32"/>
        <v>0</v>
      </c>
      <c r="CN89" s="409">
        <f t="shared" si="32"/>
        <v>0</v>
      </c>
      <c r="CO89" s="409">
        <f t="shared" si="32"/>
        <v>0</v>
      </c>
      <c r="CP89" s="409">
        <f t="shared" si="32"/>
        <v>0</v>
      </c>
      <c r="CQ89" s="409">
        <f t="shared" ref="CQ89:CW89" si="33">IF(AND(CQ$3&gt;=$AC$89,CQ$3&lt;($AC$89+$Z$89)),PMT($Y$89/12,$Z$89,-$AB$89),0)</f>
        <v>0</v>
      </c>
      <c r="CR89" s="409">
        <f t="shared" si="33"/>
        <v>0</v>
      </c>
      <c r="CS89" s="409">
        <f t="shared" si="33"/>
        <v>0</v>
      </c>
      <c r="CT89" s="409">
        <f t="shared" si="33"/>
        <v>0</v>
      </c>
      <c r="CU89" s="409">
        <f t="shared" si="33"/>
        <v>0</v>
      </c>
      <c r="CV89" s="409">
        <f t="shared" si="33"/>
        <v>0</v>
      </c>
      <c r="CW89" s="409">
        <f t="shared" si="33"/>
        <v>0</v>
      </c>
    </row>
    <row r="90" spans="1:101">
      <c r="A90" s="290"/>
      <c r="X90" s="145"/>
      <c r="Y90" s="410">
        <f>CapInvest!G36</f>
        <v>0</v>
      </c>
      <c r="Z90" s="145">
        <f>CapInvest!F36</f>
        <v>12</v>
      </c>
      <c r="AA90" s="408">
        <v>13</v>
      </c>
      <c r="AB90" s="409">
        <f>CapInvest!C36</f>
        <v>0</v>
      </c>
      <c r="AC90" s="79">
        <f>IF($AB90=0,1,DATEDIF($K$12,DATEVALUE("01-"&amp;CapInvest!$D36&amp;"-"&amp;CapInvest!$E36),"m")+1)</f>
        <v>1</v>
      </c>
      <c r="AD90" s="409">
        <f>IF(AND(AD$3&gt;=$AC$90,AD$3&lt;($AC$90+$Z$90)),PMT($Y$90/12,$Z$90,-$AB$90),0)</f>
        <v>0</v>
      </c>
      <c r="AE90" s="409">
        <f t="shared" ref="AE90:CP90" si="34">IF(AND(AE$3&gt;=$AC$90,AE$3&lt;($AC$90+$Z$90)),PMT($Y$90/12,$Z$90,-$AB$90),0)</f>
        <v>0</v>
      </c>
      <c r="AF90" s="409">
        <f t="shared" si="34"/>
        <v>0</v>
      </c>
      <c r="AG90" s="409">
        <f t="shared" si="34"/>
        <v>0</v>
      </c>
      <c r="AH90" s="409">
        <f t="shared" si="34"/>
        <v>0</v>
      </c>
      <c r="AI90" s="409">
        <f t="shared" si="34"/>
        <v>0</v>
      </c>
      <c r="AJ90" s="409">
        <f t="shared" si="34"/>
        <v>0</v>
      </c>
      <c r="AK90" s="409">
        <f t="shared" si="34"/>
        <v>0</v>
      </c>
      <c r="AL90" s="409">
        <f t="shared" si="34"/>
        <v>0</v>
      </c>
      <c r="AM90" s="409">
        <f t="shared" si="34"/>
        <v>0</v>
      </c>
      <c r="AN90" s="409">
        <f t="shared" si="34"/>
        <v>0</v>
      </c>
      <c r="AO90" s="409">
        <f t="shared" si="34"/>
        <v>0</v>
      </c>
      <c r="AP90" s="409">
        <f t="shared" si="34"/>
        <v>0</v>
      </c>
      <c r="AQ90" s="409">
        <f t="shared" si="34"/>
        <v>0</v>
      </c>
      <c r="AR90" s="409">
        <f t="shared" si="34"/>
        <v>0</v>
      </c>
      <c r="AS90" s="409">
        <f t="shared" si="34"/>
        <v>0</v>
      </c>
      <c r="AT90" s="409">
        <f t="shared" si="34"/>
        <v>0</v>
      </c>
      <c r="AU90" s="409">
        <f t="shared" si="34"/>
        <v>0</v>
      </c>
      <c r="AV90" s="409">
        <f t="shared" si="34"/>
        <v>0</v>
      </c>
      <c r="AW90" s="409">
        <f t="shared" si="34"/>
        <v>0</v>
      </c>
      <c r="AX90" s="409">
        <f t="shared" si="34"/>
        <v>0</v>
      </c>
      <c r="AY90" s="409">
        <f t="shared" si="34"/>
        <v>0</v>
      </c>
      <c r="AZ90" s="409">
        <f t="shared" si="34"/>
        <v>0</v>
      </c>
      <c r="BA90" s="409">
        <f t="shared" si="34"/>
        <v>0</v>
      </c>
      <c r="BB90" s="409">
        <f t="shared" si="34"/>
        <v>0</v>
      </c>
      <c r="BC90" s="409">
        <f t="shared" si="34"/>
        <v>0</v>
      </c>
      <c r="BD90" s="409">
        <f t="shared" si="34"/>
        <v>0</v>
      </c>
      <c r="BE90" s="409">
        <f t="shared" si="34"/>
        <v>0</v>
      </c>
      <c r="BF90" s="409">
        <f t="shared" si="34"/>
        <v>0</v>
      </c>
      <c r="BG90" s="409">
        <f t="shared" si="34"/>
        <v>0</v>
      </c>
      <c r="BH90" s="409">
        <f t="shared" si="34"/>
        <v>0</v>
      </c>
      <c r="BI90" s="409">
        <f t="shared" si="34"/>
        <v>0</v>
      </c>
      <c r="BJ90" s="409">
        <f t="shared" si="34"/>
        <v>0</v>
      </c>
      <c r="BK90" s="409">
        <f t="shared" si="34"/>
        <v>0</v>
      </c>
      <c r="BL90" s="409">
        <f t="shared" si="34"/>
        <v>0</v>
      </c>
      <c r="BM90" s="409">
        <f t="shared" si="34"/>
        <v>0</v>
      </c>
      <c r="BN90" s="409">
        <f t="shared" si="34"/>
        <v>0</v>
      </c>
      <c r="BO90" s="409">
        <f t="shared" si="34"/>
        <v>0</v>
      </c>
      <c r="BP90" s="409">
        <f t="shared" si="34"/>
        <v>0</v>
      </c>
      <c r="BQ90" s="409">
        <f t="shared" si="34"/>
        <v>0</v>
      </c>
      <c r="BR90" s="409">
        <f t="shared" si="34"/>
        <v>0</v>
      </c>
      <c r="BS90" s="409">
        <f t="shared" si="34"/>
        <v>0</v>
      </c>
      <c r="BT90" s="409">
        <f t="shared" si="34"/>
        <v>0</v>
      </c>
      <c r="BU90" s="409">
        <f t="shared" si="34"/>
        <v>0</v>
      </c>
      <c r="BV90" s="409">
        <f t="shared" si="34"/>
        <v>0</v>
      </c>
      <c r="BW90" s="409">
        <f t="shared" si="34"/>
        <v>0</v>
      </c>
      <c r="BX90" s="409">
        <f t="shared" si="34"/>
        <v>0</v>
      </c>
      <c r="BY90" s="409">
        <f t="shared" si="34"/>
        <v>0</v>
      </c>
      <c r="BZ90" s="409">
        <f t="shared" si="34"/>
        <v>0</v>
      </c>
      <c r="CA90" s="409">
        <f t="shared" si="34"/>
        <v>0</v>
      </c>
      <c r="CB90" s="409">
        <f t="shared" si="34"/>
        <v>0</v>
      </c>
      <c r="CC90" s="409">
        <f t="shared" si="34"/>
        <v>0</v>
      </c>
      <c r="CD90" s="409">
        <f t="shared" si="34"/>
        <v>0</v>
      </c>
      <c r="CE90" s="409">
        <f t="shared" si="34"/>
        <v>0</v>
      </c>
      <c r="CF90" s="409">
        <f t="shared" si="34"/>
        <v>0</v>
      </c>
      <c r="CG90" s="409">
        <f t="shared" si="34"/>
        <v>0</v>
      </c>
      <c r="CH90" s="409">
        <f t="shared" si="34"/>
        <v>0</v>
      </c>
      <c r="CI90" s="409">
        <f t="shared" si="34"/>
        <v>0</v>
      </c>
      <c r="CJ90" s="409">
        <f t="shared" si="34"/>
        <v>0</v>
      </c>
      <c r="CK90" s="409">
        <f t="shared" si="34"/>
        <v>0</v>
      </c>
      <c r="CL90" s="409">
        <f t="shared" si="34"/>
        <v>0</v>
      </c>
      <c r="CM90" s="409">
        <f t="shared" si="34"/>
        <v>0</v>
      </c>
      <c r="CN90" s="409">
        <f t="shared" si="34"/>
        <v>0</v>
      </c>
      <c r="CO90" s="409">
        <f t="shared" si="34"/>
        <v>0</v>
      </c>
      <c r="CP90" s="409">
        <f t="shared" si="34"/>
        <v>0</v>
      </c>
      <c r="CQ90" s="409">
        <f t="shared" ref="CQ90:CW90" si="35">IF(AND(CQ$3&gt;=$AC$90,CQ$3&lt;($AC$90+$Z$90)),PMT($Y$90/12,$Z$90,-$AB$90),0)</f>
        <v>0</v>
      </c>
      <c r="CR90" s="409">
        <f t="shared" si="35"/>
        <v>0</v>
      </c>
      <c r="CS90" s="409">
        <f t="shared" si="35"/>
        <v>0</v>
      </c>
      <c r="CT90" s="409">
        <f t="shared" si="35"/>
        <v>0</v>
      </c>
      <c r="CU90" s="409">
        <f t="shared" si="35"/>
        <v>0</v>
      </c>
      <c r="CV90" s="409">
        <f t="shared" si="35"/>
        <v>0</v>
      </c>
      <c r="CW90" s="409">
        <f t="shared" si="35"/>
        <v>0</v>
      </c>
    </row>
    <row r="91" spans="1:101">
      <c r="A91" s="290"/>
      <c r="X91" s="145"/>
      <c r="Y91" s="410">
        <f>CapInvest!G37</f>
        <v>0</v>
      </c>
      <c r="Z91" s="145">
        <f>CapInvest!F37</f>
        <v>12</v>
      </c>
      <c r="AA91" s="408">
        <v>14</v>
      </c>
      <c r="AB91" s="409">
        <f>CapInvest!C37</f>
        <v>0</v>
      </c>
      <c r="AC91" s="79">
        <f>IF($AB91=0,1,DATEDIF($K$12,DATEVALUE("01-"&amp;CapInvest!$D37&amp;"-"&amp;CapInvest!$E37),"m")+1)</f>
        <v>1</v>
      </c>
      <c r="AD91" s="409">
        <f>IF(AND(AD$3&gt;=$AC$91,AD$3&lt;($AC$91+$Z$91)),PMT($Y$91/12,$Z$91,-$AB$91),0)</f>
        <v>0</v>
      </c>
      <c r="AE91" s="409">
        <f t="shared" ref="AE91:CP91" si="36">IF(AND(AE$3&gt;=$AC$91,AE$3&lt;($AC$91+$Z$91)),PMT($Y$91/12,$Z$91,-$AB$91),0)</f>
        <v>0</v>
      </c>
      <c r="AF91" s="409">
        <f t="shared" si="36"/>
        <v>0</v>
      </c>
      <c r="AG91" s="409">
        <f t="shared" si="36"/>
        <v>0</v>
      </c>
      <c r="AH91" s="409">
        <f t="shared" si="36"/>
        <v>0</v>
      </c>
      <c r="AI91" s="409">
        <f t="shared" si="36"/>
        <v>0</v>
      </c>
      <c r="AJ91" s="409">
        <f t="shared" si="36"/>
        <v>0</v>
      </c>
      <c r="AK91" s="409">
        <f t="shared" si="36"/>
        <v>0</v>
      </c>
      <c r="AL91" s="409">
        <f t="shared" si="36"/>
        <v>0</v>
      </c>
      <c r="AM91" s="409">
        <f t="shared" si="36"/>
        <v>0</v>
      </c>
      <c r="AN91" s="409">
        <f t="shared" si="36"/>
        <v>0</v>
      </c>
      <c r="AO91" s="409">
        <f t="shared" si="36"/>
        <v>0</v>
      </c>
      <c r="AP91" s="409">
        <f t="shared" si="36"/>
        <v>0</v>
      </c>
      <c r="AQ91" s="409">
        <f t="shared" si="36"/>
        <v>0</v>
      </c>
      <c r="AR91" s="409">
        <f t="shared" si="36"/>
        <v>0</v>
      </c>
      <c r="AS91" s="409">
        <f t="shared" si="36"/>
        <v>0</v>
      </c>
      <c r="AT91" s="409">
        <f t="shared" si="36"/>
        <v>0</v>
      </c>
      <c r="AU91" s="409">
        <f t="shared" si="36"/>
        <v>0</v>
      </c>
      <c r="AV91" s="409">
        <f t="shared" si="36"/>
        <v>0</v>
      </c>
      <c r="AW91" s="409">
        <f t="shared" si="36"/>
        <v>0</v>
      </c>
      <c r="AX91" s="409">
        <f t="shared" si="36"/>
        <v>0</v>
      </c>
      <c r="AY91" s="409">
        <f t="shared" si="36"/>
        <v>0</v>
      </c>
      <c r="AZ91" s="409">
        <f t="shared" si="36"/>
        <v>0</v>
      </c>
      <c r="BA91" s="409">
        <f t="shared" si="36"/>
        <v>0</v>
      </c>
      <c r="BB91" s="409">
        <f t="shared" si="36"/>
        <v>0</v>
      </c>
      <c r="BC91" s="409">
        <f t="shared" si="36"/>
        <v>0</v>
      </c>
      <c r="BD91" s="409">
        <f t="shared" si="36"/>
        <v>0</v>
      </c>
      <c r="BE91" s="409">
        <f t="shared" si="36"/>
        <v>0</v>
      </c>
      <c r="BF91" s="409">
        <f t="shared" si="36"/>
        <v>0</v>
      </c>
      <c r="BG91" s="409">
        <f t="shared" si="36"/>
        <v>0</v>
      </c>
      <c r="BH91" s="409">
        <f t="shared" si="36"/>
        <v>0</v>
      </c>
      <c r="BI91" s="409">
        <f t="shared" si="36"/>
        <v>0</v>
      </c>
      <c r="BJ91" s="409">
        <f t="shared" si="36"/>
        <v>0</v>
      </c>
      <c r="BK91" s="409">
        <f t="shared" si="36"/>
        <v>0</v>
      </c>
      <c r="BL91" s="409">
        <f t="shared" si="36"/>
        <v>0</v>
      </c>
      <c r="BM91" s="409">
        <f t="shared" si="36"/>
        <v>0</v>
      </c>
      <c r="BN91" s="409">
        <f t="shared" si="36"/>
        <v>0</v>
      </c>
      <c r="BO91" s="409">
        <f t="shared" si="36"/>
        <v>0</v>
      </c>
      <c r="BP91" s="409">
        <f t="shared" si="36"/>
        <v>0</v>
      </c>
      <c r="BQ91" s="409">
        <f t="shared" si="36"/>
        <v>0</v>
      </c>
      <c r="BR91" s="409">
        <f t="shared" si="36"/>
        <v>0</v>
      </c>
      <c r="BS91" s="409">
        <f t="shared" si="36"/>
        <v>0</v>
      </c>
      <c r="BT91" s="409">
        <f t="shared" si="36"/>
        <v>0</v>
      </c>
      <c r="BU91" s="409">
        <f t="shared" si="36"/>
        <v>0</v>
      </c>
      <c r="BV91" s="409">
        <f t="shared" si="36"/>
        <v>0</v>
      </c>
      <c r="BW91" s="409">
        <f t="shared" si="36"/>
        <v>0</v>
      </c>
      <c r="BX91" s="409">
        <f t="shared" si="36"/>
        <v>0</v>
      </c>
      <c r="BY91" s="409">
        <f t="shared" si="36"/>
        <v>0</v>
      </c>
      <c r="BZ91" s="409">
        <f t="shared" si="36"/>
        <v>0</v>
      </c>
      <c r="CA91" s="409">
        <f t="shared" si="36"/>
        <v>0</v>
      </c>
      <c r="CB91" s="409">
        <f t="shared" si="36"/>
        <v>0</v>
      </c>
      <c r="CC91" s="409">
        <f t="shared" si="36"/>
        <v>0</v>
      </c>
      <c r="CD91" s="409">
        <f t="shared" si="36"/>
        <v>0</v>
      </c>
      <c r="CE91" s="409">
        <f t="shared" si="36"/>
        <v>0</v>
      </c>
      <c r="CF91" s="409">
        <f t="shared" si="36"/>
        <v>0</v>
      </c>
      <c r="CG91" s="409">
        <f t="shared" si="36"/>
        <v>0</v>
      </c>
      <c r="CH91" s="409">
        <f t="shared" si="36"/>
        <v>0</v>
      </c>
      <c r="CI91" s="409">
        <f t="shared" si="36"/>
        <v>0</v>
      </c>
      <c r="CJ91" s="409">
        <f t="shared" si="36"/>
        <v>0</v>
      </c>
      <c r="CK91" s="409">
        <f t="shared" si="36"/>
        <v>0</v>
      </c>
      <c r="CL91" s="409">
        <f t="shared" si="36"/>
        <v>0</v>
      </c>
      <c r="CM91" s="409">
        <f t="shared" si="36"/>
        <v>0</v>
      </c>
      <c r="CN91" s="409">
        <f t="shared" si="36"/>
        <v>0</v>
      </c>
      <c r="CO91" s="409">
        <f t="shared" si="36"/>
        <v>0</v>
      </c>
      <c r="CP91" s="409">
        <f t="shared" si="36"/>
        <v>0</v>
      </c>
      <c r="CQ91" s="409">
        <f t="shared" ref="CQ91:CW91" si="37">IF(AND(CQ$3&gt;=$AC$91,CQ$3&lt;($AC$91+$Z$91)),PMT($Y$91/12,$Z$91,-$AB$91),0)</f>
        <v>0</v>
      </c>
      <c r="CR91" s="409">
        <f t="shared" si="37"/>
        <v>0</v>
      </c>
      <c r="CS91" s="409">
        <f t="shared" si="37"/>
        <v>0</v>
      </c>
      <c r="CT91" s="409">
        <f t="shared" si="37"/>
        <v>0</v>
      </c>
      <c r="CU91" s="409">
        <f t="shared" si="37"/>
        <v>0</v>
      </c>
      <c r="CV91" s="409">
        <f t="shared" si="37"/>
        <v>0</v>
      </c>
      <c r="CW91" s="409">
        <f t="shared" si="37"/>
        <v>0</v>
      </c>
    </row>
    <row r="92" spans="1:101">
      <c r="A92" s="290"/>
      <c r="X92" s="145"/>
      <c r="Y92" s="410">
        <f>CapInvest!G38</f>
        <v>0</v>
      </c>
      <c r="Z92" s="145">
        <f>CapInvest!F38</f>
        <v>12</v>
      </c>
      <c r="AA92" s="408">
        <v>15</v>
      </c>
      <c r="AB92" s="409">
        <f>CapInvest!C38</f>
        <v>0</v>
      </c>
      <c r="AC92" s="79">
        <f>IF($AB92=0,1,DATEDIF($K$12,DATEVALUE("01-"&amp;CapInvest!$D38&amp;"-"&amp;CapInvest!$E38),"m")+1)</f>
        <v>1</v>
      </c>
      <c r="AD92" s="409">
        <f>IF(AND(AD$3&gt;=$AC$92,AD$3&lt;($AC$92+$Z$92)),PMT($Y$92/12,$Z$92,-$AB$92),0)</f>
        <v>0</v>
      </c>
      <c r="AE92" s="409">
        <f t="shared" ref="AE92:CP92" si="38">IF(AND(AE$3&gt;=$AC$92,AE$3&lt;($AC$92+$Z$92)),PMT($Y$92/12,$Z$92,-$AB$92),0)</f>
        <v>0</v>
      </c>
      <c r="AF92" s="409">
        <f t="shared" si="38"/>
        <v>0</v>
      </c>
      <c r="AG92" s="409">
        <f t="shared" si="38"/>
        <v>0</v>
      </c>
      <c r="AH92" s="409">
        <f t="shared" si="38"/>
        <v>0</v>
      </c>
      <c r="AI92" s="409">
        <f t="shared" si="38"/>
        <v>0</v>
      </c>
      <c r="AJ92" s="409">
        <f t="shared" si="38"/>
        <v>0</v>
      </c>
      <c r="AK92" s="409">
        <f t="shared" si="38"/>
        <v>0</v>
      </c>
      <c r="AL92" s="409">
        <f t="shared" si="38"/>
        <v>0</v>
      </c>
      <c r="AM92" s="409">
        <f t="shared" si="38"/>
        <v>0</v>
      </c>
      <c r="AN92" s="409">
        <f t="shared" si="38"/>
        <v>0</v>
      </c>
      <c r="AO92" s="409">
        <f t="shared" si="38"/>
        <v>0</v>
      </c>
      <c r="AP92" s="409">
        <f t="shared" si="38"/>
        <v>0</v>
      </c>
      <c r="AQ92" s="409">
        <f t="shared" si="38"/>
        <v>0</v>
      </c>
      <c r="AR92" s="409">
        <f t="shared" si="38"/>
        <v>0</v>
      </c>
      <c r="AS92" s="409">
        <f t="shared" si="38"/>
        <v>0</v>
      </c>
      <c r="AT92" s="409">
        <f t="shared" si="38"/>
        <v>0</v>
      </c>
      <c r="AU92" s="409">
        <f t="shared" si="38"/>
        <v>0</v>
      </c>
      <c r="AV92" s="409">
        <f t="shared" si="38"/>
        <v>0</v>
      </c>
      <c r="AW92" s="409">
        <f t="shared" si="38"/>
        <v>0</v>
      </c>
      <c r="AX92" s="409">
        <f t="shared" si="38"/>
        <v>0</v>
      </c>
      <c r="AY92" s="409">
        <f t="shared" si="38"/>
        <v>0</v>
      </c>
      <c r="AZ92" s="409">
        <f t="shared" si="38"/>
        <v>0</v>
      </c>
      <c r="BA92" s="409">
        <f t="shared" si="38"/>
        <v>0</v>
      </c>
      <c r="BB92" s="409">
        <f t="shared" si="38"/>
        <v>0</v>
      </c>
      <c r="BC92" s="409">
        <f t="shared" si="38"/>
        <v>0</v>
      </c>
      <c r="BD92" s="409">
        <f t="shared" si="38"/>
        <v>0</v>
      </c>
      <c r="BE92" s="409">
        <f t="shared" si="38"/>
        <v>0</v>
      </c>
      <c r="BF92" s="409">
        <f t="shared" si="38"/>
        <v>0</v>
      </c>
      <c r="BG92" s="409">
        <f t="shared" si="38"/>
        <v>0</v>
      </c>
      <c r="BH92" s="409">
        <f t="shared" si="38"/>
        <v>0</v>
      </c>
      <c r="BI92" s="409">
        <f t="shared" si="38"/>
        <v>0</v>
      </c>
      <c r="BJ92" s="409">
        <f t="shared" si="38"/>
        <v>0</v>
      </c>
      <c r="BK92" s="409">
        <f t="shared" si="38"/>
        <v>0</v>
      </c>
      <c r="BL92" s="409">
        <f t="shared" si="38"/>
        <v>0</v>
      </c>
      <c r="BM92" s="409">
        <f t="shared" si="38"/>
        <v>0</v>
      </c>
      <c r="BN92" s="409">
        <f t="shared" si="38"/>
        <v>0</v>
      </c>
      <c r="BO92" s="409">
        <f t="shared" si="38"/>
        <v>0</v>
      </c>
      <c r="BP92" s="409">
        <f t="shared" si="38"/>
        <v>0</v>
      </c>
      <c r="BQ92" s="409">
        <f t="shared" si="38"/>
        <v>0</v>
      </c>
      <c r="BR92" s="409">
        <f t="shared" si="38"/>
        <v>0</v>
      </c>
      <c r="BS92" s="409">
        <f t="shared" si="38"/>
        <v>0</v>
      </c>
      <c r="BT92" s="409">
        <f t="shared" si="38"/>
        <v>0</v>
      </c>
      <c r="BU92" s="409">
        <f t="shared" si="38"/>
        <v>0</v>
      </c>
      <c r="BV92" s="409">
        <f t="shared" si="38"/>
        <v>0</v>
      </c>
      <c r="BW92" s="409">
        <f t="shared" si="38"/>
        <v>0</v>
      </c>
      <c r="BX92" s="409">
        <f t="shared" si="38"/>
        <v>0</v>
      </c>
      <c r="BY92" s="409">
        <f t="shared" si="38"/>
        <v>0</v>
      </c>
      <c r="BZ92" s="409">
        <f t="shared" si="38"/>
        <v>0</v>
      </c>
      <c r="CA92" s="409">
        <f t="shared" si="38"/>
        <v>0</v>
      </c>
      <c r="CB92" s="409">
        <f t="shared" si="38"/>
        <v>0</v>
      </c>
      <c r="CC92" s="409">
        <f t="shared" si="38"/>
        <v>0</v>
      </c>
      <c r="CD92" s="409">
        <f t="shared" si="38"/>
        <v>0</v>
      </c>
      <c r="CE92" s="409">
        <f t="shared" si="38"/>
        <v>0</v>
      </c>
      <c r="CF92" s="409">
        <f t="shared" si="38"/>
        <v>0</v>
      </c>
      <c r="CG92" s="409">
        <f t="shared" si="38"/>
        <v>0</v>
      </c>
      <c r="CH92" s="409">
        <f t="shared" si="38"/>
        <v>0</v>
      </c>
      <c r="CI92" s="409">
        <f t="shared" si="38"/>
        <v>0</v>
      </c>
      <c r="CJ92" s="409">
        <f t="shared" si="38"/>
        <v>0</v>
      </c>
      <c r="CK92" s="409">
        <f t="shared" si="38"/>
        <v>0</v>
      </c>
      <c r="CL92" s="409">
        <f t="shared" si="38"/>
        <v>0</v>
      </c>
      <c r="CM92" s="409">
        <f t="shared" si="38"/>
        <v>0</v>
      </c>
      <c r="CN92" s="409">
        <f t="shared" si="38"/>
        <v>0</v>
      </c>
      <c r="CO92" s="409">
        <f t="shared" si="38"/>
        <v>0</v>
      </c>
      <c r="CP92" s="409">
        <f t="shared" si="38"/>
        <v>0</v>
      </c>
      <c r="CQ92" s="409">
        <f t="shared" ref="CQ92:CW92" si="39">IF(AND(CQ$3&gt;=$AC$92,CQ$3&lt;($AC$92+$Z$92)),PMT($Y$92/12,$Z$92,-$AB$92),0)</f>
        <v>0</v>
      </c>
      <c r="CR92" s="409">
        <f t="shared" si="39"/>
        <v>0</v>
      </c>
      <c r="CS92" s="409">
        <f t="shared" si="39"/>
        <v>0</v>
      </c>
      <c r="CT92" s="409">
        <f t="shared" si="39"/>
        <v>0</v>
      </c>
      <c r="CU92" s="409">
        <f t="shared" si="39"/>
        <v>0</v>
      </c>
      <c r="CV92" s="409">
        <f t="shared" si="39"/>
        <v>0</v>
      </c>
      <c r="CW92" s="409">
        <f t="shared" si="39"/>
        <v>0</v>
      </c>
    </row>
    <row r="93" spans="1:101">
      <c r="A93" s="289"/>
      <c r="X93" s="145"/>
      <c r="Y93" s="410">
        <f>CapInvest!G39</f>
        <v>0</v>
      </c>
      <c r="Z93" s="145">
        <f>CapInvest!F39</f>
        <v>12</v>
      </c>
      <c r="AA93" s="408">
        <v>16</v>
      </c>
      <c r="AB93" s="409">
        <f>CapInvest!C39</f>
        <v>0</v>
      </c>
      <c r="AC93" s="79">
        <f>IF($AB93=0,1,DATEDIF($K$12,DATEVALUE("01-"&amp;CapInvest!$D39&amp;"-"&amp;CapInvest!$E39),"m")+1)</f>
        <v>1</v>
      </c>
      <c r="AD93" s="409">
        <f>IF(AND(AD$3&gt;=$AC$93,AD$3&lt;($AC$93+$Z$93)),PMT($Y$93/12,$Z$93,-$AB$93),0)</f>
        <v>0</v>
      </c>
      <c r="AE93" s="409">
        <f t="shared" ref="AE93:CP93" si="40">IF(AND(AE$3&gt;=$AC$93,AE$3&lt;($AC$93+$Z$93)),PMT($Y$93/12,$Z$93,-$AB$93),0)</f>
        <v>0</v>
      </c>
      <c r="AF93" s="409">
        <f t="shared" si="40"/>
        <v>0</v>
      </c>
      <c r="AG93" s="409">
        <f t="shared" si="40"/>
        <v>0</v>
      </c>
      <c r="AH93" s="409">
        <f t="shared" si="40"/>
        <v>0</v>
      </c>
      <c r="AI93" s="409">
        <f t="shared" si="40"/>
        <v>0</v>
      </c>
      <c r="AJ93" s="409">
        <f t="shared" si="40"/>
        <v>0</v>
      </c>
      <c r="AK93" s="409">
        <f t="shared" si="40"/>
        <v>0</v>
      </c>
      <c r="AL93" s="409">
        <f t="shared" si="40"/>
        <v>0</v>
      </c>
      <c r="AM93" s="409">
        <f t="shared" si="40"/>
        <v>0</v>
      </c>
      <c r="AN93" s="409">
        <f t="shared" si="40"/>
        <v>0</v>
      </c>
      <c r="AO93" s="409">
        <f t="shared" si="40"/>
        <v>0</v>
      </c>
      <c r="AP93" s="409">
        <f t="shared" si="40"/>
        <v>0</v>
      </c>
      <c r="AQ93" s="409">
        <f t="shared" si="40"/>
        <v>0</v>
      </c>
      <c r="AR93" s="409">
        <f t="shared" si="40"/>
        <v>0</v>
      </c>
      <c r="AS93" s="409">
        <f t="shared" si="40"/>
        <v>0</v>
      </c>
      <c r="AT93" s="409">
        <f t="shared" si="40"/>
        <v>0</v>
      </c>
      <c r="AU93" s="409">
        <f t="shared" si="40"/>
        <v>0</v>
      </c>
      <c r="AV93" s="409">
        <f t="shared" si="40"/>
        <v>0</v>
      </c>
      <c r="AW93" s="409">
        <f t="shared" si="40"/>
        <v>0</v>
      </c>
      <c r="AX93" s="409">
        <f t="shared" si="40"/>
        <v>0</v>
      </c>
      <c r="AY93" s="409">
        <f t="shared" si="40"/>
        <v>0</v>
      </c>
      <c r="AZ93" s="409">
        <f t="shared" si="40"/>
        <v>0</v>
      </c>
      <c r="BA93" s="409">
        <f t="shared" si="40"/>
        <v>0</v>
      </c>
      <c r="BB93" s="409">
        <f t="shared" si="40"/>
        <v>0</v>
      </c>
      <c r="BC93" s="409">
        <f t="shared" si="40"/>
        <v>0</v>
      </c>
      <c r="BD93" s="409">
        <f t="shared" si="40"/>
        <v>0</v>
      </c>
      <c r="BE93" s="409">
        <f t="shared" si="40"/>
        <v>0</v>
      </c>
      <c r="BF93" s="409">
        <f t="shared" si="40"/>
        <v>0</v>
      </c>
      <c r="BG93" s="409">
        <f t="shared" si="40"/>
        <v>0</v>
      </c>
      <c r="BH93" s="409">
        <f t="shared" si="40"/>
        <v>0</v>
      </c>
      <c r="BI93" s="409">
        <f t="shared" si="40"/>
        <v>0</v>
      </c>
      <c r="BJ93" s="409">
        <f t="shared" si="40"/>
        <v>0</v>
      </c>
      <c r="BK93" s="409">
        <f t="shared" si="40"/>
        <v>0</v>
      </c>
      <c r="BL93" s="409">
        <f t="shared" si="40"/>
        <v>0</v>
      </c>
      <c r="BM93" s="409">
        <f t="shared" si="40"/>
        <v>0</v>
      </c>
      <c r="BN93" s="409">
        <f t="shared" si="40"/>
        <v>0</v>
      </c>
      <c r="BO93" s="409">
        <f t="shared" si="40"/>
        <v>0</v>
      </c>
      <c r="BP93" s="409">
        <f t="shared" si="40"/>
        <v>0</v>
      </c>
      <c r="BQ93" s="409">
        <f t="shared" si="40"/>
        <v>0</v>
      </c>
      <c r="BR93" s="409">
        <f t="shared" si="40"/>
        <v>0</v>
      </c>
      <c r="BS93" s="409">
        <f t="shared" si="40"/>
        <v>0</v>
      </c>
      <c r="BT93" s="409">
        <f t="shared" si="40"/>
        <v>0</v>
      </c>
      <c r="BU93" s="409">
        <f t="shared" si="40"/>
        <v>0</v>
      </c>
      <c r="BV93" s="409">
        <f t="shared" si="40"/>
        <v>0</v>
      </c>
      <c r="BW93" s="409">
        <f t="shared" si="40"/>
        <v>0</v>
      </c>
      <c r="BX93" s="409">
        <f t="shared" si="40"/>
        <v>0</v>
      </c>
      <c r="BY93" s="409">
        <f t="shared" si="40"/>
        <v>0</v>
      </c>
      <c r="BZ93" s="409">
        <f t="shared" si="40"/>
        <v>0</v>
      </c>
      <c r="CA93" s="409">
        <f t="shared" si="40"/>
        <v>0</v>
      </c>
      <c r="CB93" s="409">
        <f t="shared" si="40"/>
        <v>0</v>
      </c>
      <c r="CC93" s="409">
        <f t="shared" si="40"/>
        <v>0</v>
      </c>
      <c r="CD93" s="409">
        <f t="shared" si="40"/>
        <v>0</v>
      </c>
      <c r="CE93" s="409">
        <f t="shared" si="40"/>
        <v>0</v>
      </c>
      <c r="CF93" s="409">
        <f t="shared" si="40"/>
        <v>0</v>
      </c>
      <c r="CG93" s="409">
        <f t="shared" si="40"/>
        <v>0</v>
      </c>
      <c r="CH93" s="409">
        <f t="shared" si="40"/>
        <v>0</v>
      </c>
      <c r="CI93" s="409">
        <f t="shared" si="40"/>
        <v>0</v>
      </c>
      <c r="CJ93" s="409">
        <f t="shared" si="40"/>
        <v>0</v>
      </c>
      <c r="CK93" s="409">
        <f t="shared" si="40"/>
        <v>0</v>
      </c>
      <c r="CL93" s="409">
        <f t="shared" si="40"/>
        <v>0</v>
      </c>
      <c r="CM93" s="409">
        <f t="shared" si="40"/>
        <v>0</v>
      </c>
      <c r="CN93" s="409">
        <f t="shared" si="40"/>
        <v>0</v>
      </c>
      <c r="CO93" s="409">
        <f t="shared" si="40"/>
        <v>0</v>
      </c>
      <c r="CP93" s="409">
        <f t="shared" si="40"/>
        <v>0</v>
      </c>
      <c r="CQ93" s="409">
        <f t="shared" ref="CQ93:CW93" si="41">IF(AND(CQ$3&gt;=$AC$93,CQ$3&lt;($AC$93+$Z$93)),PMT($Y$93/12,$Z$93,-$AB$93),0)</f>
        <v>0</v>
      </c>
      <c r="CR93" s="409">
        <f t="shared" si="41"/>
        <v>0</v>
      </c>
      <c r="CS93" s="409">
        <f t="shared" si="41"/>
        <v>0</v>
      </c>
      <c r="CT93" s="409">
        <f t="shared" si="41"/>
        <v>0</v>
      </c>
      <c r="CU93" s="409">
        <f t="shared" si="41"/>
        <v>0</v>
      </c>
      <c r="CV93" s="409">
        <f t="shared" si="41"/>
        <v>0</v>
      </c>
      <c r="CW93" s="409">
        <f t="shared" si="41"/>
        <v>0</v>
      </c>
    </row>
    <row r="94" spans="1:101">
      <c r="A94" s="289"/>
      <c r="X94" s="145"/>
      <c r="Y94" s="410">
        <f>CapInvest!G40</f>
        <v>0</v>
      </c>
      <c r="Z94" s="145">
        <f>CapInvest!F40</f>
        <v>12</v>
      </c>
      <c r="AA94" s="408">
        <v>17</v>
      </c>
      <c r="AB94" s="409">
        <f>CapInvest!C40</f>
        <v>0</v>
      </c>
      <c r="AC94" s="79">
        <f>IF($AB94=0,1,DATEDIF($K$12,DATEVALUE("01-"&amp;CapInvest!$D40&amp;"-"&amp;CapInvest!$E40),"m")+1)</f>
        <v>1</v>
      </c>
      <c r="AD94" s="409">
        <f>IF(AND(AD$3&gt;=$AC$94,AD$3&lt;($AC$94+$Z$94)),PMT($Y$94/12,$Z$94,-$AB$94),0)</f>
        <v>0</v>
      </c>
      <c r="AE94" s="409">
        <f t="shared" ref="AE94:CP94" si="42">IF(AND(AE$3&gt;=$AC$94,AE$3&lt;($AC$94+$Z$94)),PMT($Y$94/12,$Z$94,-$AB$94),0)</f>
        <v>0</v>
      </c>
      <c r="AF94" s="409">
        <f t="shared" si="42"/>
        <v>0</v>
      </c>
      <c r="AG94" s="409">
        <f t="shared" si="42"/>
        <v>0</v>
      </c>
      <c r="AH94" s="409">
        <f t="shared" si="42"/>
        <v>0</v>
      </c>
      <c r="AI94" s="409">
        <f t="shared" si="42"/>
        <v>0</v>
      </c>
      <c r="AJ94" s="409">
        <f t="shared" si="42"/>
        <v>0</v>
      </c>
      <c r="AK94" s="409">
        <f t="shared" si="42"/>
        <v>0</v>
      </c>
      <c r="AL94" s="409">
        <f t="shared" si="42"/>
        <v>0</v>
      </c>
      <c r="AM94" s="409">
        <f t="shared" si="42"/>
        <v>0</v>
      </c>
      <c r="AN94" s="409">
        <f t="shared" si="42"/>
        <v>0</v>
      </c>
      <c r="AO94" s="409">
        <f t="shared" si="42"/>
        <v>0</v>
      </c>
      <c r="AP94" s="409">
        <f t="shared" si="42"/>
        <v>0</v>
      </c>
      <c r="AQ94" s="409">
        <f t="shared" si="42"/>
        <v>0</v>
      </c>
      <c r="AR94" s="409">
        <f t="shared" si="42"/>
        <v>0</v>
      </c>
      <c r="AS94" s="409">
        <f t="shared" si="42"/>
        <v>0</v>
      </c>
      <c r="AT94" s="409">
        <f t="shared" si="42"/>
        <v>0</v>
      </c>
      <c r="AU94" s="409">
        <f t="shared" si="42"/>
        <v>0</v>
      </c>
      <c r="AV94" s="409">
        <f t="shared" si="42"/>
        <v>0</v>
      </c>
      <c r="AW94" s="409">
        <f t="shared" si="42"/>
        <v>0</v>
      </c>
      <c r="AX94" s="409">
        <f t="shared" si="42"/>
        <v>0</v>
      </c>
      <c r="AY94" s="409">
        <f t="shared" si="42"/>
        <v>0</v>
      </c>
      <c r="AZ94" s="409">
        <f t="shared" si="42"/>
        <v>0</v>
      </c>
      <c r="BA94" s="409">
        <f t="shared" si="42"/>
        <v>0</v>
      </c>
      <c r="BB94" s="409">
        <f t="shared" si="42"/>
        <v>0</v>
      </c>
      <c r="BC94" s="409">
        <f t="shared" si="42"/>
        <v>0</v>
      </c>
      <c r="BD94" s="409">
        <f t="shared" si="42"/>
        <v>0</v>
      </c>
      <c r="BE94" s="409">
        <f t="shared" si="42"/>
        <v>0</v>
      </c>
      <c r="BF94" s="409">
        <f t="shared" si="42"/>
        <v>0</v>
      </c>
      <c r="BG94" s="409">
        <f t="shared" si="42"/>
        <v>0</v>
      </c>
      <c r="BH94" s="409">
        <f t="shared" si="42"/>
        <v>0</v>
      </c>
      <c r="BI94" s="409">
        <f t="shared" si="42"/>
        <v>0</v>
      </c>
      <c r="BJ94" s="409">
        <f t="shared" si="42"/>
        <v>0</v>
      </c>
      <c r="BK94" s="409">
        <f t="shared" si="42"/>
        <v>0</v>
      </c>
      <c r="BL94" s="409">
        <f t="shared" si="42"/>
        <v>0</v>
      </c>
      <c r="BM94" s="409">
        <f t="shared" si="42"/>
        <v>0</v>
      </c>
      <c r="BN94" s="409">
        <f t="shared" si="42"/>
        <v>0</v>
      </c>
      <c r="BO94" s="409">
        <f t="shared" si="42"/>
        <v>0</v>
      </c>
      <c r="BP94" s="409">
        <f t="shared" si="42"/>
        <v>0</v>
      </c>
      <c r="BQ94" s="409">
        <f t="shared" si="42"/>
        <v>0</v>
      </c>
      <c r="BR94" s="409">
        <f t="shared" si="42"/>
        <v>0</v>
      </c>
      <c r="BS94" s="409">
        <f t="shared" si="42"/>
        <v>0</v>
      </c>
      <c r="BT94" s="409">
        <f t="shared" si="42"/>
        <v>0</v>
      </c>
      <c r="BU94" s="409">
        <f t="shared" si="42"/>
        <v>0</v>
      </c>
      <c r="BV94" s="409">
        <f t="shared" si="42"/>
        <v>0</v>
      </c>
      <c r="BW94" s="409">
        <f t="shared" si="42"/>
        <v>0</v>
      </c>
      <c r="BX94" s="409">
        <f t="shared" si="42"/>
        <v>0</v>
      </c>
      <c r="BY94" s="409">
        <f t="shared" si="42"/>
        <v>0</v>
      </c>
      <c r="BZ94" s="409">
        <f t="shared" si="42"/>
        <v>0</v>
      </c>
      <c r="CA94" s="409">
        <f t="shared" si="42"/>
        <v>0</v>
      </c>
      <c r="CB94" s="409">
        <f t="shared" si="42"/>
        <v>0</v>
      </c>
      <c r="CC94" s="409">
        <f t="shared" si="42"/>
        <v>0</v>
      </c>
      <c r="CD94" s="409">
        <f t="shared" si="42"/>
        <v>0</v>
      </c>
      <c r="CE94" s="409">
        <f t="shared" si="42"/>
        <v>0</v>
      </c>
      <c r="CF94" s="409">
        <f t="shared" si="42"/>
        <v>0</v>
      </c>
      <c r="CG94" s="409">
        <f t="shared" si="42"/>
        <v>0</v>
      </c>
      <c r="CH94" s="409">
        <f t="shared" si="42"/>
        <v>0</v>
      </c>
      <c r="CI94" s="409">
        <f t="shared" si="42"/>
        <v>0</v>
      </c>
      <c r="CJ94" s="409">
        <f t="shared" si="42"/>
        <v>0</v>
      </c>
      <c r="CK94" s="409">
        <f t="shared" si="42"/>
        <v>0</v>
      </c>
      <c r="CL94" s="409">
        <f t="shared" si="42"/>
        <v>0</v>
      </c>
      <c r="CM94" s="409">
        <f t="shared" si="42"/>
        <v>0</v>
      </c>
      <c r="CN94" s="409">
        <f t="shared" si="42"/>
        <v>0</v>
      </c>
      <c r="CO94" s="409">
        <f t="shared" si="42"/>
        <v>0</v>
      </c>
      <c r="CP94" s="409">
        <f t="shared" si="42"/>
        <v>0</v>
      </c>
      <c r="CQ94" s="409">
        <f t="shared" ref="CQ94:CW94" si="43">IF(AND(CQ$3&gt;=$AC$94,CQ$3&lt;($AC$94+$Z$94)),PMT($Y$94/12,$Z$94,-$AB$94),0)</f>
        <v>0</v>
      </c>
      <c r="CR94" s="409">
        <f t="shared" si="43"/>
        <v>0</v>
      </c>
      <c r="CS94" s="409">
        <f t="shared" si="43"/>
        <v>0</v>
      </c>
      <c r="CT94" s="409">
        <f t="shared" si="43"/>
        <v>0</v>
      </c>
      <c r="CU94" s="409">
        <f t="shared" si="43"/>
        <v>0</v>
      </c>
      <c r="CV94" s="409">
        <f t="shared" si="43"/>
        <v>0</v>
      </c>
      <c r="CW94" s="409">
        <f t="shared" si="43"/>
        <v>0</v>
      </c>
    </row>
    <row r="95" spans="1:101">
      <c r="A95" s="289"/>
      <c r="X95" s="145"/>
      <c r="Y95" s="410">
        <f>CapInvest!G41</f>
        <v>0</v>
      </c>
      <c r="Z95" s="145">
        <f>CapInvest!F41</f>
        <v>12</v>
      </c>
      <c r="AA95" s="408">
        <v>18</v>
      </c>
      <c r="AB95" s="409">
        <f>CapInvest!C41</f>
        <v>0</v>
      </c>
      <c r="AC95" s="79">
        <f>IF($AB95=0,1,DATEDIF($K$12,DATEVALUE("01-"&amp;CapInvest!$D41&amp;"-"&amp;CapInvest!$E41),"m")+1)</f>
        <v>1</v>
      </c>
      <c r="AD95" s="409">
        <f>IF(AND(AD$3&gt;=$AC$95,AD$3&lt;($AC$95+$Z$95)),PMT($Y$95/12,$Z$95,-$AB$95),0)</f>
        <v>0</v>
      </c>
      <c r="AE95" s="409">
        <f t="shared" ref="AE95:CP95" si="44">IF(AND(AE$3&gt;=$AC$95,AE$3&lt;($AC$95+$Z$95)),PMT($Y$95/12,$Z$95,-$AB$95),0)</f>
        <v>0</v>
      </c>
      <c r="AF95" s="409">
        <f t="shared" si="44"/>
        <v>0</v>
      </c>
      <c r="AG95" s="409">
        <f t="shared" si="44"/>
        <v>0</v>
      </c>
      <c r="AH95" s="409">
        <f t="shared" si="44"/>
        <v>0</v>
      </c>
      <c r="AI95" s="409">
        <f t="shared" si="44"/>
        <v>0</v>
      </c>
      <c r="AJ95" s="409">
        <f t="shared" si="44"/>
        <v>0</v>
      </c>
      <c r="AK95" s="409">
        <f t="shared" si="44"/>
        <v>0</v>
      </c>
      <c r="AL95" s="409">
        <f t="shared" si="44"/>
        <v>0</v>
      </c>
      <c r="AM95" s="409">
        <f t="shared" si="44"/>
        <v>0</v>
      </c>
      <c r="AN95" s="409">
        <f t="shared" si="44"/>
        <v>0</v>
      </c>
      <c r="AO95" s="409">
        <f t="shared" si="44"/>
        <v>0</v>
      </c>
      <c r="AP95" s="409">
        <f t="shared" si="44"/>
        <v>0</v>
      </c>
      <c r="AQ95" s="409">
        <f t="shared" si="44"/>
        <v>0</v>
      </c>
      <c r="AR95" s="409">
        <f t="shared" si="44"/>
        <v>0</v>
      </c>
      <c r="AS95" s="409">
        <f t="shared" si="44"/>
        <v>0</v>
      </c>
      <c r="AT95" s="409">
        <f t="shared" si="44"/>
        <v>0</v>
      </c>
      <c r="AU95" s="409">
        <f t="shared" si="44"/>
        <v>0</v>
      </c>
      <c r="AV95" s="409">
        <f t="shared" si="44"/>
        <v>0</v>
      </c>
      <c r="AW95" s="409">
        <f t="shared" si="44"/>
        <v>0</v>
      </c>
      <c r="AX95" s="409">
        <f t="shared" si="44"/>
        <v>0</v>
      </c>
      <c r="AY95" s="409">
        <f t="shared" si="44"/>
        <v>0</v>
      </c>
      <c r="AZ95" s="409">
        <f t="shared" si="44"/>
        <v>0</v>
      </c>
      <c r="BA95" s="409">
        <f t="shared" si="44"/>
        <v>0</v>
      </c>
      <c r="BB95" s="409">
        <f t="shared" si="44"/>
        <v>0</v>
      </c>
      <c r="BC95" s="409">
        <f t="shared" si="44"/>
        <v>0</v>
      </c>
      <c r="BD95" s="409">
        <f t="shared" si="44"/>
        <v>0</v>
      </c>
      <c r="BE95" s="409">
        <f t="shared" si="44"/>
        <v>0</v>
      </c>
      <c r="BF95" s="409">
        <f t="shared" si="44"/>
        <v>0</v>
      </c>
      <c r="BG95" s="409">
        <f t="shared" si="44"/>
        <v>0</v>
      </c>
      <c r="BH95" s="409">
        <f t="shared" si="44"/>
        <v>0</v>
      </c>
      <c r="BI95" s="409">
        <f t="shared" si="44"/>
        <v>0</v>
      </c>
      <c r="BJ95" s="409">
        <f t="shared" si="44"/>
        <v>0</v>
      </c>
      <c r="BK95" s="409">
        <f t="shared" si="44"/>
        <v>0</v>
      </c>
      <c r="BL95" s="409">
        <f t="shared" si="44"/>
        <v>0</v>
      </c>
      <c r="BM95" s="409">
        <f t="shared" si="44"/>
        <v>0</v>
      </c>
      <c r="BN95" s="409">
        <f t="shared" si="44"/>
        <v>0</v>
      </c>
      <c r="BO95" s="409">
        <f t="shared" si="44"/>
        <v>0</v>
      </c>
      <c r="BP95" s="409">
        <f t="shared" si="44"/>
        <v>0</v>
      </c>
      <c r="BQ95" s="409">
        <f t="shared" si="44"/>
        <v>0</v>
      </c>
      <c r="BR95" s="409">
        <f t="shared" si="44"/>
        <v>0</v>
      </c>
      <c r="BS95" s="409">
        <f t="shared" si="44"/>
        <v>0</v>
      </c>
      <c r="BT95" s="409">
        <f t="shared" si="44"/>
        <v>0</v>
      </c>
      <c r="BU95" s="409">
        <f t="shared" si="44"/>
        <v>0</v>
      </c>
      <c r="BV95" s="409">
        <f t="shared" si="44"/>
        <v>0</v>
      </c>
      <c r="BW95" s="409">
        <f t="shared" si="44"/>
        <v>0</v>
      </c>
      <c r="BX95" s="409">
        <f t="shared" si="44"/>
        <v>0</v>
      </c>
      <c r="BY95" s="409">
        <f t="shared" si="44"/>
        <v>0</v>
      </c>
      <c r="BZ95" s="409">
        <f t="shared" si="44"/>
        <v>0</v>
      </c>
      <c r="CA95" s="409">
        <f t="shared" si="44"/>
        <v>0</v>
      </c>
      <c r="CB95" s="409">
        <f t="shared" si="44"/>
        <v>0</v>
      </c>
      <c r="CC95" s="409">
        <f t="shared" si="44"/>
        <v>0</v>
      </c>
      <c r="CD95" s="409">
        <f t="shared" si="44"/>
        <v>0</v>
      </c>
      <c r="CE95" s="409">
        <f t="shared" si="44"/>
        <v>0</v>
      </c>
      <c r="CF95" s="409">
        <f t="shared" si="44"/>
        <v>0</v>
      </c>
      <c r="CG95" s="409">
        <f t="shared" si="44"/>
        <v>0</v>
      </c>
      <c r="CH95" s="409">
        <f t="shared" si="44"/>
        <v>0</v>
      </c>
      <c r="CI95" s="409">
        <f t="shared" si="44"/>
        <v>0</v>
      </c>
      <c r="CJ95" s="409">
        <f t="shared" si="44"/>
        <v>0</v>
      </c>
      <c r="CK95" s="409">
        <f t="shared" si="44"/>
        <v>0</v>
      </c>
      <c r="CL95" s="409">
        <f t="shared" si="44"/>
        <v>0</v>
      </c>
      <c r="CM95" s="409">
        <f t="shared" si="44"/>
        <v>0</v>
      </c>
      <c r="CN95" s="409">
        <f t="shared" si="44"/>
        <v>0</v>
      </c>
      <c r="CO95" s="409">
        <f t="shared" si="44"/>
        <v>0</v>
      </c>
      <c r="CP95" s="409">
        <f t="shared" si="44"/>
        <v>0</v>
      </c>
      <c r="CQ95" s="409">
        <f t="shared" ref="CQ95:CW95" si="45">IF(AND(CQ$3&gt;=$AC$95,CQ$3&lt;($AC$95+$Z$95)),PMT($Y$95/12,$Z$95,-$AB$95),0)</f>
        <v>0</v>
      </c>
      <c r="CR95" s="409">
        <f t="shared" si="45"/>
        <v>0</v>
      </c>
      <c r="CS95" s="409">
        <f t="shared" si="45"/>
        <v>0</v>
      </c>
      <c r="CT95" s="409">
        <f t="shared" si="45"/>
        <v>0</v>
      </c>
      <c r="CU95" s="409">
        <f t="shared" si="45"/>
        <v>0</v>
      </c>
      <c r="CV95" s="409">
        <f t="shared" si="45"/>
        <v>0</v>
      </c>
      <c r="CW95" s="409">
        <f t="shared" si="45"/>
        <v>0</v>
      </c>
    </row>
    <row r="96" spans="1:101">
      <c r="A96" s="289"/>
      <c r="X96" s="145"/>
      <c r="Y96" s="410">
        <f>CapInvest!G42</f>
        <v>0</v>
      </c>
      <c r="Z96" s="145">
        <f>CapInvest!F42</f>
        <v>12</v>
      </c>
      <c r="AA96" s="408">
        <v>19</v>
      </c>
      <c r="AB96" s="409">
        <f>CapInvest!C42</f>
        <v>0</v>
      </c>
      <c r="AC96" s="79">
        <f>IF($AB96=0,1,DATEDIF($K$12,DATEVALUE("01-"&amp;CapInvest!$D42&amp;"-"&amp;CapInvest!$E42),"m")+1)</f>
        <v>1</v>
      </c>
      <c r="AD96" s="409">
        <f>IF(AND(AD$3&gt;=$AC$96,AD$3&lt;($AC$96+$Z$96)),PMT($Y$96/12,$Z$96,-$AB$96),0)</f>
        <v>0</v>
      </c>
      <c r="AE96" s="409">
        <f t="shared" ref="AE96:CP96" si="46">IF(AND(AE$3&gt;=$AC$96,AE$3&lt;($AC$96+$Z$96)),PMT($Y$96/12,$Z$96,-$AB$96),0)</f>
        <v>0</v>
      </c>
      <c r="AF96" s="409">
        <f t="shared" si="46"/>
        <v>0</v>
      </c>
      <c r="AG96" s="409">
        <f t="shared" si="46"/>
        <v>0</v>
      </c>
      <c r="AH96" s="409">
        <f t="shared" si="46"/>
        <v>0</v>
      </c>
      <c r="AI96" s="409">
        <f t="shared" si="46"/>
        <v>0</v>
      </c>
      <c r="AJ96" s="409">
        <f t="shared" si="46"/>
        <v>0</v>
      </c>
      <c r="AK96" s="409">
        <f t="shared" si="46"/>
        <v>0</v>
      </c>
      <c r="AL96" s="409">
        <f t="shared" si="46"/>
        <v>0</v>
      </c>
      <c r="AM96" s="409">
        <f t="shared" si="46"/>
        <v>0</v>
      </c>
      <c r="AN96" s="409">
        <f t="shared" si="46"/>
        <v>0</v>
      </c>
      <c r="AO96" s="409">
        <f t="shared" si="46"/>
        <v>0</v>
      </c>
      <c r="AP96" s="409">
        <f t="shared" si="46"/>
        <v>0</v>
      </c>
      <c r="AQ96" s="409">
        <f t="shared" si="46"/>
        <v>0</v>
      </c>
      <c r="AR96" s="409">
        <f t="shared" si="46"/>
        <v>0</v>
      </c>
      <c r="AS96" s="409">
        <f t="shared" si="46"/>
        <v>0</v>
      </c>
      <c r="AT96" s="409">
        <f t="shared" si="46"/>
        <v>0</v>
      </c>
      <c r="AU96" s="409">
        <f t="shared" si="46"/>
        <v>0</v>
      </c>
      <c r="AV96" s="409">
        <f t="shared" si="46"/>
        <v>0</v>
      </c>
      <c r="AW96" s="409">
        <f t="shared" si="46"/>
        <v>0</v>
      </c>
      <c r="AX96" s="409">
        <f t="shared" si="46"/>
        <v>0</v>
      </c>
      <c r="AY96" s="409">
        <f t="shared" si="46"/>
        <v>0</v>
      </c>
      <c r="AZ96" s="409">
        <f t="shared" si="46"/>
        <v>0</v>
      </c>
      <c r="BA96" s="409">
        <f t="shared" si="46"/>
        <v>0</v>
      </c>
      <c r="BB96" s="409">
        <f t="shared" si="46"/>
        <v>0</v>
      </c>
      <c r="BC96" s="409">
        <f t="shared" si="46"/>
        <v>0</v>
      </c>
      <c r="BD96" s="409">
        <f t="shared" si="46"/>
        <v>0</v>
      </c>
      <c r="BE96" s="409">
        <f t="shared" si="46"/>
        <v>0</v>
      </c>
      <c r="BF96" s="409">
        <f t="shared" si="46"/>
        <v>0</v>
      </c>
      <c r="BG96" s="409">
        <f t="shared" si="46"/>
        <v>0</v>
      </c>
      <c r="BH96" s="409">
        <f t="shared" si="46"/>
        <v>0</v>
      </c>
      <c r="BI96" s="409">
        <f t="shared" si="46"/>
        <v>0</v>
      </c>
      <c r="BJ96" s="409">
        <f t="shared" si="46"/>
        <v>0</v>
      </c>
      <c r="BK96" s="409">
        <f t="shared" si="46"/>
        <v>0</v>
      </c>
      <c r="BL96" s="409">
        <f t="shared" si="46"/>
        <v>0</v>
      </c>
      <c r="BM96" s="409">
        <f t="shared" si="46"/>
        <v>0</v>
      </c>
      <c r="BN96" s="409">
        <f t="shared" si="46"/>
        <v>0</v>
      </c>
      <c r="BO96" s="409">
        <f t="shared" si="46"/>
        <v>0</v>
      </c>
      <c r="BP96" s="409">
        <f t="shared" si="46"/>
        <v>0</v>
      </c>
      <c r="BQ96" s="409">
        <f t="shared" si="46"/>
        <v>0</v>
      </c>
      <c r="BR96" s="409">
        <f t="shared" si="46"/>
        <v>0</v>
      </c>
      <c r="BS96" s="409">
        <f t="shared" si="46"/>
        <v>0</v>
      </c>
      <c r="BT96" s="409">
        <f t="shared" si="46"/>
        <v>0</v>
      </c>
      <c r="BU96" s="409">
        <f t="shared" si="46"/>
        <v>0</v>
      </c>
      <c r="BV96" s="409">
        <f t="shared" si="46"/>
        <v>0</v>
      </c>
      <c r="BW96" s="409">
        <f t="shared" si="46"/>
        <v>0</v>
      </c>
      <c r="BX96" s="409">
        <f t="shared" si="46"/>
        <v>0</v>
      </c>
      <c r="BY96" s="409">
        <f t="shared" si="46"/>
        <v>0</v>
      </c>
      <c r="BZ96" s="409">
        <f t="shared" si="46"/>
        <v>0</v>
      </c>
      <c r="CA96" s="409">
        <f t="shared" si="46"/>
        <v>0</v>
      </c>
      <c r="CB96" s="409">
        <f t="shared" si="46"/>
        <v>0</v>
      </c>
      <c r="CC96" s="409">
        <f t="shared" si="46"/>
        <v>0</v>
      </c>
      <c r="CD96" s="409">
        <f t="shared" si="46"/>
        <v>0</v>
      </c>
      <c r="CE96" s="409">
        <f t="shared" si="46"/>
        <v>0</v>
      </c>
      <c r="CF96" s="409">
        <f t="shared" si="46"/>
        <v>0</v>
      </c>
      <c r="CG96" s="409">
        <f t="shared" si="46"/>
        <v>0</v>
      </c>
      <c r="CH96" s="409">
        <f t="shared" si="46"/>
        <v>0</v>
      </c>
      <c r="CI96" s="409">
        <f t="shared" si="46"/>
        <v>0</v>
      </c>
      <c r="CJ96" s="409">
        <f t="shared" si="46"/>
        <v>0</v>
      </c>
      <c r="CK96" s="409">
        <f t="shared" si="46"/>
        <v>0</v>
      </c>
      <c r="CL96" s="409">
        <f t="shared" si="46"/>
        <v>0</v>
      </c>
      <c r="CM96" s="409">
        <f t="shared" si="46"/>
        <v>0</v>
      </c>
      <c r="CN96" s="409">
        <f t="shared" si="46"/>
        <v>0</v>
      </c>
      <c r="CO96" s="409">
        <f t="shared" si="46"/>
        <v>0</v>
      </c>
      <c r="CP96" s="409">
        <f t="shared" si="46"/>
        <v>0</v>
      </c>
      <c r="CQ96" s="409">
        <f t="shared" ref="CQ96:CW96" si="47">IF(AND(CQ$3&gt;=$AC$96,CQ$3&lt;($AC$96+$Z$96)),PMT($Y$96/12,$Z$96,-$AB$96),0)</f>
        <v>0</v>
      </c>
      <c r="CR96" s="409">
        <f t="shared" si="47"/>
        <v>0</v>
      </c>
      <c r="CS96" s="409">
        <f t="shared" si="47"/>
        <v>0</v>
      </c>
      <c r="CT96" s="409">
        <f t="shared" si="47"/>
        <v>0</v>
      </c>
      <c r="CU96" s="409">
        <f t="shared" si="47"/>
        <v>0</v>
      </c>
      <c r="CV96" s="409">
        <f t="shared" si="47"/>
        <v>0</v>
      </c>
      <c r="CW96" s="409">
        <f t="shared" si="47"/>
        <v>0</v>
      </c>
    </row>
    <row r="97" spans="1:101">
      <c r="A97" s="289"/>
      <c r="X97" s="145"/>
      <c r="Y97" s="410">
        <f>CapInvest!G43</f>
        <v>0</v>
      </c>
      <c r="Z97" s="145">
        <f>CapInvest!F43</f>
        <v>12</v>
      </c>
      <c r="AA97" s="408">
        <v>20</v>
      </c>
      <c r="AB97" s="409">
        <f>CapInvest!C43</f>
        <v>0</v>
      </c>
      <c r="AC97" s="79">
        <f>IF($AB97=0,1,DATEDIF($K$12,DATEVALUE("01-"&amp;CapInvest!$D43&amp;"-"&amp;CapInvest!$E43),"m")+1)</f>
        <v>1</v>
      </c>
      <c r="AD97" s="411">
        <f>IF(AND(AD$3&gt;=$AC$97,AD$3&lt;($AC$97+$Z$97)),PMT($Y$97/12,$Z$97,-$AB$97),0)</f>
        <v>0</v>
      </c>
      <c r="AE97" s="411">
        <f t="shared" ref="AE97:CP97" si="48">IF(AND(AE$3&gt;=$AC$97,AE$3&lt;($AC$97+$Z$97)),PMT($Y$97/12,$Z$97,-$AB$97),0)</f>
        <v>0</v>
      </c>
      <c r="AF97" s="411">
        <f t="shared" si="48"/>
        <v>0</v>
      </c>
      <c r="AG97" s="411">
        <f t="shared" si="48"/>
        <v>0</v>
      </c>
      <c r="AH97" s="411">
        <f t="shared" si="48"/>
        <v>0</v>
      </c>
      <c r="AI97" s="411">
        <f t="shared" si="48"/>
        <v>0</v>
      </c>
      <c r="AJ97" s="411">
        <f t="shared" si="48"/>
        <v>0</v>
      </c>
      <c r="AK97" s="411">
        <f t="shared" si="48"/>
        <v>0</v>
      </c>
      <c r="AL97" s="411">
        <f t="shared" si="48"/>
        <v>0</v>
      </c>
      <c r="AM97" s="411">
        <f t="shared" si="48"/>
        <v>0</v>
      </c>
      <c r="AN97" s="411">
        <f t="shared" si="48"/>
        <v>0</v>
      </c>
      <c r="AO97" s="411">
        <f t="shared" si="48"/>
        <v>0</v>
      </c>
      <c r="AP97" s="411">
        <f t="shared" si="48"/>
        <v>0</v>
      </c>
      <c r="AQ97" s="411">
        <f t="shared" si="48"/>
        <v>0</v>
      </c>
      <c r="AR97" s="411">
        <f t="shared" si="48"/>
        <v>0</v>
      </c>
      <c r="AS97" s="411">
        <f t="shared" si="48"/>
        <v>0</v>
      </c>
      <c r="AT97" s="411">
        <f t="shared" si="48"/>
        <v>0</v>
      </c>
      <c r="AU97" s="411">
        <f t="shared" si="48"/>
        <v>0</v>
      </c>
      <c r="AV97" s="411">
        <f t="shared" si="48"/>
        <v>0</v>
      </c>
      <c r="AW97" s="411">
        <f t="shared" si="48"/>
        <v>0</v>
      </c>
      <c r="AX97" s="411">
        <f t="shared" si="48"/>
        <v>0</v>
      </c>
      <c r="AY97" s="411">
        <f t="shared" si="48"/>
        <v>0</v>
      </c>
      <c r="AZ97" s="411">
        <f t="shared" si="48"/>
        <v>0</v>
      </c>
      <c r="BA97" s="411">
        <f t="shared" si="48"/>
        <v>0</v>
      </c>
      <c r="BB97" s="411">
        <f t="shared" si="48"/>
        <v>0</v>
      </c>
      <c r="BC97" s="411">
        <f t="shared" si="48"/>
        <v>0</v>
      </c>
      <c r="BD97" s="411">
        <f t="shared" si="48"/>
        <v>0</v>
      </c>
      <c r="BE97" s="411">
        <f t="shared" si="48"/>
        <v>0</v>
      </c>
      <c r="BF97" s="411">
        <f t="shared" si="48"/>
        <v>0</v>
      </c>
      <c r="BG97" s="411">
        <f t="shared" si="48"/>
        <v>0</v>
      </c>
      <c r="BH97" s="411">
        <f t="shared" si="48"/>
        <v>0</v>
      </c>
      <c r="BI97" s="411">
        <f t="shared" si="48"/>
        <v>0</v>
      </c>
      <c r="BJ97" s="411">
        <f t="shared" si="48"/>
        <v>0</v>
      </c>
      <c r="BK97" s="411">
        <f t="shared" si="48"/>
        <v>0</v>
      </c>
      <c r="BL97" s="411">
        <f t="shared" si="48"/>
        <v>0</v>
      </c>
      <c r="BM97" s="411">
        <f t="shared" si="48"/>
        <v>0</v>
      </c>
      <c r="BN97" s="411">
        <f t="shared" si="48"/>
        <v>0</v>
      </c>
      <c r="BO97" s="411">
        <f t="shared" si="48"/>
        <v>0</v>
      </c>
      <c r="BP97" s="411">
        <f t="shared" si="48"/>
        <v>0</v>
      </c>
      <c r="BQ97" s="411">
        <f t="shared" si="48"/>
        <v>0</v>
      </c>
      <c r="BR97" s="411">
        <f t="shared" si="48"/>
        <v>0</v>
      </c>
      <c r="BS97" s="411">
        <f t="shared" si="48"/>
        <v>0</v>
      </c>
      <c r="BT97" s="411">
        <f t="shared" si="48"/>
        <v>0</v>
      </c>
      <c r="BU97" s="411">
        <f t="shared" si="48"/>
        <v>0</v>
      </c>
      <c r="BV97" s="411">
        <f t="shared" si="48"/>
        <v>0</v>
      </c>
      <c r="BW97" s="411">
        <f t="shared" si="48"/>
        <v>0</v>
      </c>
      <c r="BX97" s="411">
        <f t="shared" si="48"/>
        <v>0</v>
      </c>
      <c r="BY97" s="411">
        <f t="shared" si="48"/>
        <v>0</v>
      </c>
      <c r="BZ97" s="411">
        <f t="shared" si="48"/>
        <v>0</v>
      </c>
      <c r="CA97" s="411">
        <f t="shared" si="48"/>
        <v>0</v>
      </c>
      <c r="CB97" s="411">
        <f t="shared" si="48"/>
        <v>0</v>
      </c>
      <c r="CC97" s="411">
        <f t="shared" si="48"/>
        <v>0</v>
      </c>
      <c r="CD97" s="411">
        <f t="shared" si="48"/>
        <v>0</v>
      </c>
      <c r="CE97" s="411">
        <f t="shared" si="48"/>
        <v>0</v>
      </c>
      <c r="CF97" s="411">
        <f t="shared" si="48"/>
        <v>0</v>
      </c>
      <c r="CG97" s="411">
        <f t="shared" si="48"/>
        <v>0</v>
      </c>
      <c r="CH97" s="411">
        <f t="shared" si="48"/>
        <v>0</v>
      </c>
      <c r="CI97" s="411">
        <f t="shared" si="48"/>
        <v>0</v>
      </c>
      <c r="CJ97" s="411">
        <f t="shared" si="48"/>
        <v>0</v>
      </c>
      <c r="CK97" s="411">
        <f t="shared" si="48"/>
        <v>0</v>
      </c>
      <c r="CL97" s="411">
        <f t="shared" si="48"/>
        <v>0</v>
      </c>
      <c r="CM97" s="411">
        <f t="shared" si="48"/>
        <v>0</v>
      </c>
      <c r="CN97" s="411">
        <f t="shared" si="48"/>
        <v>0</v>
      </c>
      <c r="CO97" s="411">
        <f t="shared" si="48"/>
        <v>0</v>
      </c>
      <c r="CP97" s="411">
        <f t="shared" si="48"/>
        <v>0</v>
      </c>
      <c r="CQ97" s="411">
        <f t="shared" ref="CQ97:CW97" si="49">IF(AND(CQ$3&gt;=$AC$97,CQ$3&lt;($AC$97+$Z$97)),PMT($Y$97/12,$Z$97,-$AB$97),0)</f>
        <v>0</v>
      </c>
      <c r="CR97" s="411">
        <f t="shared" si="49"/>
        <v>0</v>
      </c>
      <c r="CS97" s="411">
        <f t="shared" si="49"/>
        <v>0</v>
      </c>
      <c r="CT97" s="411">
        <f t="shared" si="49"/>
        <v>0</v>
      </c>
      <c r="CU97" s="411">
        <f t="shared" si="49"/>
        <v>0</v>
      </c>
      <c r="CV97" s="411">
        <f t="shared" si="49"/>
        <v>0</v>
      </c>
      <c r="CW97" s="411">
        <f t="shared" si="49"/>
        <v>0</v>
      </c>
    </row>
    <row r="98" spans="1:101">
      <c r="A98" s="289"/>
      <c r="AC98" s="306" t="s">
        <v>274</v>
      </c>
      <c r="AD98" s="412">
        <f>SUM(AD78:AD97)</f>
        <v>0</v>
      </c>
      <c r="AE98" s="412">
        <f t="shared" ref="AE98:CK98" si="50">SUM(AE78:AE97)</f>
        <v>0</v>
      </c>
      <c r="AF98" s="412">
        <f t="shared" si="50"/>
        <v>0</v>
      </c>
      <c r="AG98" s="412">
        <f t="shared" si="50"/>
        <v>0</v>
      </c>
      <c r="AH98" s="412">
        <f t="shared" si="50"/>
        <v>0</v>
      </c>
      <c r="AI98" s="412">
        <f t="shared" si="50"/>
        <v>0</v>
      </c>
      <c r="AJ98" s="412">
        <f t="shared" si="50"/>
        <v>0</v>
      </c>
      <c r="AK98" s="412">
        <f t="shared" si="50"/>
        <v>0</v>
      </c>
      <c r="AL98" s="412">
        <f t="shared" si="50"/>
        <v>0</v>
      </c>
      <c r="AM98" s="412">
        <f t="shared" si="50"/>
        <v>0</v>
      </c>
      <c r="AN98" s="412">
        <f t="shared" si="50"/>
        <v>0</v>
      </c>
      <c r="AO98" s="412">
        <f t="shared" si="50"/>
        <v>0</v>
      </c>
      <c r="AP98" s="412">
        <f t="shared" si="50"/>
        <v>0</v>
      </c>
      <c r="AQ98" s="412">
        <f t="shared" si="50"/>
        <v>0</v>
      </c>
      <c r="AR98" s="412">
        <f t="shared" si="50"/>
        <v>0</v>
      </c>
      <c r="AS98" s="412">
        <f t="shared" si="50"/>
        <v>0</v>
      </c>
      <c r="AT98" s="412">
        <f t="shared" si="50"/>
        <v>0</v>
      </c>
      <c r="AU98" s="412">
        <f t="shared" si="50"/>
        <v>0</v>
      </c>
      <c r="AV98" s="412">
        <f t="shared" si="50"/>
        <v>0</v>
      </c>
      <c r="AW98" s="412">
        <f t="shared" si="50"/>
        <v>0</v>
      </c>
      <c r="AX98" s="412">
        <f t="shared" si="50"/>
        <v>0</v>
      </c>
      <c r="AY98" s="412">
        <f t="shared" si="50"/>
        <v>0</v>
      </c>
      <c r="AZ98" s="412">
        <f t="shared" si="50"/>
        <v>0</v>
      </c>
      <c r="BA98" s="412">
        <f t="shared" si="50"/>
        <v>0</v>
      </c>
      <c r="BB98" s="412">
        <f t="shared" si="50"/>
        <v>0</v>
      </c>
      <c r="BC98" s="412">
        <f t="shared" si="50"/>
        <v>0</v>
      </c>
      <c r="BD98" s="412">
        <f t="shared" si="50"/>
        <v>0</v>
      </c>
      <c r="BE98" s="412">
        <f t="shared" si="50"/>
        <v>0</v>
      </c>
      <c r="BF98" s="412">
        <f t="shared" si="50"/>
        <v>0</v>
      </c>
      <c r="BG98" s="412">
        <f t="shared" si="50"/>
        <v>0</v>
      </c>
      <c r="BH98" s="412">
        <f t="shared" si="50"/>
        <v>0</v>
      </c>
      <c r="BI98" s="412">
        <f t="shared" si="50"/>
        <v>0</v>
      </c>
      <c r="BJ98" s="412">
        <f t="shared" si="50"/>
        <v>0</v>
      </c>
      <c r="BK98" s="412">
        <f t="shared" si="50"/>
        <v>0</v>
      </c>
      <c r="BL98" s="412">
        <f t="shared" si="50"/>
        <v>0</v>
      </c>
      <c r="BM98" s="412">
        <f t="shared" si="50"/>
        <v>0</v>
      </c>
      <c r="BN98" s="412">
        <f t="shared" si="50"/>
        <v>0</v>
      </c>
      <c r="BO98" s="412">
        <f t="shared" si="50"/>
        <v>0</v>
      </c>
      <c r="BP98" s="412">
        <f t="shared" si="50"/>
        <v>0</v>
      </c>
      <c r="BQ98" s="412">
        <f t="shared" si="50"/>
        <v>0</v>
      </c>
      <c r="BR98" s="412">
        <f t="shared" si="50"/>
        <v>0</v>
      </c>
      <c r="BS98" s="412">
        <f t="shared" si="50"/>
        <v>0</v>
      </c>
      <c r="BT98" s="412">
        <f t="shared" si="50"/>
        <v>0</v>
      </c>
      <c r="BU98" s="412">
        <f t="shared" si="50"/>
        <v>0</v>
      </c>
      <c r="BV98" s="412">
        <f t="shared" si="50"/>
        <v>0</v>
      </c>
      <c r="BW98" s="412">
        <f t="shared" si="50"/>
        <v>0</v>
      </c>
      <c r="BX98" s="412">
        <f t="shared" si="50"/>
        <v>0</v>
      </c>
      <c r="BY98" s="412">
        <f t="shared" si="50"/>
        <v>0</v>
      </c>
      <c r="BZ98" s="412">
        <f t="shared" si="50"/>
        <v>0</v>
      </c>
      <c r="CA98" s="412">
        <f t="shared" si="50"/>
        <v>0</v>
      </c>
      <c r="CB98" s="412">
        <f t="shared" si="50"/>
        <v>0</v>
      </c>
      <c r="CC98" s="412">
        <f t="shared" si="50"/>
        <v>0</v>
      </c>
      <c r="CD98" s="412">
        <f t="shared" si="50"/>
        <v>0</v>
      </c>
      <c r="CE98" s="412">
        <f t="shared" si="50"/>
        <v>0</v>
      </c>
      <c r="CF98" s="412">
        <f t="shared" si="50"/>
        <v>0</v>
      </c>
      <c r="CG98" s="412">
        <f t="shared" si="50"/>
        <v>0</v>
      </c>
      <c r="CH98" s="412">
        <f t="shared" si="50"/>
        <v>0</v>
      </c>
      <c r="CI98" s="412">
        <f t="shared" si="50"/>
        <v>0</v>
      </c>
      <c r="CJ98" s="412">
        <f t="shared" si="50"/>
        <v>0</v>
      </c>
      <c r="CK98" s="412">
        <f t="shared" si="50"/>
        <v>0</v>
      </c>
      <c r="CL98" s="412">
        <f t="shared" ref="CL98:CW98" si="51">SUM(CL78:CL97)</f>
        <v>0</v>
      </c>
      <c r="CM98" s="412">
        <f t="shared" si="51"/>
        <v>0</v>
      </c>
      <c r="CN98" s="412">
        <f t="shared" si="51"/>
        <v>0</v>
      </c>
      <c r="CO98" s="412">
        <f t="shared" si="51"/>
        <v>0</v>
      </c>
      <c r="CP98" s="412">
        <f t="shared" si="51"/>
        <v>0</v>
      </c>
      <c r="CQ98" s="412">
        <f t="shared" si="51"/>
        <v>0</v>
      </c>
      <c r="CR98" s="412">
        <f t="shared" si="51"/>
        <v>0</v>
      </c>
      <c r="CS98" s="412">
        <f t="shared" si="51"/>
        <v>0</v>
      </c>
      <c r="CT98" s="412">
        <f t="shared" si="51"/>
        <v>0</v>
      </c>
      <c r="CU98" s="412">
        <f t="shared" si="51"/>
        <v>0</v>
      </c>
      <c r="CV98" s="412">
        <f t="shared" si="51"/>
        <v>0</v>
      </c>
      <c r="CW98" s="412">
        <f t="shared" si="51"/>
        <v>0</v>
      </c>
    </row>
    <row r="99" spans="1:101">
      <c r="A99" s="289"/>
    </row>
    <row r="100" spans="1:101">
      <c r="A100" s="289"/>
    </row>
    <row r="101" spans="1:101">
      <c r="A101" s="289"/>
      <c r="Y101" s="71" t="s">
        <v>5</v>
      </c>
      <c r="AA101" s="408">
        <v>1</v>
      </c>
      <c r="AB101" s="409">
        <f>CapInvest!C24</f>
        <v>0</v>
      </c>
      <c r="AC101" s="145">
        <f>AC78</f>
        <v>1</v>
      </c>
      <c r="AD101" s="409">
        <f>IF(AD$3=$AC$101,$AB$101,0)</f>
        <v>0</v>
      </c>
      <c r="AE101" s="409">
        <f t="shared" ref="AE101:CK101" si="52">IF(AE$3=$AC$101,$AB$101,0)</f>
        <v>0</v>
      </c>
      <c r="AF101" s="409">
        <f t="shared" si="52"/>
        <v>0</v>
      </c>
      <c r="AG101" s="409">
        <f t="shared" si="52"/>
        <v>0</v>
      </c>
      <c r="AH101" s="409">
        <f t="shared" si="52"/>
        <v>0</v>
      </c>
      <c r="AI101" s="409">
        <f t="shared" si="52"/>
        <v>0</v>
      </c>
      <c r="AJ101" s="409">
        <f t="shared" si="52"/>
        <v>0</v>
      </c>
      <c r="AK101" s="409">
        <f t="shared" si="52"/>
        <v>0</v>
      </c>
      <c r="AL101" s="409">
        <f t="shared" si="52"/>
        <v>0</v>
      </c>
      <c r="AM101" s="409">
        <f t="shared" si="52"/>
        <v>0</v>
      </c>
      <c r="AN101" s="409">
        <f t="shared" si="52"/>
        <v>0</v>
      </c>
      <c r="AO101" s="409">
        <f t="shared" si="52"/>
        <v>0</v>
      </c>
      <c r="AP101" s="409">
        <f t="shared" si="52"/>
        <v>0</v>
      </c>
      <c r="AQ101" s="409">
        <f t="shared" si="52"/>
        <v>0</v>
      </c>
      <c r="AR101" s="409">
        <f t="shared" si="52"/>
        <v>0</v>
      </c>
      <c r="AS101" s="409">
        <f t="shared" si="52"/>
        <v>0</v>
      </c>
      <c r="AT101" s="409">
        <f t="shared" si="52"/>
        <v>0</v>
      </c>
      <c r="AU101" s="409">
        <f t="shared" si="52"/>
        <v>0</v>
      </c>
      <c r="AV101" s="409">
        <f t="shared" si="52"/>
        <v>0</v>
      </c>
      <c r="AW101" s="409">
        <f t="shared" si="52"/>
        <v>0</v>
      </c>
      <c r="AX101" s="409">
        <f t="shared" si="52"/>
        <v>0</v>
      </c>
      <c r="AY101" s="409">
        <f t="shared" si="52"/>
        <v>0</v>
      </c>
      <c r="AZ101" s="409">
        <f t="shared" si="52"/>
        <v>0</v>
      </c>
      <c r="BA101" s="409">
        <f t="shared" si="52"/>
        <v>0</v>
      </c>
      <c r="BB101" s="409">
        <f t="shared" si="52"/>
        <v>0</v>
      </c>
      <c r="BC101" s="409">
        <f t="shared" si="52"/>
        <v>0</v>
      </c>
      <c r="BD101" s="409">
        <f t="shared" si="52"/>
        <v>0</v>
      </c>
      <c r="BE101" s="409">
        <f t="shared" si="52"/>
        <v>0</v>
      </c>
      <c r="BF101" s="409">
        <f t="shared" si="52"/>
        <v>0</v>
      </c>
      <c r="BG101" s="409">
        <f t="shared" si="52"/>
        <v>0</v>
      </c>
      <c r="BH101" s="409">
        <f t="shared" si="52"/>
        <v>0</v>
      </c>
      <c r="BI101" s="409">
        <f t="shared" si="52"/>
        <v>0</v>
      </c>
      <c r="BJ101" s="409">
        <f t="shared" si="52"/>
        <v>0</v>
      </c>
      <c r="BK101" s="409">
        <f t="shared" si="52"/>
        <v>0</v>
      </c>
      <c r="BL101" s="409">
        <f t="shared" si="52"/>
        <v>0</v>
      </c>
      <c r="BM101" s="409">
        <f t="shared" si="52"/>
        <v>0</v>
      </c>
      <c r="BN101" s="409">
        <f t="shared" si="52"/>
        <v>0</v>
      </c>
      <c r="BO101" s="409">
        <f t="shared" si="52"/>
        <v>0</v>
      </c>
      <c r="BP101" s="409">
        <f t="shared" si="52"/>
        <v>0</v>
      </c>
      <c r="BQ101" s="409">
        <f t="shared" si="52"/>
        <v>0</v>
      </c>
      <c r="BR101" s="409">
        <f t="shared" si="52"/>
        <v>0</v>
      </c>
      <c r="BS101" s="409">
        <f t="shared" si="52"/>
        <v>0</v>
      </c>
      <c r="BT101" s="409">
        <f t="shared" si="52"/>
        <v>0</v>
      </c>
      <c r="BU101" s="409">
        <f t="shared" si="52"/>
        <v>0</v>
      </c>
      <c r="BV101" s="409">
        <f t="shared" si="52"/>
        <v>0</v>
      </c>
      <c r="BW101" s="409">
        <f t="shared" si="52"/>
        <v>0</v>
      </c>
      <c r="BX101" s="409">
        <f t="shared" si="52"/>
        <v>0</v>
      </c>
      <c r="BY101" s="409">
        <f t="shared" si="52"/>
        <v>0</v>
      </c>
      <c r="BZ101" s="409">
        <f t="shared" si="52"/>
        <v>0</v>
      </c>
      <c r="CA101" s="409">
        <f t="shared" si="52"/>
        <v>0</v>
      </c>
      <c r="CB101" s="409">
        <f t="shared" si="52"/>
        <v>0</v>
      </c>
      <c r="CC101" s="409">
        <f t="shared" si="52"/>
        <v>0</v>
      </c>
      <c r="CD101" s="409">
        <f t="shared" si="52"/>
        <v>0</v>
      </c>
      <c r="CE101" s="409">
        <f t="shared" si="52"/>
        <v>0</v>
      </c>
      <c r="CF101" s="409">
        <f t="shared" si="52"/>
        <v>0</v>
      </c>
      <c r="CG101" s="409">
        <f t="shared" si="52"/>
        <v>0</v>
      </c>
      <c r="CH101" s="409">
        <f t="shared" si="52"/>
        <v>0</v>
      </c>
      <c r="CI101" s="409">
        <f t="shared" si="52"/>
        <v>0</v>
      </c>
      <c r="CJ101" s="409">
        <f t="shared" si="52"/>
        <v>0</v>
      </c>
      <c r="CK101" s="409">
        <f t="shared" si="52"/>
        <v>0</v>
      </c>
    </row>
    <row r="102" spans="1:101">
      <c r="AA102" s="408">
        <v>2</v>
      </c>
      <c r="AB102" s="409">
        <f>CapInvest!C25</f>
        <v>0</v>
      </c>
      <c r="AC102" s="145">
        <f>AC79</f>
        <v>1</v>
      </c>
      <c r="AD102" s="409">
        <f>IF(AD$3=$AC$102,$AB$102,0)</f>
        <v>0</v>
      </c>
      <c r="AE102" s="409">
        <f t="shared" ref="AE102:CK102" si="53">IF(AE$3=$AC$102,$AB$102,0)</f>
        <v>0</v>
      </c>
      <c r="AF102" s="409">
        <f t="shared" si="53"/>
        <v>0</v>
      </c>
      <c r="AG102" s="409">
        <f t="shared" si="53"/>
        <v>0</v>
      </c>
      <c r="AH102" s="409">
        <f t="shared" si="53"/>
        <v>0</v>
      </c>
      <c r="AI102" s="409">
        <f t="shared" si="53"/>
        <v>0</v>
      </c>
      <c r="AJ102" s="409">
        <f t="shared" si="53"/>
        <v>0</v>
      </c>
      <c r="AK102" s="409">
        <f t="shared" si="53"/>
        <v>0</v>
      </c>
      <c r="AL102" s="409">
        <f t="shared" si="53"/>
        <v>0</v>
      </c>
      <c r="AM102" s="409">
        <f t="shared" si="53"/>
        <v>0</v>
      </c>
      <c r="AN102" s="409">
        <f t="shared" si="53"/>
        <v>0</v>
      </c>
      <c r="AO102" s="409">
        <f t="shared" si="53"/>
        <v>0</v>
      </c>
      <c r="AP102" s="409">
        <f t="shared" si="53"/>
        <v>0</v>
      </c>
      <c r="AQ102" s="409">
        <f t="shared" si="53"/>
        <v>0</v>
      </c>
      <c r="AR102" s="409">
        <f t="shared" si="53"/>
        <v>0</v>
      </c>
      <c r="AS102" s="409">
        <f t="shared" si="53"/>
        <v>0</v>
      </c>
      <c r="AT102" s="409">
        <f t="shared" si="53"/>
        <v>0</v>
      </c>
      <c r="AU102" s="409">
        <f t="shared" si="53"/>
        <v>0</v>
      </c>
      <c r="AV102" s="409">
        <f t="shared" si="53"/>
        <v>0</v>
      </c>
      <c r="AW102" s="409">
        <f t="shared" si="53"/>
        <v>0</v>
      </c>
      <c r="AX102" s="409">
        <f t="shared" si="53"/>
        <v>0</v>
      </c>
      <c r="AY102" s="409">
        <f t="shared" si="53"/>
        <v>0</v>
      </c>
      <c r="AZ102" s="409">
        <f t="shared" si="53"/>
        <v>0</v>
      </c>
      <c r="BA102" s="409">
        <f t="shared" si="53"/>
        <v>0</v>
      </c>
      <c r="BB102" s="409">
        <f t="shared" si="53"/>
        <v>0</v>
      </c>
      <c r="BC102" s="409">
        <f t="shared" si="53"/>
        <v>0</v>
      </c>
      <c r="BD102" s="409">
        <f t="shared" si="53"/>
        <v>0</v>
      </c>
      <c r="BE102" s="409">
        <f t="shared" si="53"/>
        <v>0</v>
      </c>
      <c r="BF102" s="409">
        <f t="shared" si="53"/>
        <v>0</v>
      </c>
      <c r="BG102" s="409">
        <f t="shared" si="53"/>
        <v>0</v>
      </c>
      <c r="BH102" s="409">
        <f t="shared" si="53"/>
        <v>0</v>
      </c>
      <c r="BI102" s="409">
        <f t="shared" si="53"/>
        <v>0</v>
      </c>
      <c r="BJ102" s="409">
        <f t="shared" si="53"/>
        <v>0</v>
      </c>
      <c r="BK102" s="409">
        <f t="shared" si="53"/>
        <v>0</v>
      </c>
      <c r="BL102" s="409">
        <f t="shared" si="53"/>
        <v>0</v>
      </c>
      <c r="BM102" s="409">
        <f t="shared" si="53"/>
        <v>0</v>
      </c>
      <c r="BN102" s="409">
        <f t="shared" si="53"/>
        <v>0</v>
      </c>
      <c r="BO102" s="409">
        <f t="shared" si="53"/>
        <v>0</v>
      </c>
      <c r="BP102" s="409">
        <f t="shared" si="53"/>
        <v>0</v>
      </c>
      <c r="BQ102" s="409">
        <f t="shared" si="53"/>
        <v>0</v>
      </c>
      <c r="BR102" s="409">
        <f t="shared" si="53"/>
        <v>0</v>
      </c>
      <c r="BS102" s="409">
        <f t="shared" si="53"/>
        <v>0</v>
      </c>
      <c r="BT102" s="409">
        <f t="shared" si="53"/>
        <v>0</v>
      </c>
      <c r="BU102" s="409">
        <f t="shared" si="53"/>
        <v>0</v>
      </c>
      <c r="BV102" s="409">
        <f t="shared" si="53"/>
        <v>0</v>
      </c>
      <c r="BW102" s="409">
        <f t="shared" si="53"/>
        <v>0</v>
      </c>
      <c r="BX102" s="409">
        <f t="shared" si="53"/>
        <v>0</v>
      </c>
      <c r="BY102" s="409">
        <f t="shared" si="53"/>
        <v>0</v>
      </c>
      <c r="BZ102" s="409">
        <f t="shared" si="53"/>
        <v>0</v>
      </c>
      <c r="CA102" s="409">
        <f t="shared" si="53"/>
        <v>0</v>
      </c>
      <c r="CB102" s="409">
        <f t="shared" si="53"/>
        <v>0</v>
      </c>
      <c r="CC102" s="409">
        <f t="shared" si="53"/>
        <v>0</v>
      </c>
      <c r="CD102" s="409">
        <f t="shared" si="53"/>
        <v>0</v>
      </c>
      <c r="CE102" s="409">
        <f t="shared" si="53"/>
        <v>0</v>
      </c>
      <c r="CF102" s="409">
        <f t="shared" si="53"/>
        <v>0</v>
      </c>
      <c r="CG102" s="409">
        <f t="shared" si="53"/>
        <v>0</v>
      </c>
      <c r="CH102" s="409">
        <f t="shared" si="53"/>
        <v>0</v>
      </c>
      <c r="CI102" s="409">
        <f t="shared" si="53"/>
        <v>0</v>
      </c>
      <c r="CJ102" s="409">
        <f t="shared" si="53"/>
        <v>0</v>
      </c>
      <c r="CK102" s="409">
        <f t="shared" si="53"/>
        <v>0</v>
      </c>
    </row>
    <row r="103" spans="1:101">
      <c r="AA103" s="408">
        <v>3</v>
      </c>
      <c r="AB103" s="409">
        <f>CapInvest!C26</f>
        <v>0</v>
      </c>
      <c r="AC103" s="145">
        <f t="shared" ref="AC103:AC120" si="54">AC80</f>
        <v>1</v>
      </c>
      <c r="AD103" s="409">
        <f t="shared" ref="AD103:AD120" si="55">IF(AD$3=$AC103,$AB103,0)</f>
        <v>0</v>
      </c>
      <c r="AE103" s="409">
        <f t="shared" ref="AE103:CK107" si="56">IF(AE$3=$AC103,$AB103,0)</f>
        <v>0</v>
      </c>
      <c r="AF103" s="409">
        <f t="shared" si="56"/>
        <v>0</v>
      </c>
      <c r="AG103" s="409">
        <f t="shared" si="56"/>
        <v>0</v>
      </c>
      <c r="AH103" s="409">
        <f t="shared" si="56"/>
        <v>0</v>
      </c>
      <c r="AI103" s="409">
        <f t="shared" si="56"/>
        <v>0</v>
      </c>
      <c r="AJ103" s="409">
        <f t="shared" si="56"/>
        <v>0</v>
      </c>
      <c r="AK103" s="409">
        <f t="shared" si="56"/>
        <v>0</v>
      </c>
      <c r="AL103" s="409">
        <f t="shared" si="56"/>
        <v>0</v>
      </c>
      <c r="AM103" s="409">
        <f t="shared" si="56"/>
        <v>0</v>
      </c>
      <c r="AN103" s="409">
        <f t="shared" si="56"/>
        <v>0</v>
      </c>
      <c r="AO103" s="409">
        <f t="shared" si="56"/>
        <v>0</v>
      </c>
      <c r="AP103" s="409">
        <f t="shared" si="56"/>
        <v>0</v>
      </c>
      <c r="AQ103" s="409">
        <f t="shared" si="56"/>
        <v>0</v>
      </c>
      <c r="AR103" s="409">
        <f t="shared" si="56"/>
        <v>0</v>
      </c>
      <c r="AS103" s="409">
        <f t="shared" si="56"/>
        <v>0</v>
      </c>
      <c r="AT103" s="409">
        <f t="shared" si="56"/>
        <v>0</v>
      </c>
      <c r="AU103" s="409">
        <f t="shared" si="56"/>
        <v>0</v>
      </c>
      <c r="AV103" s="409">
        <f t="shared" si="56"/>
        <v>0</v>
      </c>
      <c r="AW103" s="409">
        <f t="shared" si="56"/>
        <v>0</v>
      </c>
      <c r="AX103" s="409">
        <f t="shared" si="56"/>
        <v>0</v>
      </c>
      <c r="AY103" s="409">
        <f t="shared" si="56"/>
        <v>0</v>
      </c>
      <c r="AZ103" s="409">
        <f t="shared" si="56"/>
        <v>0</v>
      </c>
      <c r="BA103" s="409">
        <f t="shared" si="56"/>
        <v>0</v>
      </c>
      <c r="BB103" s="409">
        <f t="shared" si="56"/>
        <v>0</v>
      </c>
      <c r="BC103" s="409">
        <f t="shared" si="56"/>
        <v>0</v>
      </c>
      <c r="BD103" s="409">
        <f t="shared" si="56"/>
        <v>0</v>
      </c>
      <c r="BE103" s="409">
        <f t="shared" si="56"/>
        <v>0</v>
      </c>
      <c r="BF103" s="409">
        <f t="shared" si="56"/>
        <v>0</v>
      </c>
      <c r="BG103" s="409">
        <f t="shared" si="56"/>
        <v>0</v>
      </c>
      <c r="BH103" s="409">
        <f t="shared" si="56"/>
        <v>0</v>
      </c>
      <c r="BI103" s="409">
        <f t="shared" si="56"/>
        <v>0</v>
      </c>
      <c r="BJ103" s="409">
        <f t="shared" si="56"/>
        <v>0</v>
      </c>
      <c r="BK103" s="409">
        <f t="shared" si="56"/>
        <v>0</v>
      </c>
      <c r="BL103" s="409">
        <f t="shared" si="56"/>
        <v>0</v>
      </c>
      <c r="BM103" s="409">
        <f t="shared" si="56"/>
        <v>0</v>
      </c>
      <c r="BN103" s="409">
        <f t="shared" si="56"/>
        <v>0</v>
      </c>
      <c r="BO103" s="409">
        <f t="shared" si="56"/>
        <v>0</v>
      </c>
      <c r="BP103" s="409">
        <f t="shared" si="56"/>
        <v>0</v>
      </c>
      <c r="BQ103" s="409">
        <f t="shared" si="56"/>
        <v>0</v>
      </c>
      <c r="BR103" s="409">
        <f t="shared" si="56"/>
        <v>0</v>
      </c>
      <c r="BS103" s="409">
        <f t="shared" si="56"/>
        <v>0</v>
      </c>
      <c r="BT103" s="409">
        <f t="shared" si="56"/>
        <v>0</v>
      </c>
      <c r="BU103" s="409">
        <f t="shared" si="56"/>
        <v>0</v>
      </c>
      <c r="BV103" s="409">
        <f t="shared" si="56"/>
        <v>0</v>
      </c>
      <c r="BW103" s="409">
        <f t="shared" si="56"/>
        <v>0</v>
      </c>
      <c r="BX103" s="409">
        <f t="shared" si="56"/>
        <v>0</v>
      </c>
      <c r="BY103" s="409">
        <f t="shared" si="56"/>
        <v>0</v>
      </c>
      <c r="BZ103" s="409">
        <f t="shared" si="56"/>
        <v>0</v>
      </c>
      <c r="CA103" s="409">
        <f t="shared" si="56"/>
        <v>0</v>
      </c>
      <c r="CB103" s="409">
        <f t="shared" si="56"/>
        <v>0</v>
      </c>
      <c r="CC103" s="409">
        <f t="shared" si="56"/>
        <v>0</v>
      </c>
      <c r="CD103" s="409">
        <f t="shared" si="56"/>
        <v>0</v>
      </c>
      <c r="CE103" s="409">
        <f t="shared" si="56"/>
        <v>0</v>
      </c>
      <c r="CF103" s="409">
        <f t="shared" si="56"/>
        <v>0</v>
      </c>
      <c r="CG103" s="409">
        <f t="shared" si="56"/>
        <v>0</v>
      </c>
      <c r="CH103" s="409">
        <f t="shared" si="56"/>
        <v>0</v>
      </c>
      <c r="CI103" s="409">
        <f t="shared" si="56"/>
        <v>0</v>
      </c>
      <c r="CJ103" s="409">
        <f t="shared" si="56"/>
        <v>0</v>
      </c>
      <c r="CK103" s="409">
        <f t="shared" si="56"/>
        <v>0</v>
      </c>
    </row>
    <row r="104" spans="1:101">
      <c r="AA104" s="408">
        <v>4</v>
      </c>
      <c r="AB104" s="409">
        <f>CapInvest!C27</f>
        <v>0</v>
      </c>
      <c r="AC104" s="145">
        <f t="shared" si="54"/>
        <v>1</v>
      </c>
      <c r="AD104" s="409">
        <f t="shared" si="55"/>
        <v>0</v>
      </c>
      <c r="AE104" s="409">
        <f t="shared" si="56"/>
        <v>0</v>
      </c>
      <c r="AF104" s="409">
        <f t="shared" si="56"/>
        <v>0</v>
      </c>
      <c r="AG104" s="409">
        <f t="shared" si="56"/>
        <v>0</v>
      </c>
      <c r="AH104" s="409">
        <f t="shared" si="56"/>
        <v>0</v>
      </c>
      <c r="AI104" s="409">
        <f t="shared" si="56"/>
        <v>0</v>
      </c>
      <c r="AJ104" s="409">
        <f t="shared" si="56"/>
        <v>0</v>
      </c>
      <c r="AK104" s="409">
        <f t="shared" si="56"/>
        <v>0</v>
      </c>
      <c r="AL104" s="409">
        <f t="shared" si="56"/>
        <v>0</v>
      </c>
      <c r="AM104" s="409">
        <f t="shared" si="56"/>
        <v>0</v>
      </c>
      <c r="AN104" s="409">
        <f t="shared" si="56"/>
        <v>0</v>
      </c>
      <c r="AO104" s="409">
        <f t="shared" si="56"/>
        <v>0</v>
      </c>
      <c r="AP104" s="409">
        <f t="shared" si="56"/>
        <v>0</v>
      </c>
      <c r="AQ104" s="409">
        <f t="shared" si="56"/>
        <v>0</v>
      </c>
      <c r="AR104" s="409">
        <f t="shared" si="56"/>
        <v>0</v>
      </c>
      <c r="AS104" s="409">
        <f t="shared" si="56"/>
        <v>0</v>
      </c>
      <c r="AT104" s="409">
        <f t="shared" si="56"/>
        <v>0</v>
      </c>
      <c r="AU104" s="409">
        <f t="shared" si="56"/>
        <v>0</v>
      </c>
      <c r="AV104" s="409">
        <f t="shared" si="56"/>
        <v>0</v>
      </c>
      <c r="AW104" s="409">
        <f t="shared" si="56"/>
        <v>0</v>
      </c>
      <c r="AX104" s="409">
        <f t="shared" si="56"/>
        <v>0</v>
      </c>
      <c r="AY104" s="409">
        <f t="shared" si="56"/>
        <v>0</v>
      </c>
      <c r="AZ104" s="409">
        <f t="shared" si="56"/>
        <v>0</v>
      </c>
      <c r="BA104" s="409">
        <f t="shared" si="56"/>
        <v>0</v>
      </c>
      <c r="BB104" s="409">
        <f t="shared" si="56"/>
        <v>0</v>
      </c>
      <c r="BC104" s="409">
        <f t="shared" si="56"/>
        <v>0</v>
      </c>
      <c r="BD104" s="409">
        <f t="shared" si="56"/>
        <v>0</v>
      </c>
      <c r="BE104" s="409">
        <f t="shared" si="56"/>
        <v>0</v>
      </c>
      <c r="BF104" s="409">
        <f t="shared" si="56"/>
        <v>0</v>
      </c>
      <c r="BG104" s="409">
        <f t="shared" si="56"/>
        <v>0</v>
      </c>
      <c r="BH104" s="409">
        <f t="shared" si="56"/>
        <v>0</v>
      </c>
      <c r="BI104" s="409">
        <f t="shared" si="56"/>
        <v>0</v>
      </c>
      <c r="BJ104" s="409">
        <f t="shared" si="56"/>
        <v>0</v>
      </c>
      <c r="BK104" s="409">
        <f t="shared" si="56"/>
        <v>0</v>
      </c>
      <c r="BL104" s="409">
        <f t="shared" si="56"/>
        <v>0</v>
      </c>
      <c r="BM104" s="409">
        <f t="shared" si="56"/>
        <v>0</v>
      </c>
      <c r="BN104" s="409">
        <f t="shared" si="56"/>
        <v>0</v>
      </c>
      <c r="BO104" s="409">
        <f t="shared" si="56"/>
        <v>0</v>
      </c>
      <c r="BP104" s="409">
        <f t="shared" si="56"/>
        <v>0</v>
      </c>
      <c r="BQ104" s="409">
        <f t="shared" si="56"/>
        <v>0</v>
      </c>
      <c r="BR104" s="409">
        <f t="shared" si="56"/>
        <v>0</v>
      </c>
      <c r="BS104" s="409">
        <f t="shared" si="56"/>
        <v>0</v>
      </c>
      <c r="BT104" s="409">
        <f t="shared" si="56"/>
        <v>0</v>
      </c>
      <c r="BU104" s="409">
        <f t="shared" si="56"/>
        <v>0</v>
      </c>
      <c r="BV104" s="409">
        <f t="shared" si="56"/>
        <v>0</v>
      </c>
      <c r="BW104" s="409">
        <f t="shared" si="56"/>
        <v>0</v>
      </c>
      <c r="BX104" s="409">
        <f t="shared" si="56"/>
        <v>0</v>
      </c>
      <c r="BY104" s="409">
        <f t="shared" si="56"/>
        <v>0</v>
      </c>
      <c r="BZ104" s="409">
        <f t="shared" si="56"/>
        <v>0</v>
      </c>
      <c r="CA104" s="409">
        <f t="shared" si="56"/>
        <v>0</v>
      </c>
      <c r="CB104" s="409">
        <f t="shared" si="56"/>
        <v>0</v>
      </c>
      <c r="CC104" s="409">
        <f t="shared" si="56"/>
        <v>0</v>
      </c>
      <c r="CD104" s="409">
        <f t="shared" si="56"/>
        <v>0</v>
      </c>
      <c r="CE104" s="409">
        <f t="shared" si="56"/>
        <v>0</v>
      </c>
      <c r="CF104" s="409">
        <f t="shared" si="56"/>
        <v>0</v>
      </c>
      <c r="CG104" s="409">
        <f t="shared" si="56"/>
        <v>0</v>
      </c>
      <c r="CH104" s="409">
        <f t="shared" si="56"/>
        <v>0</v>
      </c>
      <c r="CI104" s="409">
        <f t="shared" si="56"/>
        <v>0</v>
      </c>
      <c r="CJ104" s="409">
        <f t="shared" si="56"/>
        <v>0</v>
      </c>
      <c r="CK104" s="409">
        <f t="shared" si="56"/>
        <v>0</v>
      </c>
    </row>
    <row r="105" spans="1:101">
      <c r="AA105" s="408">
        <v>5</v>
      </c>
      <c r="AB105" s="409">
        <f>CapInvest!C28</f>
        <v>0</v>
      </c>
      <c r="AC105" s="145">
        <f t="shared" si="54"/>
        <v>1</v>
      </c>
      <c r="AD105" s="409">
        <f t="shared" si="55"/>
        <v>0</v>
      </c>
      <c r="AE105" s="409">
        <f t="shared" si="56"/>
        <v>0</v>
      </c>
      <c r="AF105" s="409">
        <f t="shared" si="56"/>
        <v>0</v>
      </c>
      <c r="AG105" s="409">
        <f t="shared" si="56"/>
        <v>0</v>
      </c>
      <c r="AH105" s="409">
        <f t="shared" si="56"/>
        <v>0</v>
      </c>
      <c r="AI105" s="409">
        <f t="shared" si="56"/>
        <v>0</v>
      </c>
      <c r="AJ105" s="409">
        <f t="shared" si="56"/>
        <v>0</v>
      </c>
      <c r="AK105" s="409">
        <f t="shared" si="56"/>
        <v>0</v>
      </c>
      <c r="AL105" s="409">
        <f t="shared" si="56"/>
        <v>0</v>
      </c>
      <c r="AM105" s="409">
        <f t="shared" si="56"/>
        <v>0</v>
      </c>
      <c r="AN105" s="409">
        <f t="shared" si="56"/>
        <v>0</v>
      </c>
      <c r="AO105" s="409">
        <f t="shared" si="56"/>
        <v>0</v>
      </c>
      <c r="AP105" s="409">
        <f t="shared" si="56"/>
        <v>0</v>
      </c>
      <c r="AQ105" s="409">
        <f t="shared" si="56"/>
        <v>0</v>
      </c>
      <c r="AR105" s="409">
        <f t="shared" si="56"/>
        <v>0</v>
      </c>
      <c r="AS105" s="409">
        <f t="shared" si="56"/>
        <v>0</v>
      </c>
      <c r="AT105" s="409">
        <f t="shared" si="56"/>
        <v>0</v>
      </c>
      <c r="AU105" s="409">
        <f t="shared" si="56"/>
        <v>0</v>
      </c>
      <c r="AV105" s="409">
        <f t="shared" si="56"/>
        <v>0</v>
      </c>
      <c r="AW105" s="409">
        <f t="shared" si="56"/>
        <v>0</v>
      </c>
      <c r="AX105" s="409">
        <f t="shared" si="56"/>
        <v>0</v>
      </c>
      <c r="AY105" s="409">
        <f t="shared" si="56"/>
        <v>0</v>
      </c>
      <c r="AZ105" s="409">
        <f t="shared" si="56"/>
        <v>0</v>
      </c>
      <c r="BA105" s="409">
        <f t="shared" si="56"/>
        <v>0</v>
      </c>
      <c r="BB105" s="409">
        <f t="shared" si="56"/>
        <v>0</v>
      </c>
      <c r="BC105" s="409">
        <f t="shared" si="56"/>
        <v>0</v>
      </c>
      <c r="BD105" s="409">
        <f t="shared" si="56"/>
        <v>0</v>
      </c>
      <c r="BE105" s="409">
        <f t="shared" si="56"/>
        <v>0</v>
      </c>
      <c r="BF105" s="409">
        <f t="shared" si="56"/>
        <v>0</v>
      </c>
      <c r="BG105" s="409">
        <f t="shared" si="56"/>
        <v>0</v>
      </c>
      <c r="BH105" s="409">
        <f t="shared" si="56"/>
        <v>0</v>
      </c>
      <c r="BI105" s="409">
        <f t="shared" si="56"/>
        <v>0</v>
      </c>
      <c r="BJ105" s="409">
        <f t="shared" si="56"/>
        <v>0</v>
      </c>
      <c r="BK105" s="409">
        <f t="shared" si="56"/>
        <v>0</v>
      </c>
      <c r="BL105" s="409">
        <f t="shared" si="56"/>
        <v>0</v>
      </c>
      <c r="BM105" s="409">
        <f t="shared" si="56"/>
        <v>0</v>
      </c>
      <c r="BN105" s="409">
        <f t="shared" si="56"/>
        <v>0</v>
      </c>
      <c r="BO105" s="409">
        <f t="shared" si="56"/>
        <v>0</v>
      </c>
      <c r="BP105" s="409">
        <f t="shared" si="56"/>
        <v>0</v>
      </c>
      <c r="BQ105" s="409">
        <f t="shared" si="56"/>
        <v>0</v>
      </c>
      <c r="BR105" s="409">
        <f t="shared" si="56"/>
        <v>0</v>
      </c>
      <c r="BS105" s="409">
        <f t="shared" si="56"/>
        <v>0</v>
      </c>
      <c r="BT105" s="409">
        <f t="shared" si="56"/>
        <v>0</v>
      </c>
      <c r="BU105" s="409">
        <f t="shared" si="56"/>
        <v>0</v>
      </c>
      <c r="BV105" s="409">
        <f t="shared" si="56"/>
        <v>0</v>
      </c>
      <c r="BW105" s="409">
        <f t="shared" si="56"/>
        <v>0</v>
      </c>
      <c r="BX105" s="409">
        <f t="shared" si="56"/>
        <v>0</v>
      </c>
      <c r="BY105" s="409">
        <f t="shared" si="56"/>
        <v>0</v>
      </c>
      <c r="BZ105" s="409">
        <f t="shared" si="56"/>
        <v>0</v>
      </c>
      <c r="CA105" s="409">
        <f t="shared" si="56"/>
        <v>0</v>
      </c>
      <c r="CB105" s="409">
        <f t="shared" si="56"/>
        <v>0</v>
      </c>
      <c r="CC105" s="409">
        <f t="shared" si="56"/>
        <v>0</v>
      </c>
      <c r="CD105" s="409">
        <f t="shared" si="56"/>
        <v>0</v>
      </c>
      <c r="CE105" s="409">
        <f t="shared" si="56"/>
        <v>0</v>
      </c>
      <c r="CF105" s="409">
        <f t="shared" si="56"/>
        <v>0</v>
      </c>
      <c r="CG105" s="409">
        <f t="shared" si="56"/>
        <v>0</v>
      </c>
      <c r="CH105" s="409">
        <f t="shared" si="56"/>
        <v>0</v>
      </c>
      <c r="CI105" s="409">
        <f t="shared" si="56"/>
        <v>0</v>
      </c>
      <c r="CJ105" s="409">
        <f t="shared" si="56"/>
        <v>0</v>
      </c>
      <c r="CK105" s="409">
        <f t="shared" si="56"/>
        <v>0</v>
      </c>
    </row>
    <row r="106" spans="1:101">
      <c r="AA106" s="408">
        <v>6</v>
      </c>
      <c r="AB106" s="409">
        <f>CapInvest!C29</f>
        <v>0</v>
      </c>
      <c r="AC106" s="145">
        <f t="shared" si="54"/>
        <v>1</v>
      </c>
      <c r="AD106" s="409">
        <f t="shared" si="55"/>
        <v>0</v>
      </c>
      <c r="AE106" s="409">
        <f t="shared" si="56"/>
        <v>0</v>
      </c>
      <c r="AF106" s="409">
        <f t="shared" si="56"/>
        <v>0</v>
      </c>
      <c r="AG106" s="409">
        <f t="shared" si="56"/>
        <v>0</v>
      </c>
      <c r="AH106" s="409">
        <f t="shared" si="56"/>
        <v>0</v>
      </c>
      <c r="AI106" s="409">
        <f t="shared" si="56"/>
        <v>0</v>
      </c>
      <c r="AJ106" s="409">
        <f t="shared" si="56"/>
        <v>0</v>
      </c>
      <c r="AK106" s="409">
        <f t="shared" si="56"/>
        <v>0</v>
      </c>
      <c r="AL106" s="409">
        <f t="shared" si="56"/>
        <v>0</v>
      </c>
      <c r="AM106" s="409">
        <f t="shared" si="56"/>
        <v>0</v>
      </c>
      <c r="AN106" s="409">
        <f t="shared" si="56"/>
        <v>0</v>
      </c>
      <c r="AO106" s="409">
        <f t="shared" si="56"/>
        <v>0</v>
      </c>
      <c r="AP106" s="409">
        <f t="shared" si="56"/>
        <v>0</v>
      </c>
      <c r="AQ106" s="409">
        <f t="shared" si="56"/>
        <v>0</v>
      </c>
      <c r="AR106" s="409">
        <f t="shared" si="56"/>
        <v>0</v>
      </c>
      <c r="AS106" s="409">
        <f t="shared" si="56"/>
        <v>0</v>
      </c>
      <c r="AT106" s="409">
        <f t="shared" si="56"/>
        <v>0</v>
      </c>
      <c r="AU106" s="409">
        <f t="shared" si="56"/>
        <v>0</v>
      </c>
      <c r="AV106" s="409">
        <f t="shared" si="56"/>
        <v>0</v>
      </c>
      <c r="AW106" s="409">
        <f t="shared" si="56"/>
        <v>0</v>
      </c>
      <c r="AX106" s="409">
        <f t="shared" si="56"/>
        <v>0</v>
      </c>
      <c r="AY106" s="409">
        <f t="shared" si="56"/>
        <v>0</v>
      </c>
      <c r="AZ106" s="409">
        <f t="shared" si="56"/>
        <v>0</v>
      </c>
      <c r="BA106" s="409">
        <f t="shared" si="56"/>
        <v>0</v>
      </c>
      <c r="BB106" s="409">
        <f t="shared" si="56"/>
        <v>0</v>
      </c>
      <c r="BC106" s="409">
        <f t="shared" si="56"/>
        <v>0</v>
      </c>
      <c r="BD106" s="409">
        <f t="shared" si="56"/>
        <v>0</v>
      </c>
      <c r="BE106" s="409">
        <f t="shared" si="56"/>
        <v>0</v>
      </c>
      <c r="BF106" s="409">
        <f t="shared" si="56"/>
        <v>0</v>
      </c>
      <c r="BG106" s="409">
        <f t="shared" si="56"/>
        <v>0</v>
      </c>
      <c r="BH106" s="409">
        <f t="shared" si="56"/>
        <v>0</v>
      </c>
      <c r="BI106" s="409">
        <f t="shared" si="56"/>
        <v>0</v>
      </c>
      <c r="BJ106" s="409">
        <f t="shared" si="56"/>
        <v>0</v>
      </c>
      <c r="BK106" s="409">
        <f t="shared" si="56"/>
        <v>0</v>
      </c>
      <c r="BL106" s="409">
        <f t="shared" si="56"/>
        <v>0</v>
      </c>
      <c r="BM106" s="409">
        <f t="shared" si="56"/>
        <v>0</v>
      </c>
      <c r="BN106" s="409">
        <f t="shared" si="56"/>
        <v>0</v>
      </c>
      <c r="BO106" s="409">
        <f t="shared" si="56"/>
        <v>0</v>
      </c>
      <c r="BP106" s="409">
        <f t="shared" si="56"/>
        <v>0</v>
      </c>
      <c r="BQ106" s="409">
        <f t="shared" si="56"/>
        <v>0</v>
      </c>
      <c r="BR106" s="409">
        <f t="shared" si="56"/>
        <v>0</v>
      </c>
      <c r="BS106" s="409">
        <f t="shared" si="56"/>
        <v>0</v>
      </c>
      <c r="BT106" s="409">
        <f t="shared" si="56"/>
        <v>0</v>
      </c>
      <c r="BU106" s="409">
        <f t="shared" si="56"/>
        <v>0</v>
      </c>
      <c r="BV106" s="409">
        <f t="shared" si="56"/>
        <v>0</v>
      </c>
      <c r="BW106" s="409">
        <f t="shared" si="56"/>
        <v>0</v>
      </c>
      <c r="BX106" s="409">
        <f t="shared" si="56"/>
        <v>0</v>
      </c>
      <c r="BY106" s="409">
        <f t="shared" si="56"/>
        <v>0</v>
      </c>
      <c r="BZ106" s="409">
        <f t="shared" si="56"/>
        <v>0</v>
      </c>
      <c r="CA106" s="409">
        <f t="shared" si="56"/>
        <v>0</v>
      </c>
      <c r="CB106" s="409">
        <f t="shared" si="56"/>
        <v>0</v>
      </c>
      <c r="CC106" s="409">
        <f t="shared" si="56"/>
        <v>0</v>
      </c>
      <c r="CD106" s="409">
        <f t="shared" si="56"/>
        <v>0</v>
      </c>
      <c r="CE106" s="409">
        <f t="shared" si="56"/>
        <v>0</v>
      </c>
      <c r="CF106" s="409">
        <f t="shared" si="56"/>
        <v>0</v>
      </c>
      <c r="CG106" s="409">
        <f t="shared" si="56"/>
        <v>0</v>
      </c>
      <c r="CH106" s="409">
        <f t="shared" si="56"/>
        <v>0</v>
      </c>
      <c r="CI106" s="409">
        <f t="shared" si="56"/>
        <v>0</v>
      </c>
      <c r="CJ106" s="409">
        <f t="shared" si="56"/>
        <v>0</v>
      </c>
      <c r="CK106" s="409">
        <f t="shared" si="56"/>
        <v>0</v>
      </c>
    </row>
    <row r="107" spans="1:101">
      <c r="AA107" s="408">
        <v>7</v>
      </c>
      <c r="AB107" s="409">
        <f>CapInvest!C30</f>
        <v>0</v>
      </c>
      <c r="AC107" s="145">
        <f t="shared" si="54"/>
        <v>1</v>
      </c>
      <c r="AD107" s="409">
        <f t="shared" si="55"/>
        <v>0</v>
      </c>
      <c r="AE107" s="409">
        <f t="shared" si="56"/>
        <v>0</v>
      </c>
      <c r="AF107" s="409">
        <f t="shared" si="56"/>
        <v>0</v>
      </c>
      <c r="AG107" s="409">
        <f t="shared" si="56"/>
        <v>0</v>
      </c>
      <c r="AH107" s="409">
        <f t="shared" si="56"/>
        <v>0</v>
      </c>
      <c r="AI107" s="409">
        <f t="shared" si="56"/>
        <v>0</v>
      </c>
      <c r="AJ107" s="409">
        <f t="shared" si="56"/>
        <v>0</v>
      </c>
      <c r="AK107" s="409">
        <f t="shared" si="56"/>
        <v>0</v>
      </c>
      <c r="AL107" s="409">
        <f t="shared" si="56"/>
        <v>0</v>
      </c>
      <c r="AM107" s="409">
        <f t="shared" si="56"/>
        <v>0</v>
      </c>
      <c r="AN107" s="409">
        <f t="shared" si="56"/>
        <v>0</v>
      </c>
      <c r="AO107" s="409">
        <f t="shared" si="56"/>
        <v>0</v>
      </c>
      <c r="AP107" s="409">
        <f t="shared" si="56"/>
        <v>0</v>
      </c>
      <c r="AQ107" s="409">
        <f t="shared" si="56"/>
        <v>0</v>
      </c>
      <c r="AR107" s="409">
        <f t="shared" si="56"/>
        <v>0</v>
      </c>
      <c r="AS107" s="409">
        <f t="shared" si="56"/>
        <v>0</v>
      </c>
      <c r="AT107" s="409">
        <f t="shared" si="56"/>
        <v>0</v>
      </c>
      <c r="AU107" s="409">
        <f t="shared" si="56"/>
        <v>0</v>
      </c>
      <c r="AV107" s="409">
        <f t="shared" si="56"/>
        <v>0</v>
      </c>
      <c r="AW107" s="409">
        <f t="shared" si="56"/>
        <v>0</v>
      </c>
      <c r="AX107" s="409">
        <f t="shared" ref="AX107:CK113" si="57">IF(AX$3=$AC107,$AB107,0)</f>
        <v>0</v>
      </c>
      <c r="AY107" s="409">
        <f t="shared" si="57"/>
        <v>0</v>
      </c>
      <c r="AZ107" s="409">
        <f t="shared" si="57"/>
        <v>0</v>
      </c>
      <c r="BA107" s="409">
        <f t="shared" si="57"/>
        <v>0</v>
      </c>
      <c r="BB107" s="409">
        <f t="shared" si="57"/>
        <v>0</v>
      </c>
      <c r="BC107" s="409">
        <f t="shared" si="57"/>
        <v>0</v>
      </c>
      <c r="BD107" s="409">
        <f t="shared" si="57"/>
        <v>0</v>
      </c>
      <c r="BE107" s="409">
        <f t="shared" si="57"/>
        <v>0</v>
      </c>
      <c r="BF107" s="409">
        <f t="shared" si="57"/>
        <v>0</v>
      </c>
      <c r="BG107" s="409">
        <f t="shared" si="57"/>
        <v>0</v>
      </c>
      <c r="BH107" s="409">
        <f t="shared" si="57"/>
        <v>0</v>
      </c>
      <c r="BI107" s="409">
        <f t="shared" si="57"/>
        <v>0</v>
      </c>
      <c r="BJ107" s="409">
        <f t="shared" si="57"/>
        <v>0</v>
      </c>
      <c r="BK107" s="409">
        <f t="shared" si="57"/>
        <v>0</v>
      </c>
      <c r="BL107" s="409">
        <f t="shared" si="57"/>
        <v>0</v>
      </c>
      <c r="BM107" s="409">
        <f t="shared" si="57"/>
        <v>0</v>
      </c>
      <c r="BN107" s="409">
        <f t="shared" si="57"/>
        <v>0</v>
      </c>
      <c r="BO107" s="409">
        <f t="shared" si="57"/>
        <v>0</v>
      </c>
      <c r="BP107" s="409">
        <f t="shared" si="57"/>
        <v>0</v>
      </c>
      <c r="BQ107" s="409">
        <f t="shared" si="57"/>
        <v>0</v>
      </c>
      <c r="BR107" s="409">
        <f t="shared" si="57"/>
        <v>0</v>
      </c>
      <c r="BS107" s="409">
        <f t="shared" si="57"/>
        <v>0</v>
      </c>
      <c r="BT107" s="409">
        <f t="shared" si="57"/>
        <v>0</v>
      </c>
      <c r="BU107" s="409">
        <f t="shared" si="57"/>
        <v>0</v>
      </c>
      <c r="BV107" s="409">
        <f t="shared" si="57"/>
        <v>0</v>
      </c>
      <c r="BW107" s="409">
        <f t="shared" si="57"/>
        <v>0</v>
      </c>
      <c r="BX107" s="409">
        <f t="shared" si="57"/>
        <v>0</v>
      </c>
      <c r="BY107" s="409">
        <f t="shared" si="57"/>
        <v>0</v>
      </c>
      <c r="BZ107" s="409">
        <f t="shared" si="57"/>
        <v>0</v>
      </c>
      <c r="CA107" s="409">
        <f t="shared" si="57"/>
        <v>0</v>
      </c>
      <c r="CB107" s="409">
        <f t="shared" si="57"/>
        <v>0</v>
      </c>
      <c r="CC107" s="409">
        <f t="shared" si="57"/>
        <v>0</v>
      </c>
      <c r="CD107" s="409">
        <f t="shared" si="57"/>
        <v>0</v>
      </c>
      <c r="CE107" s="409">
        <f t="shared" si="57"/>
        <v>0</v>
      </c>
      <c r="CF107" s="409">
        <f t="shared" si="57"/>
        <v>0</v>
      </c>
      <c r="CG107" s="409">
        <f t="shared" si="57"/>
        <v>0</v>
      </c>
      <c r="CH107" s="409">
        <f t="shared" si="57"/>
        <v>0</v>
      </c>
      <c r="CI107" s="409">
        <f t="shared" si="57"/>
        <v>0</v>
      </c>
      <c r="CJ107" s="409">
        <f t="shared" si="57"/>
        <v>0</v>
      </c>
      <c r="CK107" s="409">
        <f t="shared" si="57"/>
        <v>0</v>
      </c>
    </row>
    <row r="108" spans="1:101">
      <c r="AA108" s="408">
        <v>8</v>
      </c>
      <c r="AB108" s="409">
        <f>CapInvest!C31</f>
        <v>0</v>
      </c>
      <c r="AC108" s="145">
        <f t="shared" si="54"/>
        <v>1</v>
      </c>
      <c r="AD108" s="409">
        <f t="shared" si="55"/>
        <v>0</v>
      </c>
      <c r="AE108" s="409">
        <f t="shared" ref="AE108:BJ118" si="58">IF(AE$3=$AC108,$AB108,0)</f>
        <v>0</v>
      </c>
      <c r="AF108" s="409">
        <f t="shared" si="58"/>
        <v>0</v>
      </c>
      <c r="AG108" s="409">
        <f t="shared" si="58"/>
        <v>0</v>
      </c>
      <c r="AH108" s="409">
        <f t="shared" si="58"/>
        <v>0</v>
      </c>
      <c r="AI108" s="409">
        <f t="shared" si="58"/>
        <v>0</v>
      </c>
      <c r="AJ108" s="409">
        <f t="shared" si="58"/>
        <v>0</v>
      </c>
      <c r="AK108" s="409">
        <f t="shared" si="58"/>
        <v>0</v>
      </c>
      <c r="AL108" s="409">
        <f t="shared" si="58"/>
        <v>0</v>
      </c>
      <c r="AM108" s="409">
        <f t="shared" si="58"/>
        <v>0</v>
      </c>
      <c r="AN108" s="409">
        <f t="shared" si="58"/>
        <v>0</v>
      </c>
      <c r="AO108" s="409">
        <f t="shared" si="58"/>
        <v>0</v>
      </c>
      <c r="AP108" s="409">
        <f t="shared" si="58"/>
        <v>0</v>
      </c>
      <c r="AQ108" s="409">
        <f t="shared" si="58"/>
        <v>0</v>
      </c>
      <c r="AR108" s="409">
        <f t="shared" si="58"/>
        <v>0</v>
      </c>
      <c r="AS108" s="409">
        <f t="shared" si="58"/>
        <v>0</v>
      </c>
      <c r="AT108" s="409">
        <f t="shared" si="58"/>
        <v>0</v>
      </c>
      <c r="AU108" s="409">
        <f t="shared" si="58"/>
        <v>0</v>
      </c>
      <c r="AV108" s="409">
        <f t="shared" si="58"/>
        <v>0</v>
      </c>
      <c r="AW108" s="409">
        <f t="shared" si="58"/>
        <v>0</v>
      </c>
      <c r="AX108" s="409">
        <f t="shared" si="57"/>
        <v>0</v>
      </c>
      <c r="AY108" s="409">
        <f t="shared" si="57"/>
        <v>0</v>
      </c>
      <c r="AZ108" s="409">
        <f t="shared" si="57"/>
        <v>0</v>
      </c>
      <c r="BA108" s="409">
        <f t="shared" si="57"/>
        <v>0</v>
      </c>
      <c r="BB108" s="409">
        <f t="shared" si="57"/>
        <v>0</v>
      </c>
      <c r="BC108" s="409">
        <f t="shared" si="57"/>
        <v>0</v>
      </c>
      <c r="BD108" s="409">
        <f t="shared" si="57"/>
        <v>0</v>
      </c>
      <c r="BE108" s="409">
        <f t="shared" si="57"/>
        <v>0</v>
      </c>
      <c r="BF108" s="409">
        <f t="shared" si="57"/>
        <v>0</v>
      </c>
      <c r="BG108" s="409">
        <f t="shared" si="57"/>
        <v>0</v>
      </c>
      <c r="BH108" s="409">
        <f t="shared" si="57"/>
        <v>0</v>
      </c>
      <c r="BI108" s="409">
        <f t="shared" si="57"/>
        <v>0</v>
      </c>
      <c r="BJ108" s="409">
        <f t="shared" si="57"/>
        <v>0</v>
      </c>
      <c r="BK108" s="409">
        <f t="shared" si="57"/>
        <v>0</v>
      </c>
      <c r="BL108" s="409">
        <f t="shared" si="57"/>
        <v>0</v>
      </c>
      <c r="BM108" s="409">
        <f t="shared" si="57"/>
        <v>0</v>
      </c>
      <c r="BN108" s="409">
        <f t="shared" si="57"/>
        <v>0</v>
      </c>
      <c r="BO108" s="409">
        <f t="shared" si="57"/>
        <v>0</v>
      </c>
      <c r="BP108" s="409">
        <f t="shared" si="57"/>
        <v>0</v>
      </c>
      <c r="BQ108" s="409">
        <f t="shared" si="57"/>
        <v>0</v>
      </c>
      <c r="BR108" s="409">
        <f t="shared" si="57"/>
        <v>0</v>
      </c>
      <c r="BS108" s="409">
        <f t="shared" si="57"/>
        <v>0</v>
      </c>
      <c r="BT108" s="409">
        <f t="shared" si="57"/>
        <v>0</v>
      </c>
      <c r="BU108" s="409">
        <f t="shared" si="57"/>
        <v>0</v>
      </c>
      <c r="BV108" s="409">
        <f t="shared" si="57"/>
        <v>0</v>
      </c>
      <c r="BW108" s="409">
        <f t="shared" si="57"/>
        <v>0</v>
      </c>
      <c r="BX108" s="409">
        <f t="shared" si="57"/>
        <v>0</v>
      </c>
      <c r="BY108" s="409">
        <f t="shared" si="57"/>
        <v>0</v>
      </c>
      <c r="BZ108" s="409">
        <f t="shared" si="57"/>
        <v>0</v>
      </c>
      <c r="CA108" s="409">
        <f t="shared" si="57"/>
        <v>0</v>
      </c>
      <c r="CB108" s="409">
        <f t="shared" si="57"/>
        <v>0</v>
      </c>
      <c r="CC108" s="409">
        <f t="shared" si="57"/>
        <v>0</v>
      </c>
      <c r="CD108" s="409">
        <f t="shared" si="57"/>
        <v>0</v>
      </c>
      <c r="CE108" s="409">
        <f t="shared" si="57"/>
        <v>0</v>
      </c>
      <c r="CF108" s="409">
        <f t="shared" si="57"/>
        <v>0</v>
      </c>
      <c r="CG108" s="409">
        <f t="shared" si="57"/>
        <v>0</v>
      </c>
      <c r="CH108" s="409">
        <f t="shared" si="57"/>
        <v>0</v>
      </c>
      <c r="CI108" s="409">
        <f t="shared" si="57"/>
        <v>0</v>
      </c>
      <c r="CJ108" s="409">
        <f t="shared" si="57"/>
        <v>0</v>
      </c>
      <c r="CK108" s="409">
        <f t="shared" si="57"/>
        <v>0</v>
      </c>
    </row>
    <row r="109" spans="1:101">
      <c r="AA109" s="408">
        <v>9</v>
      </c>
      <c r="AB109" s="409">
        <f>CapInvest!C32</f>
        <v>0</v>
      </c>
      <c r="AC109" s="145">
        <f t="shared" si="54"/>
        <v>1</v>
      </c>
      <c r="AD109" s="409">
        <f t="shared" si="55"/>
        <v>0</v>
      </c>
      <c r="AE109" s="409">
        <f t="shared" si="58"/>
        <v>0</v>
      </c>
      <c r="AF109" s="409">
        <f t="shared" si="58"/>
        <v>0</v>
      </c>
      <c r="AG109" s="409">
        <f t="shared" si="58"/>
        <v>0</v>
      </c>
      <c r="AH109" s="409">
        <f t="shared" si="58"/>
        <v>0</v>
      </c>
      <c r="AI109" s="409">
        <f t="shared" si="58"/>
        <v>0</v>
      </c>
      <c r="AJ109" s="409">
        <f t="shared" si="58"/>
        <v>0</v>
      </c>
      <c r="AK109" s="409">
        <f t="shared" si="58"/>
        <v>0</v>
      </c>
      <c r="AL109" s="409">
        <f t="shared" si="58"/>
        <v>0</v>
      </c>
      <c r="AM109" s="409">
        <f t="shared" si="58"/>
        <v>0</v>
      </c>
      <c r="AN109" s="409">
        <f t="shared" si="58"/>
        <v>0</v>
      </c>
      <c r="AO109" s="409">
        <f t="shared" si="58"/>
        <v>0</v>
      </c>
      <c r="AP109" s="409">
        <f t="shared" si="58"/>
        <v>0</v>
      </c>
      <c r="AQ109" s="409">
        <f t="shared" si="58"/>
        <v>0</v>
      </c>
      <c r="AR109" s="409">
        <f t="shared" si="58"/>
        <v>0</v>
      </c>
      <c r="AS109" s="409">
        <f t="shared" si="58"/>
        <v>0</v>
      </c>
      <c r="AT109" s="409">
        <f t="shared" si="58"/>
        <v>0</v>
      </c>
      <c r="AU109" s="409">
        <f t="shared" si="58"/>
        <v>0</v>
      </c>
      <c r="AV109" s="409">
        <f t="shared" si="58"/>
        <v>0</v>
      </c>
      <c r="AW109" s="409">
        <f t="shared" si="58"/>
        <v>0</v>
      </c>
      <c r="AX109" s="409">
        <f t="shared" si="57"/>
        <v>0</v>
      </c>
      <c r="AY109" s="409">
        <f t="shared" si="57"/>
        <v>0</v>
      </c>
      <c r="AZ109" s="409">
        <f t="shared" si="57"/>
        <v>0</v>
      </c>
      <c r="BA109" s="409">
        <f t="shared" si="57"/>
        <v>0</v>
      </c>
      <c r="BB109" s="409">
        <f t="shared" si="57"/>
        <v>0</v>
      </c>
      <c r="BC109" s="409">
        <f t="shared" si="57"/>
        <v>0</v>
      </c>
      <c r="BD109" s="409">
        <f t="shared" si="57"/>
        <v>0</v>
      </c>
      <c r="BE109" s="409">
        <f t="shared" si="57"/>
        <v>0</v>
      </c>
      <c r="BF109" s="409">
        <f t="shared" si="57"/>
        <v>0</v>
      </c>
      <c r="BG109" s="409">
        <f t="shared" si="57"/>
        <v>0</v>
      </c>
      <c r="BH109" s="409">
        <f t="shared" si="57"/>
        <v>0</v>
      </c>
      <c r="BI109" s="409">
        <f t="shared" si="57"/>
        <v>0</v>
      </c>
      <c r="BJ109" s="409">
        <f t="shared" si="57"/>
        <v>0</v>
      </c>
      <c r="BK109" s="409">
        <f t="shared" si="57"/>
        <v>0</v>
      </c>
      <c r="BL109" s="409">
        <f t="shared" si="57"/>
        <v>0</v>
      </c>
      <c r="BM109" s="409">
        <f t="shared" si="57"/>
        <v>0</v>
      </c>
      <c r="BN109" s="409">
        <f t="shared" si="57"/>
        <v>0</v>
      </c>
      <c r="BO109" s="409">
        <f t="shared" si="57"/>
        <v>0</v>
      </c>
      <c r="BP109" s="409">
        <f t="shared" si="57"/>
        <v>0</v>
      </c>
      <c r="BQ109" s="409">
        <f t="shared" si="57"/>
        <v>0</v>
      </c>
      <c r="BR109" s="409">
        <f t="shared" si="57"/>
        <v>0</v>
      </c>
      <c r="BS109" s="409">
        <f t="shared" si="57"/>
        <v>0</v>
      </c>
      <c r="BT109" s="409">
        <f t="shared" si="57"/>
        <v>0</v>
      </c>
      <c r="BU109" s="409">
        <f t="shared" si="57"/>
        <v>0</v>
      </c>
      <c r="BV109" s="409">
        <f t="shared" si="57"/>
        <v>0</v>
      </c>
      <c r="BW109" s="409">
        <f t="shared" si="57"/>
        <v>0</v>
      </c>
      <c r="BX109" s="409">
        <f t="shared" si="57"/>
        <v>0</v>
      </c>
      <c r="BY109" s="409">
        <f t="shared" si="57"/>
        <v>0</v>
      </c>
      <c r="BZ109" s="409">
        <f t="shared" si="57"/>
        <v>0</v>
      </c>
      <c r="CA109" s="409">
        <f t="shared" si="57"/>
        <v>0</v>
      </c>
      <c r="CB109" s="409">
        <f t="shared" si="57"/>
        <v>0</v>
      </c>
      <c r="CC109" s="409">
        <f t="shared" si="57"/>
        <v>0</v>
      </c>
      <c r="CD109" s="409">
        <f t="shared" si="57"/>
        <v>0</v>
      </c>
      <c r="CE109" s="409">
        <f t="shared" si="57"/>
        <v>0</v>
      </c>
      <c r="CF109" s="409">
        <f t="shared" si="57"/>
        <v>0</v>
      </c>
      <c r="CG109" s="409">
        <f t="shared" si="57"/>
        <v>0</v>
      </c>
      <c r="CH109" s="409">
        <f t="shared" si="57"/>
        <v>0</v>
      </c>
      <c r="CI109" s="409">
        <f t="shared" si="57"/>
        <v>0</v>
      </c>
      <c r="CJ109" s="409">
        <f t="shared" si="57"/>
        <v>0</v>
      </c>
      <c r="CK109" s="409">
        <f t="shared" si="57"/>
        <v>0</v>
      </c>
    </row>
    <row r="110" spans="1:101">
      <c r="AA110" s="408">
        <v>10</v>
      </c>
      <c r="AB110" s="409">
        <f>CapInvest!C33</f>
        <v>0</v>
      </c>
      <c r="AC110" s="145">
        <f t="shared" si="54"/>
        <v>1</v>
      </c>
      <c r="AD110" s="409">
        <f t="shared" si="55"/>
        <v>0</v>
      </c>
      <c r="AE110" s="409">
        <f t="shared" si="58"/>
        <v>0</v>
      </c>
      <c r="AF110" s="409">
        <f t="shared" si="58"/>
        <v>0</v>
      </c>
      <c r="AG110" s="409">
        <f t="shared" si="58"/>
        <v>0</v>
      </c>
      <c r="AH110" s="409">
        <f t="shared" si="58"/>
        <v>0</v>
      </c>
      <c r="AI110" s="409">
        <f t="shared" si="58"/>
        <v>0</v>
      </c>
      <c r="AJ110" s="409">
        <f t="shared" si="58"/>
        <v>0</v>
      </c>
      <c r="AK110" s="409">
        <f t="shared" si="58"/>
        <v>0</v>
      </c>
      <c r="AL110" s="409">
        <f t="shared" si="58"/>
        <v>0</v>
      </c>
      <c r="AM110" s="409">
        <f t="shared" si="58"/>
        <v>0</v>
      </c>
      <c r="AN110" s="409">
        <f t="shared" si="58"/>
        <v>0</v>
      </c>
      <c r="AO110" s="409">
        <f t="shared" si="58"/>
        <v>0</v>
      </c>
      <c r="AP110" s="409">
        <f t="shared" si="58"/>
        <v>0</v>
      </c>
      <c r="AQ110" s="409">
        <f t="shared" si="58"/>
        <v>0</v>
      </c>
      <c r="AR110" s="409">
        <f t="shared" si="58"/>
        <v>0</v>
      </c>
      <c r="AS110" s="409">
        <f t="shared" si="58"/>
        <v>0</v>
      </c>
      <c r="AT110" s="409">
        <f t="shared" si="58"/>
        <v>0</v>
      </c>
      <c r="AU110" s="409">
        <f t="shared" si="58"/>
        <v>0</v>
      </c>
      <c r="AV110" s="409">
        <f t="shared" si="58"/>
        <v>0</v>
      </c>
      <c r="AW110" s="409">
        <f t="shared" si="58"/>
        <v>0</v>
      </c>
      <c r="AX110" s="409">
        <f t="shared" si="57"/>
        <v>0</v>
      </c>
      <c r="AY110" s="409">
        <f t="shared" si="57"/>
        <v>0</v>
      </c>
      <c r="AZ110" s="409">
        <f t="shared" si="57"/>
        <v>0</v>
      </c>
      <c r="BA110" s="409">
        <f t="shared" si="57"/>
        <v>0</v>
      </c>
      <c r="BB110" s="409">
        <f t="shared" si="57"/>
        <v>0</v>
      </c>
      <c r="BC110" s="409">
        <f t="shared" si="57"/>
        <v>0</v>
      </c>
      <c r="BD110" s="409">
        <f t="shared" si="57"/>
        <v>0</v>
      </c>
      <c r="BE110" s="409">
        <f t="shared" si="57"/>
        <v>0</v>
      </c>
      <c r="BF110" s="409">
        <f t="shared" si="57"/>
        <v>0</v>
      </c>
      <c r="BG110" s="409">
        <f t="shared" si="57"/>
        <v>0</v>
      </c>
      <c r="BH110" s="409">
        <f t="shared" si="57"/>
        <v>0</v>
      </c>
      <c r="BI110" s="409">
        <f t="shared" si="57"/>
        <v>0</v>
      </c>
      <c r="BJ110" s="409">
        <f t="shared" si="57"/>
        <v>0</v>
      </c>
      <c r="BK110" s="409">
        <f t="shared" si="57"/>
        <v>0</v>
      </c>
      <c r="BL110" s="409">
        <f t="shared" si="57"/>
        <v>0</v>
      </c>
      <c r="BM110" s="409">
        <f t="shared" si="57"/>
        <v>0</v>
      </c>
      <c r="BN110" s="409">
        <f t="shared" si="57"/>
        <v>0</v>
      </c>
      <c r="BO110" s="409">
        <f t="shared" si="57"/>
        <v>0</v>
      </c>
      <c r="BP110" s="409">
        <f t="shared" si="57"/>
        <v>0</v>
      </c>
      <c r="BQ110" s="409">
        <f t="shared" si="57"/>
        <v>0</v>
      </c>
      <c r="BR110" s="409">
        <f t="shared" si="57"/>
        <v>0</v>
      </c>
      <c r="BS110" s="409">
        <f t="shared" si="57"/>
        <v>0</v>
      </c>
      <c r="BT110" s="409">
        <f t="shared" si="57"/>
        <v>0</v>
      </c>
      <c r="BU110" s="409">
        <f t="shared" si="57"/>
        <v>0</v>
      </c>
      <c r="BV110" s="409">
        <f t="shared" si="57"/>
        <v>0</v>
      </c>
      <c r="BW110" s="409">
        <f t="shared" si="57"/>
        <v>0</v>
      </c>
      <c r="BX110" s="409">
        <f t="shared" si="57"/>
        <v>0</v>
      </c>
      <c r="BY110" s="409">
        <f t="shared" si="57"/>
        <v>0</v>
      </c>
      <c r="BZ110" s="409">
        <f t="shared" si="57"/>
        <v>0</v>
      </c>
      <c r="CA110" s="409">
        <f t="shared" si="57"/>
        <v>0</v>
      </c>
      <c r="CB110" s="409">
        <f t="shared" si="57"/>
        <v>0</v>
      </c>
      <c r="CC110" s="409">
        <f t="shared" si="57"/>
        <v>0</v>
      </c>
      <c r="CD110" s="409">
        <f t="shared" si="57"/>
        <v>0</v>
      </c>
      <c r="CE110" s="409">
        <f t="shared" si="57"/>
        <v>0</v>
      </c>
      <c r="CF110" s="409">
        <f t="shared" si="57"/>
        <v>0</v>
      </c>
      <c r="CG110" s="409">
        <f t="shared" si="57"/>
        <v>0</v>
      </c>
      <c r="CH110" s="409">
        <f t="shared" si="57"/>
        <v>0</v>
      </c>
      <c r="CI110" s="409">
        <f t="shared" si="57"/>
        <v>0</v>
      </c>
      <c r="CJ110" s="409">
        <f t="shared" si="57"/>
        <v>0</v>
      </c>
      <c r="CK110" s="409">
        <f t="shared" si="57"/>
        <v>0</v>
      </c>
    </row>
    <row r="111" spans="1:101">
      <c r="AA111" s="408">
        <v>11</v>
      </c>
      <c r="AB111" s="409">
        <f>CapInvest!C34</f>
        <v>0</v>
      </c>
      <c r="AC111" s="145">
        <f t="shared" si="54"/>
        <v>1</v>
      </c>
      <c r="AD111" s="409">
        <f t="shared" si="55"/>
        <v>0</v>
      </c>
      <c r="AE111" s="409">
        <f t="shared" si="58"/>
        <v>0</v>
      </c>
      <c r="AF111" s="409">
        <f t="shared" si="58"/>
        <v>0</v>
      </c>
      <c r="AG111" s="409">
        <f t="shared" si="58"/>
        <v>0</v>
      </c>
      <c r="AH111" s="409">
        <f t="shared" si="58"/>
        <v>0</v>
      </c>
      <c r="AI111" s="409">
        <f t="shared" si="58"/>
        <v>0</v>
      </c>
      <c r="AJ111" s="409">
        <f t="shared" si="58"/>
        <v>0</v>
      </c>
      <c r="AK111" s="409">
        <f t="shared" si="58"/>
        <v>0</v>
      </c>
      <c r="AL111" s="409">
        <f t="shared" si="58"/>
        <v>0</v>
      </c>
      <c r="AM111" s="409">
        <f t="shared" si="58"/>
        <v>0</v>
      </c>
      <c r="AN111" s="409">
        <f t="shared" si="58"/>
        <v>0</v>
      </c>
      <c r="AO111" s="409">
        <f t="shared" si="58"/>
        <v>0</v>
      </c>
      <c r="AP111" s="409">
        <f t="shared" si="58"/>
        <v>0</v>
      </c>
      <c r="AQ111" s="409">
        <f t="shared" si="58"/>
        <v>0</v>
      </c>
      <c r="AR111" s="409">
        <f t="shared" si="58"/>
        <v>0</v>
      </c>
      <c r="AS111" s="409">
        <f t="shared" si="58"/>
        <v>0</v>
      </c>
      <c r="AT111" s="409">
        <f t="shared" si="58"/>
        <v>0</v>
      </c>
      <c r="AU111" s="409">
        <f t="shared" si="58"/>
        <v>0</v>
      </c>
      <c r="AV111" s="409">
        <f t="shared" si="58"/>
        <v>0</v>
      </c>
      <c r="AW111" s="409">
        <f t="shared" si="58"/>
        <v>0</v>
      </c>
      <c r="AX111" s="409">
        <f t="shared" si="57"/>
        <v>0</v>
      </c>
      <c r="AY111" s="409">
        <f t="shared" si="57"/>
        <v>0</v>
      </c>
      <c r="AZ111" s="409">
        <f t="shared" si="57"/>
        <v>0</v>
      </c>
      <c r="BA111" s="409">
        <f t="shared" si="57"/>
        <v>0</v>
      </c>
      <c r="BB111" s="409">
        <f t="shared" si="57"/>
        <v>0</v>
      </c>
      <c r="BC111" s="409">
        <f t="shared" si="57"/>
        <v>0</v>
      </c>
      <c r="BD111" s="409">
        <f t="shared" si="57"/>
        <v>0</v>
      </c>
      <c r="BE111" s="409">
        <f t="shared" si="57"/>
        <v>0</v>
      </c>
      <c r="BF111" s="409">
        <f t="shared" si="57"/>
        <v>0</v>
      </c>
      <c r="BG111" s="409">
        <f t="shared" si="57"/>
        <v>0</v>
      </c>
      <c r="BH111" s="409">
        <f t="shared" si="57"/>
        <v>0</v>
      </c>
      <c r="BI111" s="409">
        <f t="shared" si="57"/>
        <v>0</v>
      </c>
      <c r="BJ111" s="409">
        <f t="shared" si="57"/>
        <v>0</v>
      </c>
      <c r="BK111" s="409">
        <f t="shared" si="57"/>
        <v>0</v>
      </c>
      <c r="BL111" s="409">
        <f t="shared" si="57"/>
        <v>0</v>
      </c>
      <c r="BM111" s="409">
        <f t="shared" si="57"/>
        <v>0</v>
      </c>
      <c r="BN111" s="409">
        <f t="shared" si="57"/>
        <v>0</v>
      </c>
      <c r="BO111" s="409">
        <f t="shared" si="57"/>
        <v>0</v>
      </c>
      <c r="BP111" s="409">
        <f t="shared" si="57"/>
        <v>0</v>
      </c>
      <c r="BQ111" s="409">
        <f t="shared" si="57"/>
        <v>0</v>
      </c>
      <c r="BR111" s="409">
        <f t="shared" si="57"/>
        <v>0</v>
      </c>
      <c r="BS111" s="409">
        <f t="shared" si="57"/>
        <v>0</v>
      </c>
      <c r="BT111" s="409">
        <f t="shared" si="57"/>
        <v>0</v>
      </c>
      <c r="BU111" s="409">
        <f t="shared" si="57"/>
        <v>0</v>
      </c>
      <c r="BV111" s="409">
        <f t="shared" si="57"/>
        <v>0</v>
      </c>
      <c r="BW111" s="409">
        <f t="shared" si="57"/>
        <v>0</v>
      </c>
      <c r="BX111" s="409">
        <f t="shared" si="57"/>
        <v>0</v>
      </c>
      <c r="BY111" s="409">
        <f t="shared" si="57"/>
        <v>0</v>
      </c>
      <c r="BZ111" s="409">
        <f t="shared" si="57"/>
        <v>0</v>
      </c>
      <c r="CA111" s="409">
        <f t="shared" si="57"/>
        <v>0</v>
      </c>
      <c r="CB111" s="409">
        <f t="shared" si="57"/>
        <v>0</v>
      </c>
      <c r="CC111" s="409">
        <f t="shared" si="57"/>
        <v>0</v>
      </c>
      <c r="CD111" s="409">
        <f t="shared" si="57"/>
        <v>0</v>
      </c>
      <c r="CE111" s="409">
        <f t="shared" si="57"/>
        <v>0</v>
      </c>
      <c r="CF111" s="409">
        <f t="shared" si="57"/>
        <v>0</v>
      </c>
      <c r="CG111" s="409">
        <f t="shared" si="57"/>
        <v>0</v>
      </c>
      <c r="CH111" s="409">
        <f t="shared" si="57"/>
        <v>0</v>
      </c>
      <c r="CI111" s="409">
        <f t="shared" si="57"/>
        <v>0</v>
      </c>
      <c r="CJ111" s="409">
        <f t="shared" si="57"/>
        <v>0</v>
      </c>
      <c r="CK111" s="409">
        <f t="shared" si="57"/>
        <v>0</v>
      </c>
    </row>
    <row r="112" spans="1:101">
      <c r="AA112" s="408">
        <v>12</v>
      </c>
      <c r="AB112" s="409">
        <f>CapInvest!C35</f>
        <v>0</v>
      </c>
      <c r="AC112" s="145">
        <f t="shared" si="54"/>
        <v>1</v>
      </c>
      <c r="AD112" s="409">
        <f t="shared" si="55"/>
        <v>0</v>
      </c>
      <c r="AE112" s="409">
        <f t="shared" si="58"/>
        <v>0</v>
      </c>
      <c r="AF112" s="409">
        <f t="shared" si="58"/>
        <v>0</v>
      </c>
      <c r="AG112" s="409">
        <f t="shared" si="58"/>
        <v>0</v>
      </c>
      <c r="AH112" s="409">
        <f t="shared" si="58"/>
        <v>0</v>
      </c>
      <c r="AI112" s="409">
        <f t="shared" si="58"/>
        <v>0</v>
      </c>
      <c r="AJ112" s="409">
        <f t="shared" si="58"/>
        <v>0</v>
      </c>
      <c r="AK112" s="409">
        <f t="shared" si="58"/>
        <v>0</v>
      </c>
      <c r="AL112" s="409">
        <f t="shared" si="58"/>
        <v>0</v>
      </c>
      <c r="AM112" s="409">
        <f t="shared" si="58"/>
        <v>0</v>
      </c>
      <c r="AN112" s="409">
        <f t="shared" si="58"/>
        <v>0</v>
      </c>
      <c r="AO112" s="409">
        <f t="shared" si="58"/>
        <v>0</v>
      </c>
      <c r="AP112" s="409">
        <f t="shared" si="58"/>
        <v>0</v>
      </c>
      <c r="AQ112" s="409">
        <f t="shared" si="58"/>
        <v>0</v>
      </c>
      <c r="AR112" s="409">
        <f t="shared" si="58"/>
        <v>0</v>
      </c>
      <c r="AS112" s="409">
        <f t="shared" si="58"/>
        <v>0</v>
      </c>
      <c r="AT112" s="409">
        <f t="shared" si="58"/>
        <v>0</v>
      </c>
      <c r="AU112" s="409">
        <f t="shared" si="58"/>
        <v>0</v>
      </c>
      <c r="AV112" s="409">
        <f t="shared" si="58"/>
        <v>0</v>
      </c>
      <c r="AW112" s="409">
        <f t="shared" si="58"/>
        <v>0</v>
      </c>
      <c r="AX112" s="409">
        <f t="shared" si="57"/>
        <v>0</v>
      </c>
      <c r="AY112" s="409">
        <f t="shared" si="57"/>
        <v>0</v>
      </c>
      <c r="AZ112" s="409">
        <f t="shared" si="57"/>
        <v>0</v>
      </c>
      <c r="BA112" s="409">
        <f t="shared" si="57"/>
        <v>0</v>
      </c>
      <c r="BB112" s="409">
        <f t="shared" si="57"/>
        <v>0</v>
      </c>
      <c r="BC112" s="409">
        <f t="shared" si="57"/>
        <v>0</v>
      </c>
      <c r="BD112" s="409">
        <f t="shared" si="57"/>
        <v>0</v>
      </c>
      <c r="BE112" s="409">
        <f t="shared" si="57"/>
        <v>0</v>
      </c>
      <c r="BF112" s="409">
        <f t="shared" si="57"/>
        <v>0</v>
      </c>
      <c r="BG112" s="409">
        <f t="shared" si="57"/>
        <v>0</v>
      </c>
      <c r="BH112" s="409">
        <f t="shared" si="57"/>
        <v>0</v>
      </c>
      <c r="BI112" s="409">
        <f t="shared" si="57"/>
        <v>0</v>
      </c>
      <c r="BJ112" s="409">
        <f t="shared" si="57"/>
        <v>0</v>
      </c>
      <c r="BK112" s="409">
        <f t="shared" si="57"/>
        <v>0</v>
      </c>
      <c r="BL112" s="409">
        <f t="shared" si="57"/>
        <v>0</v>
      </c>
      <c r="BM112" s="409">
        <f t="shared" si="57"/>
        <v>0</v>
      </c>
      <c r="BN112" s="409">
        <f t="shared" si="57"/>
        <v>0</v>
      </c>
      <c r="BO112" s="409">
        <f t="shared" si="57"/>
        <v>0</v>
      </c>
      <c r="BP112" s="409">
        <f t="shared" si="57"/>
        <v>0</v>
      </c>
      <c r="BQ112" s="409">
        <f t="shared" si="57"/>
        <v>0</v>
      </c>
      <c r="BR112" s="409">
        <f t="shared" si="57"/>
        <v>0</v>
      </c>
      <c r="BS112" s="409">
        <f t="shared" si="57"/>
        <v>0</v>
      </c>
      <c r="BT112" s="409">
        <f t="shared" si="57"/>
        <v>0</v>
      </c>
      <c r="BU112" s="409">
        <f t="shared" si="57"/>
        <v>0</v>
      </c>
      <c r="BV112" s="409">
        <f t="shared" si="57"/>
        <v>0</v>
      </c>
      <c r="BW112" s="409">
        <f t="shared" si="57"/>
        <v>0</v>
      </c>
      <c r="BX112" s="409">
        <f t="shared" si="57"/>
        <v>0</v>
      </c>
      <c r="BY112" s="409">
        <f t="shared" si="57"/>
        <v>0</v>
      </c>
      <c r="BZ112" s="409">
        <f t="shared" si="57"/>
        <v>0</v>
      </c>
      <c r="CA112" s="409">
        <f t="shared" si="57"/>
        <v>0</v>
      </c>
      <c r="CB112" s="409">
        <f t="shared" si="57"/>
        <v>0</v>
      </c>
      <c r="CC112" s="409">
        <f t="shared" si="57"/>
        <v>0</v>
      </c>
      <c r="CD112" s="409">
        <f t="shared" si="57"/>
        <v>0</v>
      </c>
      <c r="CE112" s="409">
        <f t="shared" si="57"/>
        <v>0</v>
      </c>
      <c r="CF112" s="409">
        <f t="shared" si="57"/>
        <v>0</v>
      </c>
      <c r="CG112" s="409">
        <f t="shared" si="57"/>
        <v>0</v>
      </c>
      <c r="CH112" s="409">
        <f t="shared" si="57"/>
        <v>0</v>
      </c>
      <c r="CI112" s="409">
        <f t="shared" si="57"/>
        <v>0</v>
      </c>
      <c r="CJ112" s="409">
        <f t="shared" si="57"/>
        <v>0</v>
      </c>
      <c r="CK112" s="409">
        <f t="shared" si="57"/>
        <v>0</v>
      </c>
    </row>
    <row r="113" spans="25:89">
      <c r="AA113" s="408">
        <v>13</v>
      </c>
      <c r="AB113" s="409">
        <f>CapInvest!C36</f>
        <v>0</v>
      </c>
      <c r="AC113" s="145">
        <f t="shared" si="54"/>
        <v>1</v>
      </c>
      <c r="AD113" s="409">
        <f t="shared" si="55"/>
        <v>0</v>
      </c>
      <c r="AE113" s="409">
        <f t="shared" si="58"/>
        <v>0</v>
      </c>
      <c r="AF113" s="409">
        <f t="shared" si="58"/>
        <v>0</v>
      </c>
      <c r="AG113" s="409">
        <f t="shared" si="58"/>
        <v>0</v>
      </c>
      <c r="AH113" s="409">
        <f t="shared" si="58"/>
        <v>0</v>
      </c>
      <c r="AI113" s="409">
        <f t="shared" si="58"/>
        <v>0</v>
      </c>
      <c r="AJ113" s="409">
        <f t="shared" si="58"/>
        <v>0</v>
      </c>
      <c r="AK113" s="409">
        <f t="shared" si="58"/>
        <v>0</v>
      </c>
      <c r="AL113" s="409">
        <f t="shared" si="58"/>
        <v>0</v>
      </c>
      <c r="AM113" s="409">
        <f t="shared" si="58"/>
        <v>0</v>
      </c>
      <c r="AN113" s="409">
        <f t="shared" si="58"/>
        <v>0</v>
      </c>
      <c r="AO113" s="409">
        <f t="shared" si="58"/>
        <v>0</v>
      </c>
      <c r="AP113" s="409">
        <f t="shared" si="58"/>
        <v>0</v>
      </c>
      <c r="AQ113" s="409">
        <f t="shared" si="58"/>
        <v>0</v>
      </c>
      <c r="AR113" s="409">
        <f t="shared" si="58"/>
        <v>0</v>
      </c>
      <c r="AS113" s="409">
        <f t="shared" si="58"/>
        <v>0</v>
      </c>
      <c r="AT113" s="409">
        <f t="shared" si="58"/>
        <v>0</v>
      </c>
      <c r="AU113" s="409">
        <f t="shared" si="58"/>
        <v>0</v>
      </c>
      <c r="AV113" s="409">
        <f t="shared" si="58"/>
        <v>0</v>
      </c>
      <c r="AW113" s="409">
        <f t="shared" si="58"/>
        <v>0</v>
      </c>
      <c r="AX113" s="409">
        <f t="shared" si="57"/>
        <v>0</v>
      </c>
      <c r="AY113" s="409">
        <f t="shared" si="57"/>
        <v>0</v>
      </c>
      <c r="AZ113" s="409">
        <f t="shared" si="57"/>
        <v>0</v>
      </c>
      <c r="BA113" s="409">
        <f t="shared" si="57"/>
        <v>0</v>
      </c>
      <c r="BB113" s="409">
        <f t="shared" si="57"/>
        <v>0</v>
      </c>
      <c r="BC113" s="409">
        <f t="shared" si="57"/>
        <v>0</v>
      </c>
      <c r="BD113" s="409">
        <f t="shared" si="57"/>
        <v>0</v>
      </c>
      <c r="BE113" s="409">
        <f t="shared" si="57"/>
        <v>0</v>
      </c>
      <c r="BF113" s="409">
        <f t="shared" si="57"/>
        <v>0</v>
      </c>
      <c r="BG113" s="409">
        <f t="shared" si="57"/>
        <v>0</v>
      </c>
      <c r="BH113" s="409">
        <f t="shared" si="57"/>
        <v>0</v>
      </c>
      <c r="BI113" s="409">
        <f t="shared" si="57"/>
        <v>0</v>
      </c>
      <c r="BJ113" s="409">
        <f t="shared" si="57"/>
        <v>0</v>
      </c>
      <c r="BK113" s="409">
        <f t="shared" si="57"/>
        <v>0</v>
      </c>
      <c r="BL113" s="409">
        <f t="shared" si="57"/>
        <v>0</v>
      </c>
      <c r="BM113" s="409">
        <f t="shared" ref="BM113:CK120" si="59">IF(BM$3=$AC113,$AB113,0)</f>
        <v>0</v>
      </c>
      <c r="BN113" s="409">
        <f t="shared" si="59"/>
        <v>0</v>
      </c>
      <c r="BO113" s="409">
        <f t="shared" si="59"/>
        <v>0</v>
      </c>
      <c r="BP113" s="409">
        <f t="shared" si="59"/>
        <v>0</v>
      </c>
      <c r="BQ113" s="409">
        <f t="shared" si="59"/>
        <v>0</v>
      </c>
      <c r="BR113" s="409">
        <f t="shared" si="59"/>
        <v>0</v>
      </c>
      <c r="BS113" s="409">
        <f t="shared" si="59"/>
        <v>0</v>
      </c>
      <c r="BT113" s="409">
        <f t="shared" si="59"/>
        <v>0</v>
      </c>
      <c r="BU113" s="409">
        <f t="shared" si="59"/>
        <v>0</v>
      </c>
      <c r="BV113" s="409">
        <f t="shared" si="59"/>
        <v>0</v>
      </c>
      <c r="BW113" s="409">
        <f t="shared" si="59"/>
        <v>0</v>
      </c>
      <c r="BX113" s="409">
        <f t="shared" si="59"/>
        <v>0</v>
      </c>
      <c r="BY113" s="409">
        <f t="shared" si="59"/>
        <v>0</v>
      </c>
      <c r="BZ113" s="409">
        <f t="shared" si="59"/>
        <v>0</v>
      </c>
      <c r="CA113" s="409">
        <f t="shared" si="59"/>
        <v>0</v>
      </c>
      <c r="CB113" s="409">
        <f t="shared" si="59"/>
        <v>0</v>
      </c>
      <c r="CC113" s="409">
        <f t="shared" si="59"/>
        <v>0</v>
      </c>
      <c r="CD113" s="409">
        <f t="shared" si="59"/>
        <v>0</v>
      </c>
      <c r="CE113" s="409">
        <f t="shared" si="59"/>
        <v>0</v>
      </c>
      <c r="CF113" s="409">
        <f t="shared" si="59"/>
        <v>0</v>
      </c>
      <c r="CG113" s="409">
        <f t="shared" si="59"/>
        <v>0</v>
      </c>
      <c r="CH113" s="409">
        <f t="shared" si="59"/>
        <v>0</v>
      </c>
      <c r="CI113" s="409">
        <f t="shared" si="59"/>
        <v>0</v>
      </c>
      <c r="CJ113" s="409">
        <f t="shared" si="59"/>
        <v>0</v>
      </c>
      <c r="CK113" s="409">
        <f t="shared" si="59"/>
        <v>0</v>
      </c>
    </row>
    <row r="114" spans="25:89">
      <c r="AA114" s="408">
        <v>14</v>
      </c>
      <c r="AB114" s="409">
        <f>CapInvest!C37</f>
        <v>0</v>
      </c>
      <c r="AC114" s="145">
        <f t="shared" si="54"/>
        <v>1</v>
      </c>
      <c r="AD114" s="409">
        <f t="shared" si="55"/>
        <v>0</v>
      </c>
      <c r="AE114" s="409">
        <f t="shared" si="58"/>
        <v>0</v>
      </c>
      <c r="AF114" s="409">
        <f t="shared" si="58"/>
        <v>0</v>
      </c>
      <c r="AG114" s="409">
        <f t="shared" si="58"/>
        <v>0</v>
      </c>
      <c r="AH114" s="409">
        <f t="shared" si="58"/>
        <v>0</v>
      </c>
      <c r="AI114" s="409">
        <f t="shared" si="58"/>
        <v>0</v>
      </c>
      <c r="AJ114" s="409">
        <f t="shared" si="58"/>
        <v>0</v>
      </c>
      <c r="AK114" s="409">
        <f t="shared" si="58"/>
        <v>0</v>
      </c>
      <c r="AL114" s="409">
        <f t="shared" si="58"/>
        <v>0</v>
      </c>
      <c r="AM114" s="409">
        <f t="shared" si="58"/>
        <v>0</v>
      </c>
      <c r="AN114" s="409">
        <f t="shared" si="58"/>
        <v>0</v>
      </c>
      <c r="AO114" s="409">
        <f t="shared" si="58"/>
        <v>0</v>
      </c>
      <c r="AP114" s="409">
        <f t="shared" si="58"/>
        <v>0</v>
      </c>
      <c r="AQ114" s="409">
        <f t="shared" si="58"/>
        <v>0</v>
      </c>
      <c r="AR114" s="409">
        <f t="shared" si="58"/>
        <v>0</v>
      </c>
      <c r="AS114" s="409">
        <f t="shared" si="58"/>
        <v>0</v>
      </c>
      <c r="AT114" s="409">
        <f t="shared" si="58"/>
        <v>0</v>
      </c>
      <c r="AU114" s="409">
        <f t="shared" si="58"/>
        <v>0</v>
      </c>
      <c r="AV114" s="409">
        <f t="shared" si="58"/>
        <v>0</v>
      </c>
      <c r="AW114" s="409">
        <f t="shared" si="58"/>
        <v>0</v>
      </c>
      <c r="AX114" s="409">
        <f t="shared" si="58"/>
        <v>0</v>
      </c>
      <c r="AY114" s="409">
        <f t="shared" si="58"/>
        <v>0</v>
      </c>
      <c r="AZ114" s="409">
        <f t="shared" si="58"/>
        <v>0</v>
      </c>
      <c r="BA114" s="409">
        <f t="shared" si="58"/>
        <v>0</v>
      </c>
      <c r="BB114" s="409">
        <f t="shared" si="58"/>
        <v>0</v>
      </c>
      <c r="BC114" s="409">
        <f t="shared" si="58"/>
        <v>0</v>
      </c>
      <c r="BD114" s="409">
        <f t="shared" si="58"/>
        <v>0</v>
      </c>
      <c r="BE114" s="409">
        <f t="shared" si="58"/>
        <v>0</v>
      </c>
      <c r="BF114" s="409">
        <f t="shared" si="58"/>
        <v>0</v>
      </c>
      <c r="BG114" s="409">
        <f t="shared" si="58"/>
        <v>0</v>
      </c>
      <c r="BH114" s="409">
        <f t="shared" si="58"/>
        <v>0</v>
      </c>
      <c r="BI114" s="409">
        <f t="shared" si="58"/>
        <v>0</v>
      </c>
      <c r="BJ114" s="409">
        <f t="shared" si="58"/>
        <v>0</v>
      </c>
      <c r="BK114" s="409">
        <f t="shared" ref="BK114:BL120" si="60">IF(BK$3=$AC114,$AB114,0)</f>
        <v>0</v>
      </c>
      <c r="BL114" s="409">
        <f t="shared" si="60"/>
        <v>0</v>
      </c>
      <c r="BM114" s="409">
        <f t="shared" si="59"/>
        <v>0</v>
      </c>
      <c r="BN114" s="409">
        <f t="shared" si="59"/>
        <v>0</v>
      </c>
      <c r="BO114" s="409">
        <f t="shared" si="59"/>
        <v>0</v>
      </c>
      <c r="BP114" s="409">
        <f t="shared" si="59"/>
        <v>0</v>
      </c>
      <c r="BQ114" s="409">
        <f t="shared" si="59"/>
        <v>0</v>
      </c>
      <c r="BR114" s="409">
        <f t="shared" si="59"/>
        <v>0</v>
      </c>
      <c r="BS114" s="409">
        <f t="shared" si="59"/>
        <v>0</v>
      </c>
      <c r="BT114" s="409">
        <f t="shared" si="59"/>
        <v>0</v>
      </c>
      <c r="BU114" s="409">
        <f t="shared" si="59"/>
        <v>0</v>
      </c>
      <c r="BV114" s="409">
        <f t="shared" si="59"/>
        <v>0</v>
      </c>
      <c r="BW114" s="409">
        <f t="shared" si="59"/>
        <v>0</v>
      </c>
      <c r="BX114" s="409">
        <f t="shared" si="59"/>
        <v>0</v>
      </c>
      <c r="BY114" s="409">
        <f t="shared" si="59"/>
        <v>0</v>
      </c>
      <c r="BZ114" s="409">
        <f t="shared" si="59"/>
        <v>0</v>
      </c>
      <c r="CA114" s="409">
        <f t="shared" si="59"/>
        <v>0</v>
      </c>
      <c r="CB114" s="409">
        <f t="shared" si="59"/>
        <v>0</v>
      </c>
      <c r="CC114" s="409">
        <f t="shared" si="59"/>
        <v>0</v>
      </c>
      <c r="CD114" s="409">
        <f t="shared" si="59"/>
        <v>0</v>
      </c>
      <c r="CE114" s="409">
        <f t="shared" si="59"/>
        <v>0</v>
      </c>
      <c r="CF114" s="409">
        <f t="shared" si="59"/>
        <v>0</v>
      </c>
      <c r="CG114" s="409">
        <f t="shared" si="59"/>
        <v>0</v>
      </c>
      <c r="CH114" s="409">
        <f t="shared" si="59"/>
        <v>0</v>
      </c>
      <c r="CI114" s="409">
        <f t="shared" si="59"/>
        <v>0</v>
      </c>
      <c r="CJ114" s="409">
        <f t="shared" si="59"/>
        <v>0</v>
      </c>
      <c r="CK114" s="409">
        <f t="shared" si="59"/>
        <v>0</v>
      </c>
    </row>
    <row r="115" spans="25:89">
      <c r="AA115" s="408">
        <v>15</v>
      </c>
      <c r="AB115" s="409">
        <f>CapInvest!C38</f>
        <v>0</v>
      </c>
      <c r="AC115" s="145">
        <f t="shared" si="54"/>
        <v>1</v>
      </c>
      <c r="AD115" s="409">
        <f t="shared" si="55"/>
        <v>0</v>
      </c>
      <c r="AE115" s="409">
        <f t="shared" si="58"/>
        <v>0</v>
      </c>
      <c r="AF115" s="409">
        <f t="shared" si="58"/>
        <v>0</v>
      </c>
      <c r="AG115" s="409">
        <f t="shared" si="58"/>
        <v>0</v>
      </c>
      <c r="AH115" s="409">
        <f t="shared" si="58"/>
        <v>0</v>
      </c>
      <c r="AI115" s="409">
        <f t="shared" si="58"/>
        <v>0</v>
      </c>
      <c r="AJ115" s="409">
        <f t="shared" si="58"/>
        <v>0</v>
      </c>
      <c r="AK115" s="409">
        <f t="shared" si="58"/>
        <v>0</v>
      </c>
      <c r="AL115" s="409">
        <f t="shared" si="58"/>
        <v>0</v>
      </c>
      <c r="AM115" s="409">
        <f t="shared" si="58"/>
        <v>0</v>
      </c>
      <c r="AN115" s="409">
        <f t="shared" si="58"/>
        <v>0</v>
      </c>
      <c r="AO115" s="409">
        <f t="shared" si="58"/>
        <v>0</v>
      </c>
      <c r="AP115" s="409">
        <f t="shared" si="58"/>
        <v>0</v>
      </c>
      <c r="AQ115" s="409">
        <f t="shared" si="58"/>
        <v>0</v>
      </c>
      <c r="AR115" s="409">
        <f t="shared" si="58"/>
        <v>0</v>
      </c>
      <c r="AS115" s="409">
        <f t="shared" si="58"/>
        <v>0</v>
      </c>
      <c r="AT115" s="409">
        <f t="shared" si="58"/>
        <v>0</v>
      </c>
      <c r="AU115" s="409">
        <f t="shared" si="58"/>
        <v>0</v>
      </c>
      <c r="AV115" s="409">
        <f t="shared" si="58"/>
        <v>0</v>
      </c>
      <c r="AW115" s="409">
        <f t="shared" si="58"/>
        <v>0</v>
      </c>
      <c r="AX115" s="409">
        <f t="shared" si="58"/>
        <v>0</v>
      </c>
      <c r="AY115" s="409">
        <f t="shared" si="58"/>
        <v>0</v>
      </c>
      <c r="AZ115" s="409">
        <f t="shared" si="58"/>
        <v>0</v>
      </c>
      <c r="BA115" s="409">
        <f t="shared" si="58"/>
        <v>0</v>
      </c>
      <c r="BB115" s="409">
        <f t="shared" si="58"/>
        <v>0</v>
      </c>
      <c r="BC115" s="409">
        <f t="shared" si="58"/>
        <v>0</v>
      </c>
      <c r="BD115" s="409">
        <f t="shared" si="58"/>
        <v>0</v>
      </c>
      <c r="BE115" s="409">
        <f t="shared" si="58"/>
        <v>0</v>
      </c>
      <c r="BF115" s="409">
        <f t="shared" si="58"/>
        <v>0</v>
      </c>
      <c r="BG115" s="409">
        <f t="shared" si="58"/>
        <v>0</v>
      </c>
      <c r="BH115" s="409">
        <f t="shared" si="58"/>
        <v>0</v>
      </c>
      <c r="BI115" s="409">
        <f t="shared" si="58"/>
        <v>0</v>
      </c>
      <c r="BJ115" s="409">
        <f t="shared" si="58"/>
        <v>0</v>
      </c>
      <c r="BK115" s="409">
        <f t="shared" si="60"/>
        <v>0</v>
      </c>
      <c r="BL115" s="409">
        <f t="shared" si="60"/>
        <v>0</v>
      </c>
      <c r="BM115" s="409">
        <f t="shared" si="59"/>
        <v>0</v>
      </c>
      <c r="BN115" s="409">
        <f t="shared" si="59"/>
        <v>0</v>
      </c>
      <c r="BO115" s="409">
        <f t="shared" si="59"/>
        <v>0</v>
      </c>
      <c r="BP115" s="409">
        <f t="shared" si="59"/>
        <v>0</v>
      </c>
      <c r="BQ115" s="409">
        <f t="shared" si="59"/>
        <v>0</v>
      </c>
      <c r="BR115" s="409">
        <f t="shared" si="59"/>
        <v>0</v>
      </c>
      <c r="BS115" s="409">
        <f t="shared" si="59"/>
        <v>0</v>
      </c>
      <c r="BT115" s="409">
        <f t="shared" si="59"/>
        <v>0</v>
      </c>
      <c r="BU115" s="409">
        <f t="shared" si="59"/>
        <v>0</v>
      </c>
      <c r="BV115" s="409">
        <f t="shared" si="59"/>
        <v>0</v>
      </c>
      <c r="BW115" s="409">
        <f t="shared" si="59"/>
        <v>0</v>
      </c>
      <c r="BX115" s="409">
        <f t="shared" si="59"/>
        <v>0</v>
      </c>
      <c r="BY115" s="409">
        <f t="shared" si="59"/>
        <v>0</v>
      </c>
      <c r="BZ115" s="409">
        <f t="shared" si="59"/>
        <v>0</v>
      </c>
      <c r="CA115" s="409">
        <f t="shared" si="59"/>
        <v>0</v>
      </c>
      <c r="CB115" s="409">
        <f t="shared" si="59"/>
        <v>0</v>
      </c>
      <c r="CC115" s="409">
        <f t="shared" si="59"/>
        <v>0</v>
      </c>
      <c r="CD115" s="409">
        <f t="shared" si="59"/>
        <v>0</v>
      </c>
      <c r="CE115" s="409">
        <f t="shared" si="59"/>
        <v>0</v>
      </c>
      <c r="CF115" s="409">
        <f t="shared" si="59"/>
        <v>0</v>
      </c>
      <c r="CG115" s="409">
        <f t="shared" si="59"/>
        <v>0</v>
      </c>
      <c r="CH115" s="409">
        <f t="shared" si="59"/>
        <v>0</v>
      </c>
      <c r="CI115" s="409">
        <f t="shared" si="59"/>
        <v>0</v>
      </c>
      <c r="CJ115" s="409">
        <f t="shared" si="59"/>
        <v>0</v>
      </c>
      <c r="CK115" s="409">
        <f t="shared" si="59"/>
        <v>0</v>
      </c>
    </row>
    <row r="116" spans="25:89">
      <c r="AA116" s="408">
        <v>16</v>
      </c>
      <c r="AB116" s="409">
        <f>CapInvest!C39</f>
        <v>0</v>
      </c>
      <c r="AC116" s="145">
        <f t="shared" si="54"/>
        <v>1</v>
      </c>
      <c r="AD116" s="409">
        <f t="shared" si="55"/>
        <v>0</v>
      </c>
      <c r="AE116" s="409">
        <f t="shared" si="58"/>
        <v>0</v>
      </c>
      <c r="AF116" s="409">
        <f t="shared" si="58"/>
        <v>0</v>
      </c>
      <c r="AG116" s="409">
        <f t="shared" si="58"/>
        <v>0</v>
      </c>
      <c r="AH116" s="409">
        <f t="shared" si="58"/>
        <v>0</v>
      </c>
      <c r="AI116" s="409">
        <f t="shared" si="58"/>
        <v>0</v>
      </c>
      <c r="AJ116" s="409">
        <f t="shared" si="58"/>
        <v>0</v>
      </c>
      <c r="AK116" s="409">
        <f t="shared" si="58"/>
        <v>0</v>
      </c>
      <c r="AL116" s="409">
        <f t="shared" si="58"/>
        <v>0</v>
      </c>
      <c r="AM116" s="409">
        <f t="shared" si="58"/>
        <v>0</v>
      </c>
      <c r="AN116" s="409">
        <f t="shared" si="58"/>
        <v>0</v>
      </c>
      <c r="AO116" s="409">
        <f t="shared" si="58"/>
        <v>0</v>
      </c>
      <c r="AP116" s="409">
        <f t="shared" si="58"/>
        <v>0</v>
      </c>
      <c r="AQ116" s="409">
        <f t="shared" si="58"/>
        <v>0</v>
      </c>
      <c r="AR116" s="409">
        <f t="shared" si="58"/>
        <v>0</v>
      </c>
      <c r="AS116" s="409">
        <f t="shared" si="58"/>
        <v>0</v>
      </c>
      <c r="AT116" s="409">
        <f t="shared" si="58"/>
        <v>0</v>
      </c>
      <c r="AU116" s="409">
        <f t="shared" si="58"/>
        <v>0</v>
      </c>
      <c r="AV116" s="409">
        <f t="shared" si="58"/>
        <v>0</v>
      </c>
      <c r="AW116" s="409">
        <f t="shared" si="58"/>
        <v>0</v>
      </c>
      <c r="AX116" s="409">
        <f t="shared" si="58"/>
        <v>0</v>
      </c>
      <c r="AY116" s="409">
        <f t="shared" si="58"/>
        <v>0</v>
      </c>
      <c r="AZ116" s="409">
        <f t="shared" si="58"/>
        <v>0</v>
      </c>
      <c r="BA116" s="409">
        <f t="shared" si="58"/>
        <v>0</v>
      </c>
      <c r="BB116" s="409">
        <f t="shared" si="58"/>
        <v>0</v>
      </c>
      <c r="BC116" s="409">
        <f t="shared" si="58"/>
        <v>0</v>
      </c>
      <c r="BD116" s="409">
        <f t="shared" si="58"/>
        <v>0</v>
      </c>
      <c r="BE116" s="409">
        <f t="shared" si="58"/>
        <v>0</v>
      </c>
      <c r="BF116" s="409">
        <f t="shared" si="58"/>
        <v>0</v>
      </c>
      <c r="BG116" s="409">
        <f t="shared" si="58"/>
        <v>0</v>
      </c>
      <c r="BH116" s="409">
        <f t="shared" si="58"/>
        <v>0</v>
      </c>
      <c r="BI116" s="409">
        <f t="shared" si="58"/>
        <v>0</v>
      </c>
      <c r="BJ116" s="409">
        <f t="shared" si="58"/>
        <v>0</v>
      </c>
      <c r="BK116" s="409">
        <f t="shared" si="60"/>
        <v>0</v>
      </c>
      <c r="BL116" s="409">
        <f t="shared" si="60"/>
        <v>0</v>
      </c>
      <c r="BM116" s="409">
        <f t="shared" si="59"/>
        <v>0</v>
      </c>
      <c r="BN116" s="409">
        <f t="shared" si="59"/>
        <v>0</v>
      </c>
      <c r="BO116" s="409">
        <f t="shared" si="59"/>
        <v>0</v>
      </c>
      <c r="BP116" s="409">
        <f t="shared" si="59"/>
        <v>0</v>
      </c>
      <c r="BQ116" s="409">
        <f t="shared" si="59"/>
        <v>0</v>
      </c>
      <c r="BR116" s="409">
        <f t="shared" si="59"/>
        <v>0</v>
      </c>
      <c r="BS116" s="409">
        <f t="shared" si="59"/>
        <v>0</v>
      </c>
      <c r="BT116" s="409">
        <f t="shared" si="59"/>
        <v>0</v>
      </c>
      <c r="BU116" s="409">
        <f t="shared" si="59"/>
        <v>0</v>
      </c>
      <c r="BV116" s="409">
        <f t="shared" si="59"/>
        <v>0</v>
      </c>
      <c r="BW116" s="409">
        <f t="shared" si="59"/>
        <v>0</v>
      </c>
      <c r="BX116" s="409">
        <f t="shared" si="59"/>
        <v>0</v>
      </c>
      <c r="BY116" s="409">
        <f t="shared" si="59"/>
        <v>0</v>
      </c>
      <c r="BZ116" s="409">
        <f t="shared" si="59"/>
        <v>0</v>
      </c>
      <c r="CA116" s="409">
        <f t="shared" si="59"/>
        <v>0</v>
      </c>
      <c r="CB116" s="409">
        <f t="shared" si="59"/>
        <v>0</v>
      </c>
      <c r="CC116" s="409">
        <f t="shared" si="59"/>
        <v>0</v>
      </c>
      <c r="CD116" s="409">
        <f t="shared" si="59"/>
        <v>0</v>
      </c>
      <c r="CE116" s="409">
        <f t="shared" si="59"/>
        <v>0</v>
      </c>
      <c r="CF116" s="409">
        <f t="shared" si="59"/>
        <v>0</v>
      </c>
      <c r="CG116" s="409">
        <f t="shared" si="59"/>
        <v>0</v>
      </c>
      <c r="CH116" s="409">
        <f t="shared" si="59"/>
        <v>0</v>
      </c>
      <c r="CI116" s="409">
        <f t="shared" si="59"/>
        <v>0</v>
      </c>
      <c r="CJ116" s="409">
        <f t="shared" si="59"/>
        <v>0</v>
      </c>
      <c r="CK116" s="409">
        <f t="shared" si="59"/>
        <v>0</v>
      </c>
    </row>
    <row r="117" spans="25:89">
      <c r="AA117" s="408">
        <v>17</v>
      </c>
      <c r="AB117" s="409">
        <f>CapInvest!C40</f>
        <v>0</v>
      </c>
      <c r="AC117" s="145">
        <f t="shared" si="54"/>
        <v>1</v>
      </c>
      <c r="AD117" s="409">
        <f t="shared" si="55"/>
        <v>0</v>
      </c>
      <c r="AE117" s="409">
        <f t="shared" si="58"/>
        <v>0</v>
      </c>
      <c r="AF117" s="409">
        <f t="shared" si="58"/>
        <v>0</v>
      </c>
      <c r="AG117" s="409">
        <f t="shared" si="58"/>
        <v>0</v>
      </c>
      <c r="AH117" s="409">
        <f t="shared" si="58"/>
        <v>0</v>
      </c>
      <c r="AI117" s="409">
        <f t="shared" si="58"/>
        <v>0</v>
      </c>
      <c r="AJ117" s="409">
        <f t="shared" si="58"/>
        <v>0</v>
      </c>
      <c r="AK117" s="409">
        <f t="shared" si="58"/>
        <v>0</v>
      </c>
      <c r="AL117" s="409">
        <f t="shared" si="58"/>
        <v>0</v>
      </c>
      <c r="AM117" s="409">
        <f t="shared" si="58"/>
        <v>0</v>
      </c>
      <c r="AN117" s="409">
        <f t="shared" si="58"/>
        <v>0</v>
      </c>
      <c r="AO117" s="409">
        <f t="shared" si="58"/>
        <v>0</v>
      </c>
      <c r="AP117" s="409">
        <f t="shared" si="58"/>
        <v>0</v>
      </c>
      <c r="AQ117" s="409">
        <f t="shared" si="58"/>
        <v>0</v>
      </c>
      <c r="AR117" s="409">
        <f t="shared" si="58"/>
        <v>0</v>
      </c>
      <c r="AS117" s="409">
        <f t="shared" si="58"/>
        <v>0</v>
      </c>
      <c r="AT117" s="409">
        <f t="shared" si="58"/>
        <v>0</v>
      </c>
      <c r="AU117" s="409">
        <f t="shared" si="58"/>
        <v>0</v>
      </c>
      <c r="AV117" s="409">
        <f t="shared" si="58"/>
        <v>0</v>
      </c>
      <c r="AW117" s="409">
        <f t="shared" si="58"/>
        <v>0</v>
      </c>
      <c r="AX117" s="409">
        <f t="shared" si="58"/>
        <v>0</v>
      </c>
      <c r="AY117" s="409">
        <f t="shared" si="58"/>
        <v>0</v>
      </c>
      <c r="AZ117" s="409">
        <f t="shared" si="58"/>
        <v>0</v>
      </c>
      <c r="BA117" s="409">
        <f t="shared" si="58"/>
        <v>0</v>
      </c>
      <c r="BB117" s="409">
        <f t="shared" si="58"/>
        <v>0</v>
      </c>
      <c r="BC117" s="409">
        <f t="shared" si="58"/>
        <v>0</v>
      </c>
      <c r="BD117" s="409">
        <f t="shared" si="58"/>
        <v>0</v>
      </c>
      <c r="BE117" s="409">
        <f t="shared" si="58"/>
        <v>0</v>
      </c>
      <c r="BF117" s="409">
        <f t="shared" si="58"/>
        <v>0</v>
      </c>
      <c r="BG117" s="409">
        <f t="shared" si="58"/>
        <v>0</v>
      </c>
      <c r="BH117" s="409">
        <f t="shared" si="58"/>
        <v>0</v>
      </c>
      <c r="BI117" s="409">
        <f t="shared" si="58"/>
        <v>0</v>
      </c>
      <c r="BJ117" s="409">
        <f t="shared" si="58"/>
        <v>0</v>
      </c>
      <c r="BK117" s="409">
        <f t="shared" si="60"/>
        <v>0</v>
      </c>
      <c r="BL117" s="409">
        <f t="shared" si="60"/>
        <v>0</v>
      </c>
      <c r="BM117" s="409">
        <f t="shared" si="59"/>
        <v>0</v>
      </c>
      <c r="BN117" s="409">
        <f t="shared" si="59"/>
        <v>0</v>
      </c>
      <c r="BO117" s="409">
        <f t="shared" si="59"/>
        <v>0</v>
      </c>
      <c r="BP117" s="409">
        <f t="shared" si="59"/>
        <v>0</v>
      </c>
      <c r="BQ117" s="409">
        <f t="shared" si="59"/>
        <v>0</v>
      </c>
      <c r="BR117" s="409">
        <f t="shared" si="59"/>
        <v>0</v>
      </c>
      <c r="BS117" s="409">
        <f t="shared" si="59"/>
        <v>0</v>
      </c>
      <c r="BT117" s="409">
        <f t="shared" si="59"/>
        <v>0</v>
      </c>
      <c r="BU117" s="409">
        <f t="shared" si="59"/>
        <v>0</v>
      </c>
      <c r="BV117" s="409">
        <f t="shared" si="59"/>
        <v>0</v>
      </c>
      <c r="BW117" s="409">
        <f t="shared" si="59"/>
        <v>0</v>
      </c>
      <c r="BX117" s="409">
        <f t="shared" si="59"/>
        <v>0</v>
      </c>
      <c r="BY117" s="409">
        <f t="shared" si="59"/>
        <v>0</v>
      </c>
      <c r="BZ117" s="409">
        <f t="shared" si="59"/>
        <v>0</v>
      </c>
      <c r="CA117" s="409">
        <f t="shared" si="59"/>
        <v>0</v>
      </c>
      <c r="CB117" s="409">
        <f t="shared" si="59"/>
        <v>0</v>
      </c>
      <c r="CC117" s="409">
        <f t="shared" si="59"/>
        <v>0</v>
      </c>
      <c r="CD117" s="409">
        <f t="shared" si="59"/>
        <v>0</v>
      </c>
      <c r="CE117" s="409">
        <f t="shared" si="59"/>
        <v>0</v>
      </c>
      <c r="CF117" s="409">
        <f t="shared" si="59"/>
        <v>0</v>
      </c>
      <c r="CG117" s="409">
        <f t="shared" si="59"/>
        <v>0</v>
      </c>
      <c r="CH117" s="409">
        <f t="shared" si="59"/>
        <v>0</v>
      </c>
      <c r="CI117" s="409">
        <f t="shared" si="59"/>
        <v>0</v>
      </c>
      <c r="CJ117" s="409">
        <f t="shared" si="59"/>
        <v>0</v>
      </c>
      <c r="CK117" s="409">
        <f t="shared" si="59"/>
        <v>0</v>
      </c>
    </row>
    <row r="118" spans="25:89">
      <c r="AA118" s="408">
        <v>18</v>
      </c>
      <c r="AB118" s="409">
        <f>CapInvest!C41</f>
        <v>0</v>
      </c>
      <c r="AC118" s="145">
        <f t="shared" si="54"/>
        <v>1</v>
      </c>
      <c r="AD118" s="409">
        <f t="shared" si="55"/>
        <v>0</v>
      </c>
      <c r="AE118" s="409">
        <f t="shared" si="58"/>
        <v>0</v>
      </c>
      <c r="AF118" s="409">
        <f t="shared" si="58"/>
        <v>0</v>
      </c>
      <c r="AG118" s="409">
        <f t="shared" si="58"/>
        <v>0</v>
      </c>
      <c r="AH118" s="409">
        <f t="shared" si="58"/>
        <v>0</v>
      </c>
      <c r="AI118" s="409">
        <f t="shared" si="58"/>
        <v>0</v>
      </c>
      <c r="AJ118" s="409">
        <f t="shared" si="58"/>
        <v>0</v>
      </c>
      <c r="AK118" s="409">
        <f t="shared" si="58"/>
        <v>0</v>
      </c>
      <c r="AL118" s="409">
        <f t="shared" si="58"/>
        <v>0</v>
      </c>
      <c r="AM118" s="409">
        <f t="shared" si="58"/>
        <v>0</v>
      </c>
      <c r="AN118" s="409">
        <f t="shared" si="58"/>
        <v>0</v>
      </c>
      <c r="AO118" s="409">
        <f t="shared" si="58"/>
        <v>0</v>
      </c>
      <c r="AP118" s="409">
        <f t="shared" si="58"/>
        <v>0</v>
      </c>
      <c r="AQ118" s="409">
        <f t="shared" si="58"/>
        <v>0</v>
      </c>
      <c r="AR118" s="409">
        <f t="shared" ref="AR118:BA120" si="61">IF(AR$3=$AC118,$AB118,0)</f>
        <v>0</v>
      </c>
      <c r="AS118" s="409">
        <f t="shared" si="61"/>
        <v>0</v>
      </c>
      <c r="AT118" s="409">
        <f t="shared" si="61"/>
        <v>0</v>
      </c>
      <c r="AU118" s="409">
        <f t="shared" si="61"/>
        <v>0</v>
      </c>
      <c r="AV118" s="409">
        <f t="shared" si="61"/>
        <v>0</v>
      </c>
      <c r="AW118" s="409">
        <f t="shared" si="61"/>
        <v>0</v>
      </c>
      <c r="AX118" s="409">
        <f t="shared" si="61"/>
        <v>0</v>
      </c>
      <c r="AY118" s="409">
        <f t="shared" si="61"/>
        <v>0</v>
      </c>
      <c r="AZ118" s="409">
        <f t="shared" si="61"/>
        <v>0</v>
      </c>
      <c r="BA118" s="409">
        <f t="shared" si="61"/>
        <v>0</v>
      </c>
      <c r="BB118" s="409">
        <f t="shared" ref="BB118:BJ120" si="62">IF(BB$3=$AC118,$AB118,0)</f>
        <v>0</v>
      </c>
      <c r="BC118" s="409">
        <f t="shared" si="62"/>
        <v>0</v>
      </c>
      <c r="BD118" s="409">
        <f t="shared" si="62"/>
        <v>0</v>
      </c>
      <c r="BE118" s="409">
        <f t="shared" si="62"/>
        <v>0</v>
      </c>
      <c r="BF118" s="409">
        <f t="shared" si="62"/>
        <v>0</v>
      </c>
      <c r="BG118" s="409">
        <f t="shared" si="62"/>
        <v>0</v>
      </c>
      <c r="BH118" s="409">
        <f t="shared" si="62"/>
        <v>0</v>
      </c>
      <c r="BI118" s="409">
        <f t="shared" si="62"/>
        <v>0</v>
      </c>
      <c r="BJ118" s="409">
        <f t="shared" si="62"/>
        <v>0</v>
      </c>
      <c r="BK118" s="409">
        <f t="shared" si="60"/>
        <v>0</v>
      </c>
      <c r="BL118" s="409">
        <f t="shared" si="60"/>
        <v>0</v>
      </c>
      <c r="BM118" s="409">
        <f t="shared" si="59"/>
        <v>0</v>
      </c>
      <c r="BN118" s="409">
        <f t="shared" si="59"/>
        <v>0</v>
      </c>
      <c r="BO118" s="409">
        <f t="shared" si="59"/>
        <v>0</v>
      </c>
      <c r="BP118" s="409">
        <f t="shared" si="59"/>
        <v>0</v>
      </c>
      <c r="BQ118" s="409">
        <f t="shared" si="59"/>
        <v>0</v>
      </c>
      <c r="BR118" s="409">
        <f t="shared" si="59"/>
        <v>0</v>
      </c>
      <c r="BS118" s="409">
        <f t="shared" si="59"/>
        <v>0</v>
      </c>
      <c r="BT118" s="409">
        <f t="shared" si="59"/>
        <v>0</v>
      </c>
      <c r="BU118" s="409">
        <f t="shared" si="59"/>
        <v>0</v>
      </c>
      <c r="BV118" s="409">
        <f t="shared" si="59"/>
        <v>0</v>
      </c>
      <c r="BW118" s="409">
        <f t="shared" si="59"/>
        <v>0</v>
      </c>
      <c r="BX118" s="409">
        <f t="shared" si="59"/>
        <v>0</v>
      </c>
      <c r="BY118" s="409">
        <f t="shared" si="59"/>
        <v>0</v>
      </c>
      <c r="BZ118" s="409">
        <f t="shared" si="59"/>
        <v>0</v>
      </c>
      <c r="CA118" s="409">
        <f t="shared" si="59"/>
        <v>0</v>
      </c>
      <c r="CB118" s="409">
        <f t="shared" si="59"/>
        <v>0</v>
      </c>
      <c r="CC118" s="409">
        <f t="shared" si="59"/>
        <v>0</v>
      </c>
      <c r="CD118" s="409">
        <f t="shared" si="59"/>
        <v>0</v>
      </c>
      <c r="CE118" s="409">
        <f t="shared" si="59"/>
        <v>0</v>
      </c>
      <c r="CF118" s="409">
        <f t="shared" si="59"/>
        <v>0</v>
      </c>
      <c r="CG118" s="409">
        <f t="shared" si="59"/>
        <v>0</v>
      </c>
      <c r="CH118" s="409">
        <f t="shared" si="59"/>
        <v>0</v>
      </c>
      <c r="CI118" s="409">
        <f t="shared" si="59"/>
        <v>0</v>
      </c>
      <c r="CJ118" s="409">
        <f t="shared" si="59"/>
        <v>0</v>
      </c>
      <c r="CK118" s="409">
        <f t="shared" si="59"/>
        <v>0</v>
      </c>
    </row>
    <row r="119" spans="25:89">
      <c r="AA119" s="408">
        <v>19</v>
      </c>
      <c r="AB119" s="409">
        <f>CapInvest!C42</f>
        <v>0</v>
      </c>
      <c r="AC119" s="145">
        <f t="shared" si="54"/>
        <v>1</v>
      </c>
      <c r="AD119" s="409">
        <f t="shared" si="55"/>
        <v>0</v>
      </c>
      <c r="AE119" s="409">
        <f t="shared" ref="AE119:AQ120" si="63">IF(AE$3=$AC119,$AB119,0)</f>
        <v>0</v>
      </c>
      <c r="AF119" s="409">
        <f t="shared" si="63"/>
        <v>0</v>
      </c>
      <c r="AG119" s="409">
        <f t="shared" si="63"/>
        <v>0</v>
      </c>
      <c r="AH119" s="409">
        <f t="shared" si="63"/>
        <v>0</v>
      </c>
      <c r="AI119" s="409">
        <f t="shared" si="63"/>
        <v>0</v>
      </c>
      <c r="AJ119" s="409">
        <f t="shared" si="63"/>
        <v>0</v>
      </c>
      <c r="AK119" s="409">
        <f t="shared" si="63"/>
        <v>0</v>
      </c>
      <c r="AL119" s="409">
        <f t="shared" si="63"/>
        <v>0</v>
      </c>
      <c r="AM119" s="409">
        <f t="shared" si="63"/>
        <v>0</v>
      </c>
      <c r="AN119" s="409">
        <f t="shared" si="63"/>
        <v>0</v>
      </c>
      <c r="AO119" s="409">
        <f t="shared" si="63"/>
        <v>0</v>
      </c>
      <c r="AP119" s="409">
        <f t="shared" si="63"/>
        <v>0</v>
      </c>
      <c r="AQ119" s="409">
        <f t="shared" si="63"/>
        <v>0</v>
      </c>
      <c r="AR119" s="409">
        <f t="shared" si="61"/>
        <v>0</v>
      </c>
      <c r="AS119" s="409">
        <f t="shared" si="61"/>
        <v>0</v>
      </c>
      <c r="AT119" s="409">
        <f t="shared" si="61"/>
        <v>0</v>
      </c>
      <c r="AU119" s="409">
        <f t="shared" si="61"/>
        <v>0</v>
      </c>
      <c r="AV119" s="409">
        <f t="shared" si="61"/>
        <v>0</v>
      </c>
      <c r="AW119" s="409">
        <f t="shared" si="61"/>
        <v>0</v>
      </c>
      <c r="AX119" s="409">
        <f t="shared" si="61"/>
        <v>0</v>
      </c>
      <c r="AY119" s="409">
        <f t="shared" si="61"/>
        <v>0</v>
      </c>
      <c r="AZ119" s="409">
        <f t="shared" si="61"/>
        <v>0</v>
      </c>
      <c r="BA119" s="409">
        <f t="shared" si="61"/>
        <v>0</v>
      </c>
      <c r="BB119" s="409">
        <f t="shared" si="62"/>
        <v>0</v>
      </c>
      <c r="BC119" s="409">
        <f t="shared" si="62"/>
        <v>0</v>
      </c>
      <c r="BD119" s="409">
        <f t="shared" si="62"/>
        <v>0</v>
      </c>
      <c r="BE119" s="409">
        <f t="shared" si="62"/>
        <v>0</v>
      </c>
      <c r="BF119" s="409">
        <f t="shared" si="62"/>
        <v>0</v>
      </c>
      <c r="BG119" s="409">
        <f t="shared" si="62"/>
        <v>0</v>
      </c>
      <c r="BH119" s="409">
        <f t="shared" si="62"/>
        <v>0</v>
      </c>
      <c r="BI119" s="409">
        <f t="shared" si="62"/>
        <v>0</v>
      </c>
      <c r="BJ119" s="409">
        <f t="shared" si="62"/>
        <v>0</v>
      </c>
      <c r="BK119" s="409">
        <f t="shared" si="60"/>
        <v>0</v>
      </c>
      <c r="BL119" s="409">
        <f t="shared" si="60"/>
        <v>0</v>
      </c>
      <c r="BM119" s="409">
        <f t="shared" si="59"/>
        <v>0</v>
      </c>
      <c r="BN119" s="409">
        <f t="shared" si="59"/>
        <v>0</v>
      </c>
      <c r="BO119" s="409">
        <f t="shared" si="59"/>
        <v>0</v>
      </c>
      <c r="BP119" s="409">
        <f t="shared" si="59"/>
        <v>0</v>
      </c>
      <c r="BQ119" s="409">
        <f t="shared" si="59"/>
        <v>0</v>
      </c>
      <c r="BR119" s="409">
        <f t="shared" si="59"/>
        <v>0</v>
      </c>
      <c r="BS119" s="409">
        <f t="shared" si="59"/>
        <v>0</v>
      </c>
      <c r="BT119" s="409">
        <f t="shared" si="59"/>
        <v>0</v>
      </c>
      <c r="BU119" s="409">
        <f t="shared" si="59"/>
        <v>0</v>
      </c>
      <c r="BV119" s="409">
        <f t="shared" si="59"/>
        <v>0</v>
      </c>
      <c r="BW119" s="409">
        <f t="shared" si="59"/>
        <v>0</v>
      </c>
      <c r="BX119" s="409">
        <f t="shared" si="59"/>
        <v>0</v>
      </c>
      <c r="BY119" s="409">
        <f t="shared" si="59"/>
        <v>0</v>
      </c>
      <c r="BZ119" s="409">
        <f t="shared" si="59"/>
        <v>0</v>
      </c>
      <c r="CA119" s="409">
        <f t="shared" si="59"/>
        <v>0</v>
      </c>
      <c r="CB119" s="409">
        <f t="shared" si="59"/>
        <v>0</v>
      </c>
      <c r="CC119" s="409">
        <f t="shared" si="59"/>
        <v>0</v>
      </c>
      <c r="CD119" s="409">
        <f t="shared" si="59"/>
        <v>0</v>
      </c>
      <c r="CE119" s="409">
        <f t="shared" si="59"/>
        <v>0</v>
      </c>
      <c r="CF119" s="409">
        <f t="shared" si="59"/>
        <v>0</v>
      </c>
      <c r="CG119" s="409">
        <f t="shared" si="59"/>
        <v>0</v>
      </c>
      <c r="CH119" s="409">
        <f t="shared" si="59"/>
        <v>0</v>
      </c>
      <c r="CI119" s="409">
        <f t="shared" si="59"/>
        <v>0</v>
      </c>
      <c r="CJ119" s="409">
        <f t="shared" si="59"/>
        <v>0</v>
      </c>
      <c r="CK119" s="409">
        <f t="shared" si="59"/>
        <v>0</v>
      </c>
    </row>
    <row r="120" spans="25:89">
      <c r="AA120" s="408">
        <v>20</v>
      </c>
      <c r="AB120" s="409">
        <f>CapInvest!C43</f>
        <v>0</v>
      </c>
      <c r="AC120" s="413">
        <f t="shared" si="54"/>
        <v>1</v>
      </c>
      <c r="AD120" s="411">
        <f t="shared" si="55"/>
        <v>0</v>
      </c>
      <c r="AE120" s="409">
        <f t="shared" si="63"/>
        <v>0</v>
      </c>
      <c r="AF120" s="409">
        <f t="shared" si="63"/>
        <v>0</v>
      </c>
      <c r="AG120" s="409">
        <f t="shared" si="63"/>
        <v>0</v>
      </c>
      <c r="AH120" s="409">
        <f t="shared" si="63"/>
        <v>0</v>
      </c>
      <c r="AI120" s="409">
        <f t="shared" si="63"/>
        <v>0</v>
      </c>
      <c r="AJ120" s="409">
        <f t="shared" si="63"/>
        <v>0</v>
      </c>
      <c r="AK120" s="409">
        <f t="shared" si="63"/>
        <v>0</v>
      </c>
      <c r="AL120" s="409">
        <f t="shared" si="63"/>
        <v>0</v>
      </c>
      <c r="AM120" s="409">
        <f t="shared" si="63"/>
        <v>0</v>
      </c>
      <c r="AN120" s="409">
        <f t="shared" si="63"/>
        <v>0</v>
      </c>
      <c r="AO120" s="409">
        <f t="shared" si="63"/>
        <v>0</v>
      </c>
      <c r="AP120" s="409">
        <f t="shared" si="63"/>
        <v>0</v>
      </c>
      <c r="AQ120" s="409">
        <f t="shared" si="63"/>
        <v>0</v>
      </c>
      <c r="AR120" s="409">
        <f t="shared" si="61"/>
        <v>0</v>
      </c>
      <c r="AS120" s="409">
        <f t="shared" si="61"/>
        <v>0</v>
      </c>
      <c r="AT120" s="409">
        <f t="shared" si="61"/>
        <v>0</v>
      </c>
      <c r="AU120" s="409">
        <f t="shared" si="61"/>
        <v>0</v>
      </c>
      <c r="AV120" s="409">
        <f t="shared" si="61"/>
        <v>0</v>
      </c>
      <c r="AW120" s="409">
        <f t="shared" si="61"/>
        <v>0</v>
      </c>
      <c r="AX120" s="409">
        <f t="shared" si="61"/>
        <v>0</v>
      </c>
      <c r="AY120" s="409">
        <f t="shared" si="61"/>
        <v>0</v>
      </c>
      <c r="AZ120" s="409">
        <f t="shared" si="61"/>
        <v>0</v>
      </c>
      <c r="BA120" s="409">
        <f t="shared" si="61"/>
        <v>0</v>
      </c>
      <c r="BB120" s="409">
        <f t="shared" si="62"/>
        <v>0</v>
      </c>
      <c r="BC120" s="409">
        <f t="shared" si="62"/>
        <v>0</v>
      </c>
      <c r="BD120" s="409">
        <f t="shared" si="62"/>
        <v>0</v>
      </c>
      <c r="BE120" s="409">
        <f t="shared" si="62"/>
        <v>0</v>
      </c>
      <c r="BF120" s="409">
        <f t="shared" si="62"/>
        <v>0</v>
      </c>
      <c r="BG120" s="409">
        <f t="shared" si="62"/>
        <v>0</v>
      </c>
      <c r="BH120" s="409">
        <f t="shared" si="62"/>
        <v>0</v>
      </c>
      <c r="BI120" s="409">
        <f t="shared" si="62"/>
        <v>0</v>
      </c>
      <c r="BJ120" s="409">
        <f t="shared" si="62"/>
        <v>0</v>
      </c>
      <c r="BK120" s="409">
        <f t="shared" si="60"/>
        <v>0</v>
      </c>
      <c r="BL120" s="409">
        <f t="shared" si="60"/>
        <v>0</v>
      </c>
      <c r="BM120" s="409">
        <f t="shared" si="59"/>
        <v>0</v>
      </c>
      <c r="BN120" s="409">
        <f t="shared" si="59"/>
        <v>0</v>
      </c>
      <c r="BO120" s="409">
        <f t="shared" si="59"/>
        <v>0</v>
      </c>
      <c r="BP120" s="409">
        <f t="shared" si="59"/>
        <v>0</v>
      </c>
      <c r="BQ120" s="409">
        <f t="shared" si="59"/>
        <v>0</v>
      </c>
      <c r="BR120" s="409">
        <f t="shared" si="59"/>
        <v>0</v>
      </c>
      <c r="BS120" s="409">
        <f t="shared" si="59"/>
        <v>0</v>
      </c>
      <c r="BT120" s="409">
        <f t="shared" si="59"/>
        <v>0</v>
      </c>
      <c r="BU120" s="409">
        <f t="shared" si="59"/>
        <v>0</v>
      </c>
      <c r="BV120" s="409">
        <f t="shared" si="59"/>
        <v>0</v>
      </c>
      <c r="BW120" s="409">
        <f t="shared" si="59"/>
        <v>0</v>
      </c>
      <c r="BX120" s="409">
        <f t="shared" si="59"/>
        <v>0</v>
      </c>
      <c r="BY120" s="409">
        <f t="shared" si="59"/>
        <v>0</v>
      </c>
      <c r="BZ120" s="409">
        <f t="shared" si="59"/>
        <v>0</v>
      </c>
      <c r="CA120" s="409">
        <f t="shared" si="59"/>
        <v>0</v>
      </c>
      <c r="CB120" s="409">
        <f t="shared" si="59"/>
        <v>0</v>
      </c>
      <c r="CC120" s="409">
        <f t="shared" si="59"/>
        <v>0</v>
      </c>
      <c r="CD120" s="409">
        <f t="shared" si="59"/>
        <v>0</v>
      </c>
      <c r="CE120" s="409">
        <f t="shared" si="59"/>
        <v>0</v>
      </c>
      <c r="CF120" s="409">
        <f t="shared" si="59"/>
        <v>0</v>
      </c>
      <c r="CG120" s="409">
        <f t="shared" si="59"/>
        <v>0</v>
      </c>
      <c r="CH120" s="409">
        <f t="shared" si="59"/>
        <v>0</v>
      </c>
      <c r="CI120" s="409">
        <f t="shared" si="59"/>
        <v>0</v>
      </c>
      <c r="CJ120" s="409">
        <f t="shared" si="59"/>
        <v>0</v>
      </c>
      <c r="CK120" s="409">
        <f t="shared" si="59"/>
        <v>0</v>
      </c>
    </row>
    <row r="121" spans="25:89">
      <c r="AC121" s="306" t="s">
        <v>274</v>
      </c>
      <c r="AD121" s="412">
        <f>SUM(AD101:AD120)</f>
        <v>0</v>
      </c>
      <c r="AE121" s="412">
        <f t="shared" ref="AE121:CK121" si="64">SUM(AE101:AE120)</f>
        <v>0</v>
      </c>
      <c r="AF121" s="412">
        <f t="shared" si="64"/>
        <v>0</v>
      </c>
      <c r="AG121" s="412">
        <f t="shared" si="64"/>
        <v>0</v>
      </c>
      <c r="AH121" s="412">
        <f t="shared" si="64"/>
        <v>0</v>
      </c>
      <c r="AI121" s="412">
        <f t="shared" si="64"/>
        <v>0</v>
      </c>
      <c r="AJ121" s="412">
        <f t="shared" si="64"/>
        <v>0</v>
      </c>
      <c r="AK121" s="412">
        <f t="shared" si="64"/>
        <v>0</v>
      </c>
      <c r="AL121" s="412">
        <f t="shared" si="64"/>
        <v>0</v>
      </c>
      <c r="AM121" s="412">
        <f t="shared" si="64"/>
        <v>0</v>
      </c>
      <c r="AN121" s="412">
        <f t="shared" si="64"/>
        <v>0</v>
      </c>
      <c r="AO121" s="412">
        <f t="shared" si="64"/>
        <v>0</v>
      </c>
      <c r="AP121" s="412">
        <f t="shared" si="64"/>
        <v>0</v>
      </c>
      <c r="AQ121" s="412">
        <f t="shared" si="64"/>
        <v>0</v>
      </c>
      <c r="AR121" s="412">
        <f t="shared" si="64"/>
        <v>0</v>
      </c>
      <c r="AS121" s="412">
        <f t="shared" si="64"/>
        <v>0</v>
      </c>
      <c r="AT121" s="412">
        <f t="shared" si="64"/>
        <v>0</v>
      </c>
      <c r="AU121" s="412">
        <f t="shared" si="64"/>
        <v>0</v>
      </c>
      <c r="AV121" s="412">
        <f t="shared" si="64"/>
        <v>0</v>
      </c>
      <c r="AW121" s="412">
        <f t="shared" si="64"/>
        <v>0</v>
      </c>
      <c r="AX121" s="412">
        <f t="shared" si="64"/>
        <v>0</v>
      </c>
      <c r="AY121" s="412">
        <f t="shared" si="64"/>
        <v>0</v>
      </c>
      <c r="AZ121" s="412">
        <f t="shared" si="64"/>
        <v>0</v>
      </c>
      <c r="BA121" s="412">
        <f t="shared" si="64"/>
        <v>0</v>
      </c>
      <c r="BB121" s="412">
        <f t="shared" si="64"/>
        <v>0</v>
      </c>
      <c r="BC121" s="412">
        <f t="shared" si="64"/>
        <v>0</v>
      </c>
      <c r="BD121" s="412">
        <f t="shared" si="64"/>
        <v>0</v>
      </c>
      <c r="BE121" s="412">
        <f t="shared" si="64"/>
        <v>0</v>
      </c>
      <c r="BF121" s="412">
        <f t="shared" si="64"/>
        <v>0</v>
      </c>
      <c r="BG121" s="412">
        <f t="shared" si="64"/>
        <v>0</v>
      </c>
      <c r="BH121" s="412">
        <f t="shared" si="64"/>
        <v>0</v>
      </c>
      <c r="BI121" s="412">
        <f t="shared" si="64"/>
        <v>0</v>
      </c>
      <c r="BJ121" s="412">
        <f t="shared" si="64"/>
        <v>0</v>
      </c>
      <c r="BK121" s="412">
        <f t="shared" si="64"/>
        <v>0</v>
      </c>
      <c r="BL121" s="412">
        <f t="shared" si="64"/>
        <v>0</v>
      </c>
      <c r="BM121" s="412">
        <f t="shared" si="64"/>
        <v>0</v>
      </c>
      <c r="BN121" s="412">
        <f t="shared" si="64"/>
        <v>0</v>
      </c>
      <c r="BO121" s="412">
        <f t="shared" si="64"/>
        <v>0</v>
      </c>
      <c r="BP121" s="412">
        <f t="shared" si="64"/>
        <v>0</v>
      </c>
      <c r="BQ121" s="412">
        <f t="shared" si="64"/>
        <v>0</v>
      </c>
      <c r="BR121" s="412">
        <f t="shared" si="64"/>
        <v>0</v>
      </c>
      <c r="BS121" s="412">
        <f t="shared" si="64"/>
        <v>0</v>
      </c>
      <c r="BT121" s="412">
        <f t="shared" si="64"/>
        <v>0</v>
      </c>
      <c r="BU121" s="412">
        <f t="shared" si="64"/>
        <v>0</v>
      </c>
      <c r="BV121" s="412">
        <f t="shared" si="64"/>
        <v>0</v>
      </c>
      <c r="BW121" s="412">
        <f t="shared" si="64"/>
        <v>0</v>
      </c>
      <c r="BX121" s="412">
        <f t="shared" si="64"/>
        <v>0</v>
      </c>
      <c r="BY121" s="412">
        <f t="shared" si="64"/>
        <v>0</v>
      </c>
      <c r="BZ121" s="412">
        <f t="shared" si="64"/>
        <v>0</v>
      </c>
      <c r="CA121" s="412">
        <f t="shared" si="64"/>
        <v>0</v>
      </c>
      <c r="CB121" s="412">
        <f t="shared" si="64"/>
        <v>0</v>
      </c>
      <c r="CC121" s="412">
        <f t="shared" si="64"/>
        <v>0</v>
      </c>
      <c r="CD121" s="412">
        <f t="shared" si="64"/>
        <v>0</v>
      </c>
      <c r="CE121" s="412">
        <f t="shared" si="64"/>
        <v>0</v>
      </c>
      <c r="CF121" s="412">
        <f t="shared" si="64"/>
        <v>0</v>
      </c>
      <c r="CG121" s="412">
        <f t="shared" si="64"/>
        <v>0</v>
      </c>
      <c r="CH121" s="412">
        <f t="shared" si="64"/>
        <v>0</v>
      </c>
      <c r="CI121" s="412">
        <f t="shared" si="64"/>
        <v>0</v>
      </c>
      <c r="CJ121" s="412">
        <f t="shared" si="64"/>
        <v>0</v>
      </c>
      <c r="CK121" s="412">
        <f t="shared" si="64"/>
        <v>0</v>
      </c>
    </row>
    <row r="124" spans="25:89">
      <c r="Y124" s="71" t="s">
        <v>275</v>
      </c>
    </row>
    <row r="125" spans="25:89">
      <c r="AA125" s="408">
        <v>1</v>
      </c>
      <c r="AB125">
        <f>CapInvest!C6</f>
        <v>0</v>
      </c>
      <c r="AC125" s="299">
        <f>IF($AB125=0,1,DATEDIF($K$12,DATEVALUE("01-"&amp;CapInvest!$D6&amp;"-"&amp;CapInvest!$E6),"m")+1)</f>
        <v>1</v>
      </c>
      <c r="AD125" s="409">
        <f t="shared" ref="AD125:AD139" si="65">IF(AD$3=$AC125,$AB125,0)</f>
        <v>0</v>
      </c>
      <c r="AE125" s="409">
        <f t="shared" ref="AE125:CK129" si="66">IF(AE$3=$AC125,$AB125,0)</f>
        <v>0</v>
      </c>
      <c r="AF125" s="409">
        <f t="shared" si="66"/>
        <v>0</v>
      </c>
      <c r="AG125" s="409">
        <f t="shared" si="66"/>
        <v>0</v>
      </c>
      <c r="AH125" s="409">
        <f t="shared" si="66"/>
        <v>0</v>
      </c>
      <c r="AI125" s="409">
        <f t="shared" si="66"/>
        <v>0</v>
      </c>
      <c r="AJ125" s="409">
        <f t="shared" si="66"/>
        <v>0</v>
      </c>
      <c r="AK125" s="409">
        <f t="shared" si="66"/>
        <v>0</v>
      </c>
      <c r="AL125" s="409">
        <f t="shared" si="66"/>
        <v>0</v>
      </c>
      <c r="AM125" s="409">
        <f t="shared" si="66"/>
        <v>0</v>
      </c>
      <c r="AN125" s="409">
        <f t="shared" si="66"/>
        <v>0</v>
      </c>
      <c r="AO125" s="409">
        <f t="shared" si="66"/>
        <v>0</v>
      </c>
      <c r="AP125" s="409">
        <f t="shared" si="66"/>
        <v>0</v>
      </c>
      <c r="AQ125" s="409">
        <f t="shared" si="66"/>
        <v>0</v>
      </c>
      <c r="AR125" s="409">
        <f t="shared" si="66"/>
        <v>0</v>
      </c>
      <c r="AS125" s="409">
        <f t="shared" si="66"/>
        <v>0</v>
      </c>
      <c r="AT125" s="409">
        <f t="shared" si="66"/>
        <v>0</v>
      </c>
      <c r="AU125" s="409">
        <f t="shared" si="66"/>
        <v>0</v>
      </c>
      <c r="AV125" s="409">
        <f t="shared" si="66"/>
        <v>0</v>
      </c>
      <c r="AW125" s="409">
        <f t="shared" si="66"/>
        <v>0</v>
      </c>
      <c r="AX125" s="409">
        <f t="shared" si="66"/>
        <v>0</v>
      </c>
      <c r="AY125" s="409">
        <f t="shared" si="66"/>
        <v>0</v>
      </c>
      <c r="AZ125" s="409">
        <f t="shared" si="66"/>
        <v>0</v>
      </c>
      <c r="BA125" s="409">
        <f t="shared" si="66"/>
        <v>0</v>
      </c>
      <c r="BB125" s="409">
        <f t="shared" si="66"/>
        <v>0</v>
      </c>
      <c r="BC125" s="409">
        <f t="shared" si="66"/>
        <v>0</v>
      </c>
      <c r="BD125" s="409">
        <f t="shared" si="66"/>
        <v>0</v>
      </c>
      <c r="BE125" s="409">
        <f t="shared" si="66"/>
        <v>0</v>
      </c>
      <c r="BF125" s="409">
        <f t="shared" si="66"/>
        <v>0</v>
      </c>
      <c r="BG125" s="409">
        <f t="shared" si="66"/>
        <v>0</v>
      </c>
      <c r="BH125" s="409">
        <f t="shared" si="66"/>
        <v>0</v>
      </c>
      <c r="BI125" s="409">
        <f t="shared" si="66"/>
        <v>0</v>
      </c>
      <c r="BJ125" s="409">
        <f t="shared" si="66"/>
        <v>0</v>
      </c>
      <c r="BK125" s="409">
        <f t="shared" si="66"/>
        <v>0</v>
      </c>
      <c r="BL125" s="409">
        <f t="shared" si="66"/>
        <v>0</v>
      </c>
      <c r="BM125" s="409">
        <f t="shared" si="66"/>
        <v>0</v>
      </c>
      <c r="BN125" s="409">
        <f t="shared" si="66"/>
        <v>0</v>
      </c>
      <c r="BO125" s="409">
        <f t="shared" si="66"/>
        <v>0</v>
      </c>
      <c r="BP125" s="409">
        <f t="shared" si="66"/>
        <v>0</v>
      </c>
      <c r="BQ125" s="409">
        <f t="shared" si="66"/>
        <v>0</v>
      </c>
      <c r="BR125" s="409">
        <f t="shared" si="66"/>
        <v>0</v>
      </c>
      <c r="BS125" s="409">
        <f t="shared" si="66"/>
        <v>0</v>
      </c>
      <c r="BT125" s="409">
        <f t="shared" si="66"/>
        <v>0</v>
      </c>
      <c r="BU125" s="409">
        <f t="shared" si="66"/>
        <v>0</v>
      </c>
      <c r="BV125" s="409">
        <f t="shared" si="66"/>
        <v>0</v>
      </c>
      <c r="BW125" s="409">
        <f t="shared" si="66"/>
        <v>0</v>
      </c>
      <c r="BX125" s="409">
        <f t="shared" si="66"/>
        <v>0</v>
      </c>
      <c r="BY125" s="409">
        <f t="shared" si="66"/>
        <v>0</v>
      </c>
      <c r="BZ125" s="409">
        <f t="shared" si="66"/>
        <v>0</v>
      </c>
      <c r="CA125" s="409">
        <f t="shared" si="66"/>
        <v>0</v>
      </c>
      <c r="CB125" s="409">
        <f t="shared" si="66"/>
        <v>0</v>
      </c>
      <c r="CC125" s="409">
        <f t="shared" si="66"/>
        <v>0</v>
      </c>
      <c r="CD125" s="409">
        <f t="shared" si="66"/>
        <v>0</v>
      </c>
      <c r="CE125" s="409">
        <f t="shared" si="66"/>
        <v>0</v>
      </c>
      <c r="CF125" s="409">
        <f t="shared" si="66"/>
        <v>0</v>
      </c>
      <c r="CG125" s="409">
        <f t="shared" si="66"/>
        <v>0</v>
      </c>
      <c r="CH125" s="409">
        <f t="shared" si="66"/>
        <v>0</v>
      </c>
      <c r="CI125" s="409">
        <f t="shared" si="66"/>
        <v>0</v>
      </c>
      <c r="CJ125" s="409">
        <f t="shared" si="66"/>
        <v>0</v>
      </c>
      <c r="CK125" s="409">
        <f t="shared" si="66"/>
        <v>0</v>
      </c>
    </row>
    <row r="126" spans="25:89">
      <c r="AA126" s="408">
        <v>2</v>
      </c>
      <c r="AB126">
        <f>CapInvest!C7</f>
        <v>0</v>
      </c>
      <c r="AC126" s="299">
        <f>IF($AB126=0,1,DATEDIF($K$12,DATEVALUE("01-"&amp;CapInvest!$D7&amp;"-"&amp;CapInvest!$E7),"m")+1)</f>
        <v>1</v>
      </c>
      <c r="AD126" s="409">
        <f t="shared" si="65"/>
        <v>0</v>
      </c>
      <c r="AE126" s="409">
        <f t="shared" ref="AE126:AS126" si="67">IF(AE$3=$AC126,$AB126,0)</f>
        <v>0</v>
      </c>
      <c r="AF126" s="409">
        <f t="shared" si="67"/>
        <v>0</v>
      </c>
      <c r="AG126" s="409">
        <f t="shared" si="67"/>
        <v>0</v>
      </c>
      <c r="AH126" s="409">
        <f t="shared" si="67"/>
        <v>0</v>
      </c>
      <c r="AI126" s="409">
        <f t="shared" si="67"/>
        <v>0</v>
      </c>
      <c r="AJ126" s="409">
        <f t="shared" si="67"/>
        <v>0</v>
      </c>
      <c r="AK126" s="409">
        <f t="shared" si="67"/>
        <v>0</v>
      </c>
      <c r="AL126" s="409">
        <f t="shared" si="67"/>
        <v>0</v>
      </c>
      <c r="AM126" s="409">
        <f t="shared" si="67"/>
        <v>0</v>
      </c>
      <c r="AN126" s="409">
        <f t="shared" si="67"/>
        <v>0</v>
      </c>
      <c r="AO126" s="409">
        <f t="shared" si="67"/>
        <v>0</v>
      </c>
      <c r="AP126" s="409">
        <f t="shared" si="67"/>
        <v>0</v>
      </c>
      <c r="AQ126" s="409">
        <f t="shared" si="67"/>
        <v>0</v>
      </c>
      <c r="AR126" s="409">
        <f t="shared" si="67"/>
        <v>0</v>
      </c>
      <c r="AS126" s="409">
        <f t="shared" si="67"/>
        <v>0</v>
      </c>
      <c r="AT126" s="409">
        <f t="shared" si="66"/>
        <v>0</v>
      </c>
      <c r="AU126" s="409">
        <f t="shared" si="66"/>
        <v>0</v>
      </c>
      <c r="AV126" s="409">
        <f t="shared" si="66"/>
        <v>0</v>
      </c>
      <c r="AW126" s="409">
        <f t="shared" si="66"/>
        <v>0</v>
      </c>
      <c r="AX126" s="409">
        <f t="shared" si="66"/>
        <v>0</v>
      </c>
      <c r="AY126" s="409">
        <f t="shared" si="66"/>
        <v>0</v>
      </c>
      <c r="AZ126" s="409">
        <f t="shared" si="66"/>
        <v>0</v>
      </c>
      <c r="BA126" s="409">
        <f t="shared" si="66"/>
        <v>0</v>
      </c>
      <c r="BB126" s="409">
        <f t="shared" si="66"/>
        <v>0</v>
      </c>
      <c r="BC126" s="409">
        <f t="shared" si="66"/>
        <v>0</v>
      </c>
      <c r="BD126" s="409">
        <f t="shared" si="66"/>
        <v>0</v>
      </c>
      <c r="BE126" s="409">
        <f t="shared" si="66"/>
        <v>0</v>
      </c>
      <c r="BF126" s="409">
        <f t="shared" si="66"/>
        <v>0</v>
      </c>
      <c r="BG126" s="409">
        <f t="shared" si="66"/>
        <v>0</v>
      </c>
      <c r="BH126" s="409">
        <f t="shared" si="66"/>
        <v>0</v>
      </c>
      <c r="BI126" s="409">
        <f t="shared" si="66"/>
        <v>0</v>
      </c>
      <c r="BJ126" s="409">
        <f t="shared" si="66"/>
        <v>0</v>
      </c>
      <c r="BK126" s="409">
        <f t="shared" si="66"/>
        <v>0</v>
      </c>
      <c r="BL126" s="409">
        <f t="shared" si="66"/>
        <v>0</v>
      </c>
      <c r="BM126" s="409">
        <f t="shared" si="66"/>
        <v>0</v>
      </c>
      <c r="BN126" s="409">
        <f t="shared" si="66"/>
        <v>0</v>
      </c>
      <c r="BO126" s="409">
        <f t="shared" si="66"/>
        <v>0</v>
      </c>
      <c r="BP126" s="409">
        <f t="shared" si="66"/>
        <v>0</v>
      </c>
      <c r="BQ126" s="409">
        <f t="shared" si="66"/>
        <v>0</v>
      </c>
      <c r="BR126" s="409">
        <f t="shared" si="66"/>
        <v>0</v>
      </c>
      <c r="BS126" s="409">
        <f t="shared" si="66"/>
        <v>0</v>
      </c>
      <c r="BT126" s="409">
        <f t="shared" si="66"/>
        <v>0</v>
      </c>
      <c r="BU126" s="409">
        <f t="shared" si="66"/>
        <v>0</v>
      </c>
      <c r="BV126" s="409">
        <f t="shared" si="66"/>
        <v>0</v>
      </c>
      <c r="BW126" s="409">
        <f t="shared" si="66"/>
        <v>0</v>
      </c>
      <c r="BX126" s="409">
        <f t="shared" si="66"/>
        <v>0</v>
      </c>
      <c r="BY126" s="409">
        <f t="shared" si="66"/>
        <v>0</v>
      </c>
      <c r="BZ126" s="409">
        <f t="shared" si="66"/>
        <v>0</v>
      </c>
      <c r="CA126" s="409">
        <f t="shared" si="66"/>
        <v>0</v>
      </c>
      <c r="CB126" s="409">
        <f t="shared" si="66"/>
        <v>0</v>
      </c>
      <c r="CC126" s="409">
        <f t="shared" si="66"/>
        <v>0</v>
      </c>
      <c r="CD126" s="409">
        <f t="shared" si="66"/>
        <v>0</v>
      </c>
      <c r="CE126" s="409">
        <f t="shared" si="66"/>
        <v>0</v>
      </c>
      <c r="CF126" s="409">
        <f t="shared" si="66"/>
        <v>0</v>
      </c>
      <c r="CG126" s="409">
        <f t="shared" si="66"/>
        <v>0</v>
      </c>
      <c r="CH126" s="409">
        <f t="shared" si="66"/>
        <v>0</v>
      </c>
      <c r="CI126" s="409">
        <f t="shared" si="66"/>
        <v>0</v>
      </c>
      <c r="CJ126" s="409">
        <f t="shared" si="66"/>
        <v>0</v>
      </c>
      <c r="CK126" s="409">
        <f t="shared" si="66"/>
        <v>0</v>
      </c>
    </row>
    <row r="127" spans="25:89">
      <c r="AA127" s="408">
        <v>3</v>
      </c>
      <c r="AB127">
        <f>CapInvest!C8</f>
        <v>0</v>
      </c>
      <c r="AC127" s="299">
        <f>IF($AB127=0,1,DATEDIF($K$12,DATEVALUE("01-"&amp;CapInvest!$D8&amp;"-"&amp;CapInvest!$E8),"m")+1)</f>
        <v>1</v>
      </c>
      <c r="AD127" s="409">
        <f t="shared" si="65"/>
        <v>0</v>
      </c>
      <c r="AE127" s="409">
        <f t="shared" si="66"/>
        <v>0</v>
      </c>
      <c r="AF127" s="409">
        <f t="shared" si="66"/>
        <v>0</v>
      </c>
      <c r="AG127" s="409">
        <f t="shared" si="66"/>
        <v>0</v>
      </c>
      <c r="AH127" s="409">
        <f t="shared" si="66"/>
        <v>0</v>
      </c>
      <c r="AI127" s="409">
        <f t="shared" si="66"/>
        <v>0</v>
      </c>
      <c r="AJ127" s="409">
        <f t="shared" si="66"/>
        <v>0</v>
      </c>
      <c r="AK127" s="409">
        <f t="shared" si="66"/>
        <v>0</v>
      </c>
      <c r="AL127" s="409">
        <f t="shared" si="66"/>
        <v>0</v>
      </c>
      <c r="AM127" s="409">
        <f t="shared" si="66"/>
        <v>0</v>
      </c>
      <c r="AN127" s="409">
        <f t="shared" si="66"/>
        <v>0</v>
      </c>
      <c r="AO127" s="409">
        <f t="shared" si="66"/>
        <v>0</v>
      </c>
      <c r="AP127" s="409">
        <f t="shared" si="66"/>
        <v>0</v>
      </c>
      <c r="AQ127" s="409">
        <f t="shared" si="66"/>
        <v>0</v>
      </c>
      <c r="AR127" s="409">
        <f t="shared" si="66"/>
        <v>0</v>
      </c>
      <c r="AS127" s="409">
        <f t="shared" si="66"/>
        <v>0</v>
      </c>
      <c r="AT127" s="409">
        <f t="shared" si="66"/>
        <v>0</v>
      </c>
      <c r="AU127" s="409">
        <f t="shared" si="66"/>
        <v>0</v>
      </c>
      <c r="AV127" s="409">
        <f t="shared" si="66"/>
        <v>0</v>
      </c>
      <c r="AW127" s="409">
        <f t="shared" si="66"/>
        <v>0</v>
      </c>
      <c r="AX127" s="409">
        <f t="shared" si="66"/>
        <v>0</v>
      </c>
      <c r="AY127" s="409">
        <f t="shared" si="66"/>
        <v>0</v>
      </c>
      <c r="AZ127" s="409">
        <f t="shared" si="66"/>
        <v>0</v>
      </c>
      <c r="BA127" s="409">
        <f t="shared" si="66"/>
        <v>0</v>
      </c>
      <c r="BB127" s="409">
        <f t="shared" si="66"/>
        <v>0</v>
      </c>
      <c r="BC127" s="409">
        <f t="shared" si="66"/>
        <v>0</v>
      </c>
      <c r="BD127" s="409">
        <f t="shared" si="66"/>
        <v>0</v>
      </c>
      <c r="BE127" s="409">
        <f t="shared" si="66"/>
        <v>0</v>
      </c>
      <c r="BF127" s="409">
        <f t="shared" si="66"/>
        <v>0</v>
      </c>
      <c r="BG127" s="409">
        <f t="shared" si="66"/>
        <v>0</v>
      </c>
      <c r="BH127" s="409">
        <f t="shared" si="66"/>
        <v>0</v>
      </c>
      <c r="BI127" s="409">
        <f t="shared" si="66"/>
        <v>0</v>
      </c>
      <c r="BJ127" s="409">
        <f t="shared" si="66"/>
        <v>0</v>
      </c>
      <c r="BK127" s="409">
        <f t="shared" si="66"/>
        <v>0</v>
      </c>
      <c r="BL127" s="409">
        <f t="shared" si="66"/>
        <v>0</v>
      </c>
      <c r="BM127" s="409">
        <f t="shared" si="66"/>
        <v>0</v>
      </c>
      <c r="BN127" s="409">
        <f t="shared" si="66"/>
        <v>0</v>
      </c>
      <c r="BO127" s="409">
        <f t="shared" si="66"/>
        <v>0</v>
      </c>
      <c r="BP127" s="409">
        <f t="shared" si="66"/>
        <v>0</v>
      </c>
      <c r="BQ127" s="409">
        <f t="shared" si="66"/>
        <v>0</v>
      </c>
      <c r="BR127" s="409">
        <f t="shared" si="66"/>
        <v>0</v>
      </c>
      <c r="BS127" s="409">
        <f t="shared" si="66"/>
        <v>0</v>
      </c>
      <c r="BT127" s="409">
        <f t="shared" si="66"/>
        <v>0</v>
      </c>
      <c r="BU127" s="409">
        <f t="shared" si="66"/>
        <v>0</v>
      </c>
      <c r="BV127" s="409">
        <f t="shared" si="66"/>
        <v>0</v>
      </c>
      <c r="BW127" s="409">
        <f t="shared" si="66"/>
        <v>0</v>
      </c>
      <c r="BX127" s="409">
        <f t="shared" si="66"/>
        <v>0</v>
      </c>
      <c r="BY127" s="409">
        <f t="shared" si="66"/>
        <v>0</v>
      </c>
      <c r="BZ127" s="409">
        <f t="shared" si="66"/>
        <v>0</v>
      </c>
      <c r="CA127" s="409">
        <f t="shared" si="66"/>
        <v>0</v>
      </c>
      <c r="CB127" s="409">
        <f t="shared" si="66"/>
        <v>0</v>
      </c>
      <c r="CC127" s="409">
        <f t="shared" si="66"/>
        <v>0</v>
      </c>
      <c r="CD127" s="409">
        <f t="shared" si="66"/>
        <v>0</v>
      </c>
      <c r="CE127" s="409">
        <f t="shared" si="66"/>
        <v>0</v>
      </c>
      <c r="CF127" s="409">
        <f t="shared" si="66"/>
        <v>0</v>
      </c>
      <c r="CG127" s="409">
        <f t="shared" si="66"/>
        <v>0</v>
      </c>
      <c r="CH127" s="409">
        <f t="shared" si="66"/>
        <v>0</v>
      </c>
      <c r="CI127" s="409">
        <f t="shared" si="66"/>
        <v>0</v>
      </c>
      <c r="CJ127" s="409">
        <f t="shared" si="66"/>
        <v>0</v>
      </c>
      <c r="CK127" s="409">
        <f t="shared" si="66"/>
        <v>0</v>
      </c>
    </row>
    <row r="128" spans="25:89">
      <c r="AA128" s="408">
        <v>4</v>
      </c>
      <c r="AB128">
        <f>CapInvest!C9</f>
        <v>0</v>
      </c>
      <c r="AC128" s="299">
        <f>IF($AB128=0,1,DATEDIF($K$12,DATEVALUE("01-"&amp;CapInvest!$D9&amp;"-"&amp;CapInvest!$E9),"m")+1)</f>
        <v>1</v>
      </c>
      <c r="AD128" s="409">
        <f t="shared" si="65"/>
        <v>0</v>
      </c>
      <c r="AE128" s="409">
        <f t="shared" si="66"/>
        <v>0</v>
      </c>
      <c r="AF128" s="409">
        <f t="shared" si="66"/>
        <v>0</v>
      </c>
      <c r="AG128" s="409">
        <f t="shared" si="66"/>
        <v>0</v>
      </c>
      <c r="AH128" s="409">
        <f t="shared" si="66"/>
        <v>0</v>
      </c>
      <c r="AI128" s="409">
        <f t="shared" si="66"/>
        <v>0</v>
      </c>
      <c r="AJ128" s="409">
        <f t="shared" si="66"/>
        <v>0</v>
      </c>
      <c r="AK128" s="409">
        <f t="shared" si="66"/>
        <v>0</v>
      </c>
      <c r="AL128" s="409">
        <f t="shared" si="66"/>
        <v>0</v>
      </c>
      <c r="AM128" s="409">
        <f t="shared" si="66"/>
        <v>0</v>
      </c>
      <c r="AN128" s="409">
        <f t="shared" si="66"/>
        <v>0</v>
      </c>
      <c r="AO128" s="409">
        <f t="shared" si="66"/>
        <v>0</v>
      </c>
      <c r="AP128" s="409">
        <f t="shared" si="66"/>
        <v>0</v>
      </c>
      <c r="AQ128" s="409">
        <f t="shared" si="66"/>
        <v>0</v>
      </c>
      <c r="AR128" s="409">
        <f t="shared" si="66"/>
        <v>0</v>
      </c>
      <c r="AS128" s="409">
        <f t="shared" si="66"/>
        <v>0</v>
      </c>
      <c r="AT128" s="409">
        <f t="shared" si="66"/>
        <v>0</v>
      </c>
      <c r="AU128" s="409">
        <f t="shared" si="66"/>
        <v>0</v>
      </c>
      <c r="AV128" s="409">
        <f t="shared" si="66"/>
        <v>0</v>
      </c>
      <c r="AW128" s="409">
        <f t="shared" si="66"/>
        <v>0</v>
      </c>
      <c r="AX128" s="409">
        <f t="shared" si="66"/>
        <v>0</v>
      </c>
      <c r="AY128" s="409">
        <f t="shared" si="66"/>
        <v>0</v>
      </c>
      <c r="AZ128" s="409">
        <f t="shared" si="66"/>
        <v>0</v>
      </c>
      <c r="BA128" s="409">
        <f t="shared" si="66"/>
        <v>0</v>
      </c>
      <c r="BB128" s="409">
        <f t="shared" si="66"/>
        <v>0</v>
      </c>
      <c r="BC128" s="409">
        <f t="shared" si="66"/>
        <v>0</v>
      </c>
      <c r="BD128" s="409">
        <f t="shared" si="66"/>
        <v>0</v>
      </c>
      <c r="BE128" s="409">
        <f t="shared" si="66"/>
        <v>0</v>
      </c>
      <c r="BF128" s="409">
        <f t="shared" si="66"/>
        <v>0</v>
      </c>
      <c r="BG128" s="409">
        <f t="shared" si="66"/>
        <v>0</v>
      </c>
      <c r="BH128" s="409">
        <f t="shared" si="66"/>
        <v>0</v>
      </c>
      <c r="BI128" s="409">
        <f t="shared" si="66"/>
        <v>0</v>
      </c>
      <c r="BJ128" s="409">
        <f t="shared" si="66"/>
        <v>0</v>
      </c>
      <c r="BK128" s="409">
        <f t="shared" si="66"/>
        <v>0</v>
      </c>
      <c r="BL128" s="409">
        <f t="shared" si="66"/>
        <v>0</v>
      </c>
      <c r="BM128" s="409">
        <f t="shared" si="66"/>
        <v>0</v>
      </c>
      <c r="BN128" s="409">
        <f t="shared" si="66"/>
        <v>0</v>
      </c>
      <c r="BO128" s="409">
        <f t="shared" si="66"/>
        <v>0</v>
      </c>
      <c r="BP128" s="409">
        <f t="shared" si="66"/>
        <v>0</v>
      </c>
      <c r="BQ128" s="409">
        <f t="shared" si="66"/>
        <v>0</v>
      </c>
      <c r="BR128" s="409">
        <f t="shared" si="66"/>
        <v>0</v>
      </c>
      <c r="BS128" s="409">
        <f t="shared" si="66"/>
        <v>0</v>
      </c>
      <c r="BT128" s="409">
        <f t="shared" si="66"/>
        <v>0</v>
      </c>
      <c r="BU128" s="409">
        <f t="shared" si="66"/>
        <v>0</v>
      </c>
      <c r="BV128" s="409">
        <f t="shared" si="66"/>
        <v>0</v>
      </c>
      <c r="BW128" s="409">
        <f t="shared" si="66"/>
        <v>0</v>
      </c>
      <c r="BX128" s="409">
        <f t="shared" si="66"/>
        <v>0</v>
      </c>
      <c r="BY128" s="409">
        <f t="shared" si="66"/>
        <v>0</v>
      </c>
      <c r="BZ128" s="409">
        <f t="shared" si="66"/>
        <v>0</v>
      </c>
      <c r="CA128" s="409">
        <f t="shared" si="66"/>
        <v>0</v>
      </c>
      <c r="CB128" s="409">
        <f t="shared" si="66"/>
        <v>0</v>
      </c>
      <c r="CC128" s="409">
        <f t="shared" si="66"/>
        <v>0</v>
      </c>
      <c r="CD128" s="409">
        <f t="shared" si="66"/>
        <v>0</v>
      </c>
      <c r="CE128" s="409">
        <f t="shared" si="66"/>
        <v>0</v>
      </c>
      <c r="CF128" s="409">
        <f t="shared" si="66"/>
        <v>0</v>
      </c>
      <c r="CG128" s="409">
        <f t="shared" si="66"/>
        <v>0</v>
      </c>
      <c r="CH128" s="409">
        <f t="shared" si="66"/>
        <v>0</v>
      </c>
      <c r="CI128" s="409">
        <f t="shared" si="66"/>
        <v>0</v>
      </c>
      <c r="CJ128" s="409">
        <f t="shared" si="66"/>
        <v>0</v>
      </c>
      <c r="CK128" s="409">
        <f t="shared" si="66"/>
        <v>0</v>
      </c>
    </row>
    <row r="129" spans="25:89">
      <c r="AA129" s="408">
        <v>5</v>
      </c>
      <c r="AB129">
        <f>CapInvest!C10</f>
        <v>0</v>
      </c>
      <c r="AC129" s="299">
        <f>IF($AB129=0,1,DATEDIF($K$12,DATEVALUE("01-"&amp;CapInvest!$D10&amp;"-"&amp;CapInvest!$E10),"m")+1)</f>
        <v>1</v>
      </c>
      <c r="AD129" s="409">
        <f t="shared" si="65"/>
        <v>0</v>
      </c>
      <c r="AE129" s="409">
        <f t="shared" si="66"/>
        <v>0</v>
      </c>
      <c r="AF129" s="409">
        <f t="shared" si="66"/>
        <v>0</v>
      </c>
      <c r="AG129" s="409">
        <f t="shared" si="66"/>
        <v>0</v>
      </c>
      <c r="AH129" s="409">
        <f t="shared" si="66"/>
        <v>0</v>
      </c>
      <c r="AI129" s="409">
        <f t="shared" si="66"/>
        <v>0</v>
      </c>
      <c r="AJ129" s="409">
        <f t="shared" si="66"/>
        <v>0</v>
      </c>
      <c r="AK129" s="409">
        <f t="shared" si="66"/>
        <v>0</v>
      </c>
      <c r="AL129" s="409">
        <f t="shared" si="66"/>
        <v>0</v>
      </c>
      <c r="AM129" s="409">
        <f t="shared" si="66"/>
        <v>0</v>
      </c>
      <c r="AN129" s="409">
        <f t="shared" si="66"/>
        <v>0</v>
      </c>
      <c r="AO129" s="409">
        <f t="shared" si="66"/>
        <v>0</v>
      </c>
      <c r="AP129" s="409">
        <f t="shared" si="66"/>
        <v>0</v>
      </c>
      <c r="AQ129" s="409">
        <f t="shared" si="66"/>
        <v>0</v>
      </c>
      <c r="AR129" s="409">
        <f t="shared" si="66"/>
        <v>0</v>
      </c>
      <c r="AS129" s="409">
        <f t="shared" si="66"/>
        <v>0</v>
      </c>
      <c r="AT129" s="409">
        <f t="shared" si="66"/>
        <v>0</v>
      </c>
      <c r="AU129" s="409">
        <f t="shared" si="66"/>
        <v>0</v>
      </c>
      <c r="AV129" s="409">
        <f t="shared" si="66"/>
        <v>0</v>
      </c>
      <c r="AW129" s="409">
        <f t="shared" si="66"/>
        <v>0</v>
      </c>
      <c r="AX129" s="409">
        <f t="shared" si="66"/>
        <v>0</v>
      </c>
      <c r="AY129" s="409">
        <f t="shared" si="66"/>
        <v>0</v>
      </c>
      <c r="AZ129" s="409">
        <f t="shared" si="66"/>
        <v>0</v>
      </c>
      <c r="BA129" s="409">
        <f t="shared" si="66"/>
        <v>0</v>
      </c>
      <c r="BB129" s="409">
        <f t="shared" si="66"/>
        <v>0</v>
      </c>
      <c r="BC129" s="409">
        <f t="shared" si="66"/>
        <v>0</v>
      </c>
      <c r="BD129" s="409">
        <f t="shared" si="66"/>
        <v>0</v>
      </c>
      <c r="BE129" s="409">
        <f t="shared" si="66"/>
        <v>0</v>
      </c>
      <c r="BF129" s="409">
        <f t="shared" si="66"/>
        <v>0</v>
      </c>
      <c r="BG129" s="409">
        <f t="shared" si="66"/>
        <v>0</v>
      </c>
      <c r="BH129" s="409">
        <f t="shared" si="66"/>
        <v>0</v>
      </c>
      <c r="BI129" s="409">
        <f t="shared" si="66"/>
        <v>0</v>
      </c>
      <c r="BJ129" s="409">
        <f t="shared" si="66"/>
        <v>0</v>
      </c>
      <c r="BK129" s="409">
        <f t="shared" si="66"/>
        <v>0</v>
      </c>
      <c r="BL129" s="409">
        <f t="shared" si="66"/>
        <v>0</v>
      </c>
      <c r="BM129" s="409">
        <f t="shared" ref="AE129:CK133" si="68">IF(BM$3=$AC129,$AB129,0)</f>
        <v>0</v>
      </c>
      <c r="BN129" s="409">
        <f t="shared" si="68"/>
        <v>0</v>
      </c>
      <c r="BO129" s="409">
        <f t="shared" si="68"/>
        <v>0</v>
      </c>
      <c r="BP129" s="409">
        <f t="shared" si="68"/>
        <v>0</v>
      </c>
      <c r="BQ129" s="409">
        <f t="shared" si="68"/>
        <v>0</v>
      </c>
      <c r="BR129" s="409">
        <f t="shared" si="68"/>
        <v>0</v>
      </c>
      <c r="BS129" s="409">
        <f t="shared" si="68"/>
        <v>0</v>
      </c>
      <c r="BT129" s="409">
        <f t="shared" si="68"/>
        <v>0</v>
      </c>
      <c r="BU129" s="409">
        <f t="shared" si="68"/>
        <v>0</v>
      </c>
      <c r="BV129" s="409">
        <f t="shared" si="68"/>
        <v>0</v>
      </c>
      <c r="BW129" s="409">
        <f t="shared" si="68"/>
        <v>0</v>
      </c>
      <c r="BX129" s="409">
        <f t="shared" si="68"/>
        <v>0</v>
      </c>
      <c r="BY129" s="409">
        <f t="shared" si="68"/>
        <v>0</v>
      </c>
      <c r="BZ129" s="409">
        <f t="shared" si="68"/>
        <v>0</v>
      </c>
      <c r="CA129" s="409">
        <f t="shared" si="68"/>
        <v>0</v>
      </c>
      <c r="CB129" s="409">
        <f t="shared" si="68"/>
        <v>0</v>
      </c>
      <c r="CC129" s="409">
        <f t="shared" si="68"/>
        <v>0</v>
      </c>
      <c r="CD129" s="409">
        <f t="shared" si="68"/>
        <v>0</v>
      </c>
      <c r="CE129" s="409">
        <f t="shared" si="68"/>
        <v>0</v>
      </c>
      <c r="CF129" s="409">
        <f t="shared" si="68"/>
        <v>0</v>
      </c>
      <c r="CG129" s="409">
        <f t="shared" si="68"/>
        <v>0</v>
      </c>
      <c r="CH129" s="409">
        <f t="shared" si="68"/>
        <v>0</v>
      </c>
      <c r="CI129" s="409">
        <f t="shared" si="68"/>
        <v>0</v>
      </c>
      <c r="CJ129" s="409">
        <f t="shared" si="68"/>
        <v>0</v>
      </c>
      <c r="CK129" s="409">
        <f t="shared" si="68"/>
        <v>0</v>
      </c>
    </row>
    <row r="130" spans="25:89">
      <c r="AA130" s="408">
        <v>6</v>
      </c>
      <c r="AB130">
        <f>CapInvest!C11</f>
        <v>0</v>
      </c>
      <c r="AC130" s="299">
        <f>IF($AB130=0,1,DATEDIF($K$12,DATEVALUE("01-"&amp;CapInvest!$D11&amp;"-"&amp;CapInvest!$E11),"m")+1)</f>
        <v>1</v>
      </c>
      <c r="AD130" s="409">
        <f t="shared" si="65"/>
        <v>0</v>
      </c>
      <c r="AE130" s="409">
        <f t="shared" si="68"/>
        <v>0</v>
      </c>
      <c r="AF130" s="409">
        <f t="shared" si="68"/>
        <v>0</v>
      </c>
      <c r="AG130" s="409">
        <f t="shared" si="68"/>
        <v>0</v>
      </c>
      <c r="AH130" s="409">
        <f t="shared" si="68"/>
        <v>0</v>
      </c>
      <c r="AI130" s="409">
        <f t="shared" si="68"/>
        <v>0</v>
      </c>
      <c r="AJ130" s="409">
        <f t="shared" si="68"/>
        <v>0</v>
      </c>
      <c r="AK130" s="409">
        <f t="shared" si="68"/>
        <v>0</v>
      </c>
      <c r="AL130" s="409">
        <f t="shared" si="68"/>
        <v>0</v>
      </c>
      <c r="AM130" s="409">
        <f t="shared" si="68"/>
        <v>0</v>
      </c>
      <c r="AN130" s="409">
        <f t="shared" si="68"/>
        <v>0</v>
      </c>
      <c r="AO130" s="409">
        <f t="shared" si="68"/>
        <v>0</v>
      </c>
      <c r="AP130" s="409">
        <f t="shared" si="68"/>
        <v>0</v>
      </c>
      <c r="AQ130" s="409">
        <f t="shared" si="68"/>
        <v>0</v>
      </c>
      <c r="AR130" s="409">
        <f t="shared" si="68"/>
        <v>0</v>
      </c>
      <c r="AS130" s="409">
        <f t="shared" si="68"/>
        <v>0</v>
      </c>
      <c r="AT130" s="409">
        <f t="shared" si="68"/>
        <v>0</v>
      </c>
      <c r="AU130" s="409">
        <f t="shared" si="68"/>
        <v>0</v>
      </c>
      <c r="AV130" s="409">
        <f t="shared" si="68"/>
        <v>0</v>
      </c>
      <c r="AW130" s="409">
        <f t="shared" si="68"/>
        <v>0</v>
      </c>
      <c r="AX130" s="409">
        <f t="shared" si="68"/>
        <v>0</v>
      </c>
      <c r="AY130" s="409">
        <f t="shared" si="68"/>
        <v>0</v>
      </c>
      <c r="AZ130" s="409">
        <f t="shared" si="68"/>
        <v>0</v>
      </c>
      <c r="BA130" s="409">
        <f t="shared" si="68"/>
        <v>0</v>
      </c>
      <c r="BB130" s="409">
        <f t="shared" si="68"/>
        <v>0</v>
      </c>
      <c r="BC130" s="409">
        <f t="shared" si="68"/>
        <v>0</v>
      </c>
      <c r="BD130" s="409">
        <f t="shared" si="68"/>
        <v>0</v>
      </c>
      <c r="BE130" s="409">
        <f t="shared" si="68"/>
        <v>0</v>
      </c>
      <c r="BF130" s="409">
        <f t="shared" si="68"/>
        <v>0</v>
      </c>
      <c r="BG130" s="409">
        <f t="shared" si="68"/>
        <v>0</v>
      </c>
      <c r="BH130" s="409">
        <f t="shared" si="68"/>
        <v>0</v>
      </c>
      <c r="BI130" s="409">
        <f t="shared" si="68"/>
        <v>0</v>
      </c>
      <c r="BJ130" s="409">
        <f t="shared" si="68"/>
        <v>0</v>
      </c>
      <c r="BK130" s="409">
        <f t="shared" si="68"/>
        <v>0</v>
      </c>
      <c r="BL130" s="409">
        <f t="shared" si="68"/>
        <v>0</v>
      </c>
      <c r="BM130" s="409">
        <f t="shared" si="68"/>
        <v>0</v>
      </c>
      <c r="BN130" s="409">
        <f t="shared" si="68"/>
        <v>0</v>
      </c>
      <c r="BO130" s="409">
        <f t="shared" si="68"/>
        <v>0</v>
      </c>
      <c r="BP130" s="409">
        <f t="shared" si="68"/>
        <v>0</v>
      </c>
      <c r="BQ130" s="409">
        <f t="shared" si="68"/>
        <v>0</v>
      </c>
      <c r="BR130" s="409">
        <f t="shared" si="68"/>
        <v>0</v>
      </c>
      <c r="BS130" s="409">
        <f t="shared" si="68"/>
        <v>0</v>
      </c>
      <c r="BT130" s="409">
        <f t="shared" si="68"/>
        <v>0</v>
      </c>
      <c r="BU130" s="409">
        <f t="shared" si="68"/>
        <v>0</v>
      </c>
      <c r="BV130" s="409">
        <f t="shared" si="68"/>
        <v>0</v>
      </c>
      <c r="BW130" s="409">
        <f t="shared" si="68"/>
        <v>0</v>
      </c>
      <c r="BX130" s="409">
        <f t="shared" si="68"/>
        <v>0</v>
      </c>
      <c r="BY130" s="409">
        <f t="shared" si="68"/>
        <v>0</v>
      </c>
      <c r="BZ130" s="409">
        <f t="shared" si="68"/>
        <v>0</v>
      </c>
      <c r="CA130" s="409">
        <f t="shared" si="68"/>
        <v>0</v>
      </c>
      <c r="CB130" s="409">
        <f t="shared" si="68"/>
        <v>0</v>
      </c>
      <c r="CC130" s="409">
        <f t="shared" si="68"/>
        <v>0</v>
      </c>
      <c r="CD130" s="409">
        <f t="shared" si="68"/>
        <v>0</v>
      </c>
      <c r="CE130" s="409">
        <f t="shared" si="68"/>
        <v>0</v>
      </c>
      <c r="CF130" s="409">
        <f t="shared" si="68"/>
        <v>0</v>
      </c>
      <c r="CG130" s="409">
        <f t="shared" si="68"/>
        <v>0</v>
      </c>
      <c r="CH130" s="409">
        <f t="shared" si="68"/>
        <v>0</v>
      </c>
      <c r="CI130" s="409">
        <f t="shared" si="68"/>
        <v>0</v>
      </c>
      <c r="CJ130" s="409">
        <f t="shared" si="68"/>
        <v>0</v>
      </c>
      <c r="CK130" s="409">
        <f t="shared" si="68"/>
        <v>0</v>
      </c>
    </row>
    <row r="131" spans="25:89">
      <c r="AA131" s="408">
        <v>7</v>
      </c>
      <c r="AB131">
        <f>CapInvest!C12</f>
        <v>0</v>
      </c>
      <c r="AC131" s="299">
        <f>IF($AB131=0,1,DATEDIF($K$12,DATEVALUE("01-"&amp;CapInvest!$D12&amp;"-"&amp;CapInvest!$E12),"m")+1)</f>
        <v>1</v>
      </c>
      <c r="AD131" s="409">
        <f t="shared" si="65"/>
        <v>0</v>
      </c>
      <c r="AE131" s="409">
        <f t="shared" si="68"/>
        <v>0</v>
      </c>
      <c r="AF131" s="409">
        <f t="shared" si="68"/>
        <v>0</v>
      </c>
      <c r="AG131" s="409">
        <f t="shared" si="68"/>
        <v>0</v>
      </c>
      <c r="AH131" s="409">
        <f t="shared" si="68"/>
        <v>0</v>
      </c>
      <c r="AI131" s="409">
        <f t="shared" si="68"/>
        <v>0</v>
      </c>
      <c r="AJ131" s="409">
        <f t="shared" si="68"/>
        <v>0</v>
      </c>
      <c r="AK131" s="409">
        <f t="shared" si="68"/>
        <v>0</v>
      </c>
      <c r="AL131" s="409">
        <f t="shared" si="68"/>
        <v>0</v>
      </c>
      <c r="AM131" s="409">
        <f t="shared" si="68"/>
        <v>0</v>
      </c>
      <c r="AN131" s="409">
        <f t="shared" si="68"/>
        <v>0</v>
      </c>
      <c r="AO131" s="409">
        <f t="shared" si="68"/>
        <v>0</v>
      </c>
      <c r="AP131" s="409">
        <f t="shared" si="68"/>
        <v>0</v>
      </c>
      <c r="AQ131" s="409">
        <f t="shared" si="68"/>
        <v>0</v>
      </c>
      <c r="AR131" s="409">
        <f t="shared" si="68"/>
        <v>0</v>
      </c>
      <c r="AS131" s="409">
        <f t="shared" si="68"/>
        <v>0</v>
      </c>
      <c r="AT131" s="409">
        <f t="shared" si="68"/>
        <v>0</v>
      </c>
      <c r="AU131" s="409">
        <f t="shared" si="68"/>
        <v>0</v>
      </c>
      <c r="AV131" s="409">
        <f t="shared" si="68"/>
        <v>0</v>
      </c>
      <c r="AW131" s="409">
        <f t="shared" si="68"/>
        <v>0</v>
      </c>
      <c r="AX131" s="409">
        <f t="shared" si="68"/>
        <v>0</v>
      </c>
      <c r="AY131" s="409">
        <f t="shared" si="68"/>
        <v>0</v>
      </c>
      <c r="AZ131" s="409">
        <f t="shared" si="68"/>
        <v>0</v>
      </c>
      <c r="BA131" s="409">
        <f t="shared" si="68"/>
        <v>0</v>
      </c>
      <c r="BB131" s="409">
        <f t="shared" si="68"/>
        <v>0</v>
      </c>
      <c r="BC131" s="409">
        <f t="shared" si="68"/>
        <v>0</v>
      </c>
      <c r="BD131" s="409">
        <f t="shared" si="68"/>
        <v>0</v>
      </c>
      <c r="BE131" s="409">
        <f t="shared" si="68"/>
        <v>0</v>
      </c>
      <c r="BF131" s="409">
        <f t="shared" si="68"/>
        <v>0</v>
      </c>
      <c r="BG131" s="409">
        <f t="shared" si="68"/>
        <v>0</v>
      </c>
      <c r="BH131" s="409">
        <f t="shared" si="68"/>
        <v>0</v>
      </c>
      <c r="BI131" s="409">
        <f t="shared" si="68"/>
        <v>0</v>
      </c>
      <c r="BJ131" s="409">
        <f t="shared" si="68"/>
        <v>0</v>
      </c>
      <c r="BK131" s="409">
        <f t="shared" si="68"/>
        <v>0</v>
      </c>
      <c r="BL131" s="409">
        <f t="shared" si="68"/>
        <v>0</v>
      </c>
      <c r="BM131" s="409">
        <f t="shared" si="68"/>
        <v>0</v>
      </c>
      <c r="BN131" s="409">
        <f t="shared" si="68"/>
        <v>0</v>
      </c>
      <c r="BO131" s="409">
        <f t="shared" si="68"/>
        <v>0</v>
      </c>
      <c r="BP131" s="409">
        <f t="shared" si="68"/>
        <v>0</v>
      </c>
      <c r="BQ131" s="409">
        <f t="shared" si="68"/>
        <v>0</v>
      </c>
      <c r="BR131" s="409">
        <f t="shared" si="68"/>
        <v>0</v>
      </c>
      <c r="BS131" s="409">
        <f t="shared" si="68"/>
        <v>0</v>
      </c>
      <c r="BT131" s="409">
        <f t="shared" si="68"/>
        <v>0</v>
      </c>
      <c r="BU131" s="409">
        <f t="shared" si="68"/>
        <v>0</v>
      </c>
      <c r="BV131" s="409">
        <f t="shared" si="68"/>
        <v>0</v>
      </c>
      <c r="BW131" s="409">
        <f t="shared" si="68"/>
        <v>0</v>
      </c>
      <c r="BX131" s="409">
        <f t="shared" si="68"/>
        <v>0</v>
      </c>
      <c r="BY131" s="409">
        <f t="shared" si="68"/>
        <v>0</v>
      </c>
      <c r="BZ131" s="409">
        <f t="shared" si="68"/>
        <v>0</v>
      </c>
      <c r="CA131" s="409">
        <f t="shared" si="68"/>
        <v>0</v>
      </c>
      <c r="CB131" s="409">
        <f t="shared" si="68"/>
        <v>0</v>
      </c>
      <c r="CC131" s="409">
        <f t="shared" si="68"/>
        <v>0</v>
      </c>
      <c r="CD131" s="409">
        <f t="shared" si="68"/>
        <v>0</v>
      </c>
      <c r="CE131" s="409">
        <f t="shared" si="68"/>
        <v>0</v>
      </c>
      <c r="CF131" s="409">
        <f t="shared" si="68"/>
        <v>0</v>
      </c>
      <c r="CG131" s="409">
        <f t="shared" si="68"/>
        <v>0</v>
      </c>
      <c r="CH131" s="409">
        <f t="shared" si="68"/>
        <v>0</v>
      </c>
      <c r="CI131" s="409">
        <f t="shared" si="68"/>
        <v>0</v>
      </c>
      <c r="CJ131" s="409">
        <f t="shared" si="68"/>
        <v>0</v>
      </c>
      <c r="CK131" s="409">
        <f t="shared" si="68"/>
        <v>0</v>
      </c>
    </row>
    <row r="132" spans="25:89">
      <c r="AA132" s="408">
        <v>8</v>
      </c>
      <c r="AB132">
        <f>CapInvest!C13</f>
        <v>0</v>
      </c>
      <c r="AC132" s="299">
        <f>IF($AB132=0,1,DATEDIF($K$12,DATEVALUE("01-"&amp;CapInvest!$D13&amp;"-"&amp;CapInvest!$E13),"m")+1)</f>
        <v>1</v>
      </c>
      <c r="AD132" s="409">
        <f t="shared" si="65"/>
        <v>0</v>
      </c>
      <c r="AE132" s="409">
        <f t="shared" si="68"/>
        <v>0</v>
      </c>
      <c r="AF132" s="409">
        <f t="shared" si="68"/>
        <v>0</v>
      </c>
      <c r="AG132" s="409">
        <f t="shared" si="68"/>
        <v>0</v>
      </c>
      <c r="AH132" s="409">
        <f t="shared" si="68"/>
        <v>0</v>
      </c>
      <c r="AI132" s="409">
        <f t="shared" si="68"/>
        <v>0</v>
      </c>
      <c r="AJ132" s="409">
        <f t="shared" si="68"/>
        <v>0</v>
      </c>
      <c r="AK132" s="409">
        <f t="shared" si="68"/>
        <v>0</v>
      </c>
      <c r="AL132" s="409">
        <f t="shared" si="68"/>
        <v>0</v>
      </c>
      <c r="AM132" s="409">
        <f t="shared" si="68"/>
        <v>0</v>
      </c>
      <c r="AN132" s="409">
        <f t="shared" si="68"/>
        <v>0</v>
      </c>
      <c r="AO132" s="409">
        <f t="shared" si="68"/>
        <v>0</v>
      </c>
      <c r="AP132" s="409">
        <f t="shared" si="68"/>
        <v>0</v>
      </c>
      <c r="AQ132" s="409">
        <f t="shared" si="68"/>
        <v>0</v>
      </c>
      <c r="AR132" s="409">
        <f t="shared" si="68"/>
        <v>0</v>
      </c>
      <c r="AS132" s="409">
        <f t="shared" si="68"/>
        <v>0</v>
      </c>
      <c r="AT132" s="409">
        <f t="shared" si="68"/>
        <v>0</v>
      </c>
      <c r="AU132" s="409">
        <f t="shared" si="68"/>
        <v>0</v>
      </c>
      <c r="AV132" s="409">
        <f t="shared" si="68"/>
        <v>0</v>
      </c>
      <c r="AW132" s="409">
        <f t="shared" si="68"/>
        <v>0</v>
      </c>
      <c r="AX132" s="409">
        <f t="shared" si="68"/>
        <v>0</v>
      </c>
      <c r="AY132" s="409">
        <f t="shared" si="68"/>
        <v>0</v>
      </c>
      <c r="AZ132" s="409">
        <f t="shared" si="68"/>
        <v>0</v>
      </c>
      <c r="BA132" s="409">
        <f t="shared" si="68"/>
        <v>0</v>
      </c>
      <c r="BB132" s="409">
        <f t="shared" si="68"/>
        <v>0</v>
      </c>
      <c r="BC132" s="409">
        <f t="shared" si="68"/>
        <v>0</v>
      </c>
      <c r="BD132" s="409">
        <f t="shared" si="68"/>
        <v>0</v>
      </c>
      <c r="BE132" s="409">
        <f t="shared" si="68"/>
        <v>0</v>
      </c>
      <c r="BF132" s="409">
        <f t="shared" si="68"/>
        <v>0</v>
      </c>
      <c r="BG132" s="409">
        <f t="shared" si="68"/>
        <v>0</v>
      </c>
      <c r="BH132" s="409">
        <f t="shared" si="68"/>
        <v>0</v>
      </c>
      <c r="BI132" s="409">
        <f t="shared" si="68"/>
        <v>0</v>
      </c>
      <c r="BJ132" s="409">
        <f t="shared" si="68"/>
        <v>0</v>
      </c>
      <c r="BK132" s="409">
        <f t="shared" si="68"/>
        <v>0</v>
      </c>
      <c r="BL132" s="409">
        <f t="shared" si="68"/>
        <v>0</v>
      </c>
      <c r="BM132" s="409">
        <f t="shared" si="68"/>
        <v>0</v>
      </c>
      <c r="BN132" s="409">
        <f t="shared" si="68"/>
        <v>0</v>
      </c>
      <c r="BO132" s="409">
        <f t="shared" si="68"/>
        <v>0</v>
      </c>
      <c r="BP132" s="409">
        <f t="shared" si="68"/>
        <v>0</v>
      </c>
      <c r="BQ132" s="409">
        <f t="shared" si="68"/>
        <v>0</v>
      </c>
      <c r="BR132" s="409">
        <f t="shared" si="68"/>
        <v>0</v>
      </c>
      <c r="BS132" s="409">
        <f t="shared" si="68"/>
        <v>0</v>
      </c>
      <c r="BT132" s="409">
        <f t="shared" si="68"/>
        <v>0</v>
      </c>
      <c r="BU132" s="409">
        <f t="shared" si="68"/>
        <v>0</v>
      </c>
      <c r="BV132" s="409">
        <f t="shared" si="68"/>
        <v>0</v>
      </c>
      <c r="BW132" s="409">
        <f t="shared" si="68"/>
        <v>0</v>
      </c>
      <c r="BX132" s="409">
        <f t="shared" si="68"/>
        <v>0</v>
      </c>
      <c r="BY132" s="409">
        <f t="shared" si="68"/>
        <v>0</v>
      </c>
      <c r="BZ132" s="409">
        <f t="shared" si="68"/>
        <v>0</v>
      </c>
      <c r="CA132" s="409">
        <f t="shared" si="68"/>
        <v>0</v>
      </c>
      <c r="CB132" s="409">
        <f t="shared" si="68"/>
        <v>0</v>
      </c>
      <c r="CC132" s="409">
        <f t="shared" si="68"/>
        <v>0</v>
      </c>
      <c r="CD132" s="409">
        <f t="shared" si="68"/>
        <v>0</v>
      </c>
      <c r="CE132" s="409">
        <f t="shared" si="68"/>
        <v>0</v>
      </c>
      <c r="CF132" s="409">
        <f t="shared" si="68"/>
        <v>0</v>
      </c>
      <c r="CG132" s="409">
        <f t="shared" si="68"/>
        <v>0</v>
      </c>
      <c r="CH132" s="409">
        <f t="shared" si="68"/>
        <v>0</v>
      </c>
      <c r="CI132" s="409">
        <f t="shared" si="68"/>
        <v>0</v>
      </c>
      <c r="CJ132" s="409">
        <f t="shared" si="68"/>
        <v>0</v>
      </c>
      <c r="CK132" s="409">
        <f t="shared" si="68"/>
        <v>0</v>
      </c>
    </row>
    <row r="133" spans="25:89">
      <c r="AA133" s="408">
        <v>9</v>
      </c>
      <c r="AB133">
        <f>CapInvest!C14</f>
        <v>0</v>
      </c>
      <c r="AC133" s="299">
        <f>IF($AB133=0,1,DATEDIF($K$12,DATEVALUE("01-"&amp;CapInvest!$D14&amp;"-"&amp;CapInvest!$E14),"m")+1)</f>
        <v>1</v>
      </c>
      <c r="AD133" s="409">
        <f t="shared" si="65"/>
        <v>0</v>
      </c>
      <c r="AE133" s="409">
        <f t="shared" si="68"/>
        <v>0</v>
      </c>
      <c r="AF133" s="409">
        <f t="shared" si="68"/>
        <v>0</v>
      </c>
      <c r="AG133" s="409">
        <f t="shared" si="68"/>
        <v>0</v>
      </c>
      <c r="AH133" s="409">
        <f t="shared" si="68"/>
        <v>0</v>
      </c>
      <c r="AI133" s="409">
        <f t="shared" si="68"/>
        <v>0</v>
      </c>
      <c r="AJ133" s="409">
        <f t="shared" si="68"/>
        <v>0</v>
      </c>
      <c r="AK133" s="409">
        <f t="shared" si="68"/>
        <v>0</v>
      </c>
      <c r="AL133" s="409">
        <f t="shared" si="68"/>
        <v>0</v>
      </c>
      <c r="AM133" s="409">
        <f t="shared" si="68"/>
        <v>0</v>
      </c>
      <c r="AN133" s="409">
        <f t="shared" si="68"/>
        <v>0</v>
      </c>
      <c r="AO133" s="409">
        <f t="shared" si="68"/>
        <v>0</v>
      </c>
      <c r="AP133" s="409">
        <f t="shared" si="68"/>
        <v>0</v>
      </c>
      <c r="AQ133" s="409">
        <f t="shared" si="68"/>
        <v>0</v>
      </c>
      <c r="AR133" s="409">
        <f t="shared" si="68"/>
        <v>0</v>
      </c>
      <c r="AS133" s="409">
        <f t="shared" si="68"/>
        <v>0</v>
      </c>
      <c r="AT133" s="409">
        <f t="shared" si="68"/>
        <v>0</v>
      </c>
      <c r="AU133" s="409">
        <f t="shared" si="68"/>
        <v>0</v>
      </c>
      <c r="AV133" s="409">
        <f t="shared" si="68"/>
        <v>0</v>
      </c>
      <c r="AW133" s="409">
        <f t="shared" si="68"/>
        <v>0</v>
      </c>
      <c r="AX133" s="409">
        <f t="shared" si="68"/>
        <v>0</v>
      </c>
      <c r="AY133" s="409">
        <f t="shared" si="68"/>
        <v>0</v>
      </c>
      <c r="AZ133" s="409">
        <f t="shared" si="68"/>
        <v>0</v>
      </c>
      <c r="BA133" s="409">
        <f t="shared" si="68"/>
        <v>0</v>
      </c>
      <c r="BB133" s="409">
        <f t="shared" si="68"/>
        <v>0</v>
      </c>
      <c r="BC133" s="409">
        <f t="shared" si="68"/>
        <v>0</v>
      </c>
      <c r="BD133" s="409">
        <f t="shared" si="68"/>
        <v>0</v>
      </c>
      <c r="BE133" s="409">
        <f t="shared" si="68"/>
        <v>0</v>
      </c>
      <c r="BF133" s="409">
        <f t="shared" si="68"/>
        <v>0</v>
      </c>
      <c r="BG133" s="409">
        <f t="shared" si="68"/>
        <v>0</v>
      </c>
      <c r="BH133" s="409">
        <f t="shared" si="68"/>
        <v>0</v>
      </c>
      <c r="BI133" s="409">
        <f t="shared" si="68"/>
        <v>0</v>
      </c>
      <c r="BJ133" s="409">
        <f t="shared" si="68"/>
        <v>0</v>
      </c>
      <c r="BK133" s="409">
        <f t="shared" si="68"/>
        <v>0</v>
      </c>
      <c r="BL133" s="409">
        <f t="shared" si="68"/>
        <v>0</v>
      </c>
      <c r="BM133" s="409">
        <f t="shared" si="68"/>
        <v>0</v>
      </c>
      <c r="BN133" s="409">
        <f t="shared" si="68"/>
        <v>0</v>
      </c>
      <c r="BO133" s="409">
        <f t="shared" si="68"/>
        <v>0</v>
      </c>
      <c r="BP133" s="409">
        <f t="shared" si="68"/>
        <v>0</v>
      </c>
      <c r="BQ133" s="409">
        <f t="shared" si="68"/>
        <v>0</v>
      </c>
      <c r="BR133" s="409">
        <f t="shared" si="68"/>
        <v>0</v>
      </c>
      <c r="BS133" s="409">
        <f t="shared" si="68"/>
        <v>0</v>
      </c>
      <c r="BT133" s="409">
        <f t="shared" si="68"/>
        <v>0</v>
      </c>
      <c r="BU133" s="409">
        <f t="shared" si="68"/>
        <v>0</v>
      </c>
      <c r="BV133" s="409">
        <f t="shared" si="68"/>
        <v>0</v>
      </c>
      <c r="BW133" s="409">
        <f t="shared" si="68"/>
        <v>0</v>
      </c>
      <c r="BX133" s="409">
        <f t="shared" si="68"/>
        <v>0</v>
      </c>
      <c r="BY133" s="409">
        <f t="shared" si="68"/>
        <v>0</v>
      </c>
      <c r="BZ133" s="409">
        <f t="shared" si="68"/>
        <v>0</v>
      </c>
      <c r="CA133" s="409">
        <f t="shared" si="68"/>
        <v>0</v>
      </c>
      <c r="CB133" s="409">
        <f t="shared" si="68"/>
        <v>0</v>
      </c>
      <c r="CC133" s="409">
        <f t="shared" si="68"/>
        <v>0</v>
      </c>
      <c r="CD133" s="409">
        <f t="shared" si="68"/>
        <v>0</v>
      </c>
      <c r="CE133" s="409">
        <f t="shared" si="68"/>
        <v>0</v>
      </c>
      <c r="CF133" s="409">
        <f t="shared" ref="AE133:CK138" si="69">IF(CF$3=$AC133,$AB133,0)</f>
        <v>0</v>
      </c>
      <c r="CG133" s="409">
        <f t="shared" si="69"/>
        <v>0</v>
      </c>
      <c r="CH133" s="409">
        <f t="shared" si="69"/>
        <v>0</v>
      </c>
      <c r="CI133" s="409">
        <f t="shared" si="69"/>
        <v>0</v>
      </c>
      <c r="CJ133" s="409">
        <f t="shared" si="69"/>
        <v>0</v>
      </c>
      <c r="CK133" s="409">
        <f t="shared" si="69"/>
        <v>0</v>
      </c>
    </row>
    <row r="134" spans="25:89">
      <c r="AA134" s="408">
        <v>10</v>
      </c>
      <c r="AB134">
        <f>CapInvest!C15</f>
        <v>0</v>
      </c>
      <c r="AC134" s="299">
        <f>IF($AB134=0,1,DATEDIF($K$12,DATEVALUE("01-"&amp;CapInvest!$D15&amp;"-"&amp;CapInvest!$E15),"m")+1)</f>
        <v>1</v>
      </c>
      <c r="AD134" s="409">
        <f t="shared" si="65"/>
        <v>0</v>
      </c>
      <c r="AE134" s="409">
        <f t="shared" si="69"/>
        <v>0</v>
      </c>
      <c r="AF134" s="409">
        <f t="shared" si="69"/>
        <v>0</v>
      </c>
      <c r="AG134" s="409">
        <f t="shared" si="69"/>
        <v>0</v>
      </c>
      <c r="AH134" s="409">
        <f t="shared" si="69"/>
        <v>0</v>
      </c>
      <c r="AI134" s="409">
        <f t="shared" si="69"/>
        <v>0</v>
      </c>
      <c r="AJ134" s="409">
        <f t="shared" si="69"/>
        <v>0</v>
      </c>
      <c r="AK134" s="409">
        <f t="shared" si="69"/>
        <v>0</v>
      </c>
      <c r="AL134" s="409">
        <f t="shared" si="69"/>
        <v>0</v>
      </c>
      <c r="AM134" s="409">
        <f t="shared" si="69"/>
        <v>0</v>
      </c>
      <c r="AN134" s="409">
        <f t="shared" si="69"/>
        <v>0</v>
      </c>
      <c r="AO134" s="409">
        <f t="shared" si="69"/>
        <v>0</v>
      </c>
      <c r="AP134" s="409">
        <f t="shared" si="69"/>
        <v>0</v>
      </c>
      <c r="AQ134" s="409">
        <f t="shared" si="69"/>
        <v>0</v>
      </c>
      <c r="AR134" s="409">
        <f t="shared" si="69"/>
        <v>0</v>
      </c>
      <c r="AS134" s="409">
        <f t="shared" si="69"/>
        <v>0</v>
      </c>
      <c r="AT134" s="409">
        <f t="shared" si="69"/>
        <v>0</v>
      </c>
      <c r="AU134" s="409">
        <f t="shared" si="69"/>
        <v>0</v>
      </c>
      <c r="AV134" s="409">
        <f t="shared" si="69"/>
        <v>0</v>
      </c>
      <c r="AW134" s="409">
        <f t="shared" si="69"/>
        <v>0</v>
      </c>
      <c r="AX134" s="409">
        <f t="shared" si="69"/>
        <v>0</v>
      </c>
      <c r="AY134" s="409">
        <f t="shared" si="69"/>
        <v>0</v>
      </c>
      <c r="AZ134" s="409">
        <f t="shared" si="69"/>
        <v>0</v>
      </c>
      <c r="BA134" s="409">
        <f t="shared" si="69"/>
        <v>0</v>
      </c>
      <c r="BB134" s="409">
        <f t="shared" si="69"/>
        <v>0</v>
      </c>
      <c r="BC134" s="409">
        <f t="shared" si="69"/>
        <v>0</v>
      </c>
      <c r="BD134" s="409">
        <f t="shared" si="69"/>
        <v>0</v>
      </c>
      <c r="BE134" s="409">
        <f t="shared" si="69"/>
        <v>0</v>
      </c>
      <c r="BF134" s="409">
        <f t="shared" si="69"/>
        <v>0</v>
      </c>
      <c r="BG134" s="409">
        <f t="shared" si="69"/>
        <v>0</v>
      </c>
      <c r="BH134" s="409">
        <f t="shared" si="69"/>
        <v>0</v>
      </c>
      <c r="BI134" s="409">
        <f t="shared" si="69"/>
        <v>0</v>
      </c>
      <c r="BJ134" s="409">
        <f t="shared" si="69"/>
        <v>0</v>
      </c>
      <c r="BK134" s="409">
        <f t="shared" si="69"/>
        <v>0</v>
      </c>
      <c r="BL134" s="409">
        <f t="shared" si="69"/>
        <v>0</v>
      </c>
      <c r="BM134" s="409">
        <f t="shared" si="69"/>
        <v>0</v>
      </c>
      <c r="BN134" s="409">
        <f t="shared" si="69"/>
        <v>0</v>
      </c>
      <c r="BO134" s="409">
        <f t="shared" si="69"/>
        <v>0</v>
      </c>
      <c r="BP134" s="409">
        <f t="shared" si="69"/>
        <v>0</v>
      </c>
      <c r="BQ134" s="409">
        <f t="shared" si="69"/>
        <v>0</v>
      </c>
      <c r="BR134" s="409">
        <f t="shared" si="69"/>
        <v>0</v>
      </c>
      <c r="BS134" s="409">
        <f t="shared" si="69"/>
        <v>0</v>
      </c>
      <c r="BT134" s="409">
        <f t="shared" si="69"/>
        <v>0</v>
      </c>
      <c r="BU134" s="409">
        <f t="shared" si="69"/>
        <v>0</v>
      </c>
      <c r="BV134" s="409">
        <f t="shared" si="69"/>
        <v>0</v>
      </c>
      <c r="BW134" s="409">
        <f t="shared" si="69"/>
        <v>0</v>
      </c>
      <c r="BX134" s="409">
        <f t="shared" si="69"/>
        <v>0</v>
      </c>
      <c r="BY134" s="409">
        <f t="shared" si="69"/>
        <v>0</v>
      </c>
      <c r="BZ134" s="409">
        <f t="shared" si="69"/>
        <v>0</v>
      </c>
      <c r="CA134" s="409">
        <f t="shared" si="69"/>
        <v>0</v>
      </c>
      <c r="CB134" s="409">
        <f t="shared" si="69"/>
        <v>0</v>
      </c>
      <c r="CC134" s="409">
        <f t="shared" si="69"/>
        <v>0</v>
      </c>
      <c r="CD134" s="409">
        <f t="shared" si="69"/>
        <v>0</v>
      </c>
      <c r="CE134" s="409">
        <f t="shared" si="69"/>
        <v>0</v>
      </c>
      <c r="CF134" s="409">
        <f t="shared" si="69"/>
        <v>0</v>
      </c>
      <c r="CG134" s="409">
        <f t="shared" si="69"/>
        <v>0</v>
      </c>
      <c r="CH134" s="409">
        <f t="shared" si="69"/>
        <v>0</v>
      </c>
      <c r="CI134" s="409">
        <f t="shared" si="69"/>
        <v>0</v>
      </c>
      <c r="CJ134" s="409">
        <f t="shared" si="69"/>
        <v>0</v>
      </c>
      <c r="CK134" s="409">
        <f t="shared" si="69"/>
        <v>0</v>
      </c>
    </row>
    <row r="135" spans="25:89">
      <c r="AA135" s="408">
        <v>11</v>
      </c>
      <c r="AB135">
        <f>CapInvest!C16</f>
        <v>0</v>
      </c>
      <c r="AC135" s="299">
        <f>IF($AB135=0,1,DATEDIF($K$12,DATEVALUE("01-"&amp;CapInvest!$D16&amp;"-"&amp;CapInvest!$E16),"m")+1)</f>
        <v>1</v>
      </c>
      <c r="AD135" s="409">
        <f t="shared" si="65"/>
        <v>0</v>
      </c>
      <c r="AE135" s="409">
        <f t="shared" si="69"/>
        <v>0</v>
      </c>
      <c r="AF135" s="409">
        <f t="shared" si="69"/>
        <v>0</v>
      </c>
      <c r="AG135" s="409">
        <f t="shared" si="69"/>
        <v>0</v>
      </c>
      <c r="AH135" s="409">
        <f t="shared" si="69"/>
        <v>0</v>
      </c>
      <c r="AI135" s="409">
        <f t="shared" si="69"/>
        <v>0</v>
      </c>
      <c r="AJ135" s="409">
        <f t="shared" si="69"/>
        <v>0</v>
      </c>
      <c r="AK135" s="409">
        <f t="shared" si="69"/>
        <v>0</v>
      </c>
      <c r="AL135" s="409">
        <f t="shared" si="69"/>
        <v>0</v>
      </c>
      <c r="AM135" s="409">
        <f t="shared" si="69"/>
        <v>0</v>
      </c>
      <c r="AN135" s="409">
        <f t="shared" si="69"/>
        <v>0</v>
      </c>
      <c r="AO135" s="409">
        <f t="shared" si="69"/>
        <v>0</v>
      </c>
      <c r="AP135" s="409">
        <f t="shared" si="69"/>
        <v>0</v>
      </c>
      <c r="AQ135" s="409">
        <f t="shared" si="69"/>
        <v>0</v>
      </c>
      <c r="AR135" s="409">
        <f t="shared" si="69"/>
        <v>0</v>
      </c>
      <c r="AS135" s="409">
        <f t="shared" si="69"/>
        <v>0</v>
      </c>
      <c r="AT135" s="409">
        <f t="shared" si="69"/>
        <v>0</v>
      </c>
      <c r="AU135" s="409">
        <f t="shared" si="69"/>
        <v>0</v>
      </c>
      <c r="AV135" s="409">
        <f t="shared" si="69"/>
        <v>0</v>
      </c>
      <c r="AW135" s="409">
        <f t="shared" si="69"/>
        <v>0</v>
      </c>
      <c r="AX135" s="409">
        <f t="shared" si="69"/>
        <v>0</v>
      </c>
      <c r="AY135" s="409">
        <f t="shared" si="69"/>
        <v>0</v>
      </c>
      <c r="AZ135" s="409">
        <f t="shared" si="69"/>
        <v>0</v>
      </c>
      <c r="BA135" s="409">
        <f t="shared" si="69"/>
        <v>0</v>
      </c>
      <c r="BB135" s="409">
        <f t="shared" si="69"/>
        <v>0</v>
      </c>
      <c r="BC135" s="409">
        <f t="shared" si="69"/>
        <v>0</v>
      </c>
      <c r="BD135" s="409">
        <f t="shared" si="69"/>
        <v>0</v>
      </c>
      <c r="BE135" s="409">
        <f t="shared" si="69"/>
        <v>0</v>
      </c>
      <c r="BF135" s="409">
        <f t="shared" si="69"/>
        <v>0</v>
      </c>
      <c r="BG135" s="409">
        <f t="shared" si="69"/>
        <v>0</v>
      </c>
      <c r="BH135" s="409">
        <f t="shared" si="69"/>
        <v>0</v>
      </c>
      <c r="BI135" s="409">
        <f t="shared" si="69"/>
        <v>0</v>
      </c>
      <c r="BJ135" s="409">
        <f t="shared" si="69"/>
        <v>0</v>
      </c>
      <c r="BK135" s="409">
        <f t="shared" si="69"/>
        <v>0</v>
      </c>
      <c r="BL135" s="409">
        <f t="shared" si="69"/>
        <v>0</v>
      </c>
      <c r="BM135" s="409">
        <f t="shared" si="69"/>
        <v>0</v>
      </c>
      <c r="BN135" s="409">
        <f t="shared" si="69"/>
        <v>0</v>
      </c>
      <c r="BO135" s="409">
        <f t="shared" si="69"/>
        <v>0</v>
      </c>
      <c r="BP135" s="409">
        <f t="shared" si="69"/>
        <v>0</v>
      </c>
      <c r="BQ135" s="409">
        <f t="shared" si="69"/>
        <v>0</v>
      </c>
      <c r="BR135" s="409">
        <f t="shared" si="69"/>
        <v>0</v>
      </c>
      <c r="BS135" s="409">
        <f t="shared" si="69"/>
        <v>0</v>
      </c>
      <c r="BT135" s="409">
        <f t="shared" si="69"/>
        <v>0</v>
      </c>
      <c r="BU135" s="409">
        <f t="shared" si="69"/>
        <v>0</v>
      </c>
      <c r="BV135" s="409">
        <f t="shared" si="69"/>
        <v>0</v>
      </c>
      <c r="BW135" s="409">
        <f t="shared" si="69"/>
        <v>0</v>
      </c>
      <c r="BX135" s="409">
        <f t="shared" si="69"/>
        <v>0</v>
      </c>
      <c r="BY135" s="409">
        <f t="shared" si="69"/>
        <v>0</v>
      </c>
      <c r="BZ135" s="409">
        <f t="shared" si="69"/>
        <v>0</v>
      </c>
      <c r="CA135" s="409">
        <f t="shared" si="69"/>
        <v>0</v>
      </c>
      <c r="CB135" s="409">
        <f t="shared" si="69"/>
        <v>0</v>
      </c>
      <c r="CC135" s="409">
        <f t="shared" si="69"/>
        <v>0</v>
      </c>
      <c r="CD135" s="409">
        <f t="shared" si="69"/>
        <v>0</v>
      </c>
      <c r="CE135" s="409">
        <f t="shared" si="69"/>
        <v>0</v>
      </c>
      <c r="CF135" s="409">
        <f t="shared" si="69"/>
        <v>0</v>
      </c>
      <c r="CG135" s="409">
        <f t="shared" si="69"/>
        <v>0</v>
      </c>
      <c r="CH135" s="409">
        <f t="shared" si="69"/>
        <v>0</v>
      </c>
      <c r="CI135" s="409">
        <f t="shared" si="69"/>
        <v>0</v>
      </c>
      <c r="CJ135" s="409">
        <f t="shared" si="69"/>
        <v>0</v>
      </c>
      <c r="CK135" s="409">
        <f t="shared" si="69"/>
        <v>0</v>
      </c>
    </row>
    <row r="136" spans="25:89">
      <c r="AA136" s="408">
        <v>12</v>
      </c>
      <c r="AB136">
        <f>CapInvest!C17</f>
        <v>0</v>
      </c>
      <c r="AC136" s="299">
        <f>IF($AB136=0,1,DATEDIF($K$12,DATEVALUE("01-"&amp;CapInvest!$D17&amp;"-"&amp;CapInvest!$E17),"m")+1)</f>
        <v>1</v>
      </c>
      <c r="AD136" s="409">
        <f t="shared" si="65"/>
        <v>0</v>
      </c>
      <c r="AE136" s="409">
        <f t="shared" si="69"/>
        <v>0</v>
      </c>
      <c r="AF136" s="409">
        <f t="shared" si="69"/>
        <v>0</v>
      </c>
      <c r="AG136" s="409">
        <f t="shared" si="69"/>
        <v>0</v>
      </c>
      <c r="AH136" s="409">
        <f t="shared" si="69"/>
        <v>0</v>
      </c>
      <c r="AI136" s="409">
        <f t="shared" si="69"/>
        <v>0</v>
      </c>
      <c r="AJ136" s="409">
        <f t="shared" si="69"/>
        <v>0</v>
      </c>
      <c r="AK136" s="409">
        <f t="shared" si="69"/>
        <v>0</v>
      </c>
      <c r="AL136" s="409">
        <f t="shared" si="69"/>
        <v>0</v>
      </c>
      <c r="AM136" s="409">
        <f t="shared" si="69"/>
        <v>0</v>
      </c>
      <c r="AN136" s="409">
        <f t="shared" si="69"/>
        <v>0</v>
      </c>
      <c r="AO136" s="409">
        <f t="shared" si="69"/>
        <v>0</v>
      </c>
      <c r="AP136" s="409">
        <f t="shared" si="69"/>
        <v>0</v>
      </c>
      <c r="AQ136" s="409">
        <f t="shared" si="69"/>
        <v>0</v>
      </c>
      <c r="AR136" s="409">
        <f t="shared" si="69"/>
        <v>0</v>
      </c>
      <c r="AS136" s="409">
        <f t="shared" si="69"/>
        <v>0</v>
      </c>
      <c r="AT136" s="409">
        <f t="shared" si="69"/>
        <v>0</v>
      </c>
      <c r="AU136" s="409">
        <f t="shared" si="69"/>
        <v>0</v>
      </c>
      <c r="AV136" s="409">
        <f t="shared" si="69"/>
        <v>0</v>
      </c>
      <c r="AW136" s="409">
        <f t="shared" si="69"/>
        <v>0</v>
      </c>
      <c r="AX136" s="409">
        <f t="shared" si="69"/>
        <v>0</v>
      </c>
      <c r="AY136" s="409">
        <f t="shared" si="69"/>
        <v>0</v>
      </c>
      <c r="AZ136" s="409">
        <f t="shared" si="69"/>
        <v>0</v>
      </c>
      <c r="BA136" s="409">
        <f t="shared" si="69"/>
        <v>0</v>
      </c>
      <c r="BB136" s="409">
        <f t="shared" si="69"/>
        <v>0</v>
      </c>
      <c r="BC136" s="409">
        <f t="shared" si="69"/>
        <v>0</v>
      </c>
      <c r="BD136" s="409">
        <f t="shared" si="69"/>
        <v>0</v>
      </c>
      <c r="BE136" s="409">
        <f t="shared" si="69"/>
        <v>0</v>
      </c>
      <c r="BF136" s="409">
        <f t="shared" si="69"/>
        <v>0</v>
      </c>
      <c r="BG136" s="409">
        <f t="shared" si="69"/>
        <v>0</v>
      </c>
      <c r="BH136" s="409">
        <f t="shared" si="69"/>
        <v>0</v>
      </c>
      <c r="BI136" s="409">
        <f t="shared" si="69"/>
        <v>0</v>
      </c>
      <c r="BJ136" s="409">
        <f t="shared" si="69"/>
        <v>0</v>
      </c>
      <c r="BK136" s="409">
        <f t="shared" si="69"/>
        <v>0</v>
      </c>
      <c r="BL136" s="409">
        <f t="shared" si="69"/>
        <v>0</v>
      </c>
      <c r="BM136" s="409">
        <f t="shared" si="69"/>
        <v>0</v>
      </c>
      <c r="BN136" s="409">
        <f t="shared" si="69"/>
        <v>0</v>
      </c>
      <c r="BO136" s="409">
        <f t="shared" si="69"/>
        <v>0</v>
      </c>
      <c r="BP136" s="409">
        <f t="shared" si="69"/>
        <v>0</v>
      </c>
      <c r="BQ136" s="409">
        <f t="shared" si="69"/>
        <v>0</v>
      </c>
      <c r="BR136" s="409">
        <f t="shared" si="69"/>
        <v>0</v>
      </c>
      <c r="BS136" s="409">
        <f t="shared" si="69"/>
        <v>0</v>
      </c>
      <c r="BT136" s="409">
        <f t="shared" si="69"/>
        <v>0</v>
      </c>
      <c r="BU136" s="409">
        <f t="shared" si="69"/>
        <v>0</v>
      </c>
      <c r="BV136" s="409">
        <f t="shared" si="69"/>
        <v>0</v>
      </c>
      <c r="BW136" s="409">
        <f t="shared" si="69"/>
        <v>0</v>
      </c>
      <c r="BX136" s="409">
        <f t="shared" si="69"/>
        <v>0</v>
      </c>
      <c r="BY136" s="409">
        <f t="shared" si="69"/>
        <v>0</v>
      </c>
      <c r="BZ136" s="409">
        <f t="shared" si="69"/>
        <v>0</v>
      </c>
      <c r="CA136" s="409">
        <f t="shared" si="69"/>
        <v>0</v>
      </c>
      <c r="CB136" s="409">
        <f t="shared" si="69"/>
        <v>0</v>
      </c>
      <c r="CC136" s="409">
        <f t="shared" si="69"/>
        <v>0</v>
      </c>
      <c r="CD136" s="409">
        <f t="shared" si="69"/>
        <v>0</v>
      </c>
      <c r="CE136" s="409">
        <f t="shared" si="69"/>
        <v>0</v>
      </c>
      <c r="CF136" s="409">
        <f t="shared" si="69"/>
        <v>0</v>
      </c>
      <c r="CG136" s="409">
        <f t="shared" si="69"/>
        <v>0</v>
      </c>
      <c r="CH136" s="409">
        <f t="shared" si="69"/>
        <v>0</v>
      </c>
      <c r="CI136" s="409">
        <f t="shared" si="69"/>
        <v>0</v>
      </c>
      <c r="CJ136" s="409">
        <f t="shared" si="69"/>
        <v>0</v>
      </c>
      <c r="CK136" s="409">
        <f t="shared" si="69"/>
        <v>0</v>
      </c>
    </row>
    <row r="137" spans="25:89">
      <c r="AA137" s="408">
        <v>13</v>
      </c>
      <c r="AB137">
        <f>CapInvest!C18</f>
        <v>0</v>
      </c>
      <c r="AC137" s="299">
        <f>IF($AB137=0,1,DATEDIF($K$12,DATEVALUE("01-"&amp;CapInvest!$D18&amp;"-"&amp;CapInvest!$E18),"m")+1)</f>
        <v>1</v>
      </c>
      <c r="AD137" s="409">
        <f t="shared" si="65"/>
        <v>0</v>
      </c>
      <c r="AE137" s="409">
        <f t="shared" si="69"/>
        <v>0</v>
      </c>
      <c r="AF137" s="409">
        <f t="shared" si="69"/>
        <v>0</v>
      </c>
      <c r="AG137" s="409">
        <f t="shared" si="69"/>
        <v>0</v>
      </c>
      <c r="AH137" s="409">
        <f t="shared" si="69"/>
        <v>0</v>
      </c>
      <c r="AI137" s="409">
        <f t="shared" si="69"/>
        <v>0</v>
      </c>
      <c r="AJ137" s="409">
        <f t="shared" si="69"/>
        <v>0</v>
      </c>
      <c r="AK137" s="409">
        <f t="shared" si="69"/>
        <v>0</v>
      </c>
      <c r="AL137" s="409">
        <f t="shared" si="69"/>
        <v>0</v>
      </c>
      <c r="AM137" s="409">
        <f t="shared" si="69"/>
        <v>0</v>
      </c>
      <c r="AN137" s="409">
        <f t="shared" si="69"/>
        <v>0</v>
      </c>
      <c r="AO137" s="409">
        <f t="shared" si="69"/>
        <v>0</v>
      </c>
      <c r="AP137" s="409">
        <f t="shared" si="69"/>
        <v>0</v>
      </c>
      <c r="AQ137" s="409">
        <f t="shared" si="69"/>
        <v>0</v>
      </c>
      <c r="AR137" s="409">
        <f t="shared" si="69"/>
        <v>0</v>
      </c>
      <c r="AS137" s="409">
        <f t="shared" si="69"/>
        <v>0</v>
      </c>
      <c r="AT137" s="409">
        <f t="shared" si="69"/>
        <v>0</v>
      </c>
      <c r="AU137" s="409">
        <f t="shared" si="69"/>
        <v>0</v>
      </c>
      <c r="AV137" s="409">
        <f t="shared" si="69"/>
        <v>0</v>
      </c>
      <c r="AW137" s="409">
        <f t="shared" si="69"/>
        <v>0</v>
      </c>
      <c r="AX137" s="409">
        <f t="shared" si="69"/>
        <v>0</v>
      </c>
      <c r="AY137" s="409">
        <f t="shared" si="69"/>
        <v>0</v>
      </c>
      <c r="AZ137" s="409">
        <f t="shared" si="69"/>
        <v>0</v>
      </c>
      <c r="BA137" s="409">
        <f t="shared" si="69"/>
        <v>0</v>
      </c>
      <c r="BB137" s="409">
        <f t="shared" si="69"/>
        <v>0</v>
      </c>
      <c r="BC137" s="409">
        <f t="shared" si="69"/>
        <v>0</v>
      </c>
      <c r="BD137" s="409">
        <f t="shared" si="69"/>
        <v>0</v>
      </c>
      <c r="BE137" s="409">
        <f t="shared" si="69"/>
        <v>0</v>
      </c>
      <c r="BF137" s="409">
        <f t="shared" si="69"/>
        <v>0</v>
      </c>
      <c r="BG137" s="409">
        <f t="shared" si="69"/>
        <v>0</v>
      </c>
      <c r="BH137" s="409">
        <f t="shared" si="69"/>
        <v>0</v>
      </c>
      <c r="BI137" s="409">
        <f t="shared" si="69"/>
        <v>0</v>
      </c>
      <c r="BJ137" s="409">
        <f t="shared" si="69"/>
        <v>0</v>
      </c>
      <c r="BK137" s="409">
        <f t="shared" si="69"/>
        <v>0</v>
      </c>
      <c r="BL137" s="409">
        <f t="shared" si="69"/>
        <v>0</v>
      </c>
      <c r="BM137" s="409">
        <f t="shared" si="69"/>
        <v>0</v>
      </c>
      <c r="BN137" s="409">
        <f t="shared" si="69"/>
        <v>0</v>
      </c>
      <c r="BO137" s="409">
        <f t="shared" si="69"/>
        <v>0</v>
      </c>
      <c r="BP137" s="409">
        <f t="shared" si="69"/>
        <v>0</v>
      </c>
      <c r="BQ137" s="409">
        <f t="shared" si="69"/>
        <v>0</v>
      </c>
      <c r="BR137" s="409">
        <f t="shared" si="69"/>
        <v>0</v>
      </c>
      <c r="BS137" s="409">
        <f t="shared" si="69"/>
        <v>0</v>
      </c>
      <c r="BT137" s="409">
        <f t="shared" si="69"/>
        <v>0</v>
      </c>
      <c r="BU137" s="409">
        <f t="shared" si="69"/>
        <v>0</v>
      </c>
      <c r="BV137" s="409">
        <f t="shared" si="69"/>
        <v>0</v>
      </c>
      <c r="BW137" s="409">
        <f t="shared" si="69"/>
        <v>0</v>
      </c>
      <c r="BX137" s="409">
        <f t="shared" si="69"/>
        <v>0</v>
      </c>
      <c r="BY137" s="409">
        <f t="shared" si="69"/>
        <v>0</v>
      </c>
      <c r="BZ137" s="409">
        <f t="shared" si="69"/>
        <v>0</v>
      </c>
      <c r="CA137" s="409">
        <f t="shared" si="69"/>
        <v>0</v>
      </c>
      <c r="CB137" s="409">
        <f t="shared" si="69"/>
        <v>0</v>
      </c>
      <c r="CC137" s="409">
        <f t="shared" si="69"/>
        <v>0</v>
      </c>
      <c r="CD137" s="409">
        <f t="shared" si="69"/>
        <v>0</v>
      </c>
      <c r="CE137" s="409">
        <f t="shared" si="69"/>
        <v>0</v>
      </c>
      <c r="CF137" s="409">
        <f t="shared" si="69"/>
        <v>0</v>
      </c>
      <c r="CG137" s="409">
        <f t="shared" si="69"/>
        <v>0</v>
      </c>
      <c r="CH137" s="409">
        <f t="shared" si="69"/>
        <v>0</v>
      </c>
      <c r="CI137" s="409">
        <f t="shared" si="69"/>
        <v>0</v>
      </c>
      <c r="CJ137" s="409">
        <f t="shared" si="69"/>
        <v>0</v>
      </c>
      <c r="CK137" s="409">
        <f t="shared" si="69"/>
        <v>0</v>
      </c>
    </row>
    <row r="138" spans="25:89">
      <c r="AA138" s="408">
        <v>14</v>
      </c>
      <c r="AB138">
        <f>CapInvest!C19</f>
        <v>0</v>
      </c>
      <c r="AC138" s="299">
        <f>IF($AB138=0,1,DATEDIF($K$12,DATEVALUE("01-"&amp;CapInvest!$D19&amp;"-"&amp;CapInvest!$E19),"m")+1)</f>
        <v>1</v>
      </c>
      <c r="AD138" s="409">
        <f t="shared" si="65"/>
        <v>0</v>
      </c>
      <c r="AE138" s="409">
        <f t="shared" si="69"/>
        <v>0</v>
      </c>
      <c r="AF138" s="409">
        <f t="shared" si="69"/>
        <v>0</v>
      </c>
      <c r="AG138" s="409">
        <f t="shared" si="69"/>
        <v>0</v>
      </c>
      <c r="AH138" s="409">
        <f t="shared" si="69"/>
        <v>0</v>
      </c>
      <c r="AI138" s="409">
        <f t="shared" si="69"/>
        <v>0</v>
      </c>
      <c r="AJ138" s="409">
        <f t="shared" si="69"/>
        <v>0</v>
      </c>
      <c r="AK138" s="409">
        <f t="shared" si="69"/>
        <v>0</v>
      </c>
      <c r="AL138" s="409">
        <f t="shared" si="69"/>
        <v>0</v>
      </c>
      <c r="AM138" s="409">
        <f t="shared" si="69"/>
        <v>0</v>
      </c>
      <c r="AN138" s="409">
        <f t="shared" si="69"/>
        <v>0</v>
      </c>
      <c r="AO138" s="409">
        <f t="shared" si="69"/>
        <v>0</v>
      </c>
      <c r="AP138" s="409">
        <f t="shared" si="69"/>
        <v>0</v>
      </c>
      <c r="AQ138" s="409">
        <f t="shared" si="69"/>
        <v>0</v>
      </c>
      <c r="AR138" s="409">
        <f t="shared" ref="AE138:CK139" si="70">IF(AR$3=$AC138,$AB138,0)</f>
        <v>0</v>
      </c>
      <c r="AS138" s="409">
        <f t="shared" si="70"/>
        <v>0</v>
      </c>
      <c r="AT138" s="409">
        <f t="shared" si="70"/>
        <v>0</v>
      </c>
      <c r="AU138" s="409">
        <f t="shared" si="70"/>
        <v>0</v>
      </c>
      <c r="AV138" s="409">
        <f t="shared" si="70"/>
        <v>0</v>
      </c>
      <c r="AW138" s="409">
        <f t="shared" si="70"/>
        <v>0</v>
      </c>
      <c r="AX138" s="409">
        <f t="shared" si="70"/>
        <v>0</v>
      </c>
      <c r="AY138" s="409">
        <f t="shared" si="70"/>
        <v>0</v>
      </c>
      <c r="AZ138" s="409">
        <f t="shared" si="70"/>
        <v>0</v>
      </c>
      <c r="BA138" s="409">
        <f t="shared" si="70"/>
        <v>0</v>
      </c>
      <c r="BB138" s="409">
        <f t="shared" si="70"/>
        <v>0</v>
      </c>
      <c r="BC138" s="409">
        <f t="shared" si="70"/>
        <v>0</v>
      </c>
      <c r="BD138" s="409">
        <f t="shared" si="70"/>
        <v>0</v>
      </c>
      <c r="BE138" s="409">
        <f t="shared" si="70"/>
        <v>0</v>
      </c>
      <c r="BF138" s="409">
        <f t="shared" si="70"/>
        <v>0</v>
      </c>
      <c r="BG138" s="409">
        <f t="shared" si="70"/>
        <v>0</v>
      </c>
      <c r="BH138" s="409">
        <f t="shared" si="70"/>
        <v>0</v>
      </c>
      <c r="BI138" s="409">
        <f t="shared" si="70"/>
        <v>0</v>
      </c>
      <c r="BJ138" s="409">
        <f t="shared" si="70"/>
        <v>0</v>
      </c>
      <c r="BK138" s="409">
        <f t="shared" si="70"/>
        <v>0</v>
      </c>
      <c r="BL138" s="409">
        <f t="shared" si="70"/>
        <v>0</v>
      </c>
      <c r="BM138" s="409">
        <f t="shared" si="70"/>
        <v>0</v>
      </c>
      <c r="BN138" s="409">
        <f t="shared" si="70"/>
        <v>0</v>
      </c>
      <c r="BO138" s="409">
        <f t="shared" si="70"/>
        <v>0</v>
      </c>
      <c r="BP138" s="409">
        <f t="shared" si="70"/>
        <v>0</v>
      </c>
      <c r="BQ138" s="409">
        <f t="shared" si="70"/>
        <v>0</v>
      </c>
      <c r="BR138" s="409">
        <f t="shared" si="70"/>
        <v>0</v>
      </c>
      <c r="BS138" s="409">
        <f t="shared" si="70"/>
        <v>0</v>
      </c>
      <c r="BT138" s="409">
        <f t="shared" si="70"/>
        <v>0</v>
      </c>
      <c r="BU138" s="409">
        <f t="shared" si="70"/>
        <v>0</v>
      </c>
      <c r="BV138" s="409">
        <f t="shared" si="70"/>
        <v>0</v>
      </c>
      <c r="BW138" s="409">
        <f t="shared" si="70"/>
        <v>0</v>
      </c>
      <c r="BX138" s="409">
        <f t="shared" si="70"/>
        <v>0</v>
      </c>
      <c r="BY138" s="409">
        <f t="shared" si="70"/>
        <v>0</v>
      </c>
      <c r="BZ138" s="409">
        <f t="shared" si="70"/>
        <v>0</v>
      </c>
      <c r="CA138" s="409">
        <f t="shared" si="70"/>
        <v>0</v>
      </c>
      <c r="CB138" s="409">
        <f t="shared" si="70"/>
        <v>0</v>
      </c>
      <c r="CC138" s="409">
        <f t="shared" si="70"/>
        <v>0</v>
      </c>
      <c r="CD138" s="409">
        <f t="shared" si="70"/>
        <v>0</v>
      </c>
      <c r="CE138" s="409">
        <f t="shared" si="70"/>
        <v>0</v>
      </c>
      <c r="CF138" s="409">
        <f t="shared" si="70"/>
        <v>0</v>
      </c>
      <c r="CG138" s="409">
        <f t="shared" si="70"/>
        <v>0</v>
      </c>
      <c r="CH138" s="409">
        <f t="shared" si="70"/>
        <v>0</v>
      </c>
      <c r="CI138" s="409">
        <f t="shared" si="70"/>
        <v>0</v>
      </c>
      <c r="CJ138" s="409">
        <f t="shared" si="70"/>
        <v>0</v>
      </c>
      <c r="CK138" s="409">
        <f t="shared" si="70"/>
        <v>0</v>
      </c>
    </row>
    <row r="139" spans="25:89">
      <c r="AA139" s="408">
        <v>15</v>
      </c>
      <c r="AB139">
        <f>CapInvest!C20</f>
        <v>0</v>
      </c>
      <c r="AC139" s="299">
        <f>IF($AB139=0,1,DATEDIF($K$12,DATEVALUE("01-"&amp;CapInvest!$D20&amp;"-"&amp;CapInvest!$E20),"m")+1)</f>
        <v>1</v>
      </c>
      <c r="AD139" s="411">
        <f t="shared" si="65"/>
        <v>0</v>
      </c>
      <c r="AE139" s="409">
        <f t="shared" si="70"/>
        <v>0</v>
      </c>
      <c r="AF139" s="409">
        <f t="shared" si="70"/>
        <v>0</v>
      </c>
      <c r="AG139" s="409">
        <f t="shared" si="70"/>
        <v>0</v>
      </c>
      <c r="AH139" s="409">
        <f t="shared" si="70"/>
        <v>0</v>
      </c>
      <c r="AI139" s="409">
        <f t="shared" si="70"/>
        <v>0</v>
      </c>
      <c r="AJ139" s="409">
        <f t="shared" si="70"/>
        <v>0</v>
      </c>
      <c r="AK139" s="409">
        <f t="shared" si="70"/>
        <v>0</v>
      </c>
      <c r="AL139" s="409">
        <f t="shared" si="70"/>
        <v>0</v>
      </c>
      <c r="AM139" s="409">
        <f t="shared" si="70"/>
        <v>0</v>
      </c>
      <c r="AN139" s="409">
        <f t="shared" si="70"/>
        <v>0</v>
      </c>
      <c r="AO139" s="409">
        <f t="shared" si="70"/>
        <v>0</v>
      </c>
      <c r="AP139" s="409">
        <f t="shared" si="70"/>
        <v>0</v>
      </c>
      <c r="AQ139" s="409">
        <f t="shared" si="70"/>
        <v>0</v>
      </c>
      <c r="AR139" s="409">
        <f t="shared" si="70"/>
        <v>0</v>
      </c>
      <c r="AS139" s="409">
        <f t="shared" si="70"/>
        <v>0</v>
      </c>
      <c r="AT139" s="409">
        <f t="shared" si="70"/>
        <v>0</v>
      </c>
      <c r="AU139" s="409">
        <f t="shared" si="70"/>
        <v>0</v>
      </c>
      <c r="AV139" s="409">
        <f t="shared" si="70"/>
        <v>0</v>
      </c>
      <c r="AW139" s="409">
        <f t="shared" si="70"/>
        <v>0</v>
      </c>
      <c r="AX139" s="409">
        <f t="shared" si="70"/>
        <v>0</v>
      </c>
      <c r="AY139" s="409">
        <f t="shared" si="70"/>
        <v>0</v>
      </c>
      <c r="AZ139" s="409">
        <f t="shared" si="70"/>
        <v>0</v>
      </c>
      <c r="BA139" s="409">
        <f t="shared" si="70"/>
        <v>0</v>
      </c>
      <c r="BB139" s="409">
        <f t="shared" si="70"/>
        <v>0</v>
      </c>
      <c r="BC139" s="409">
        <f t="shared" si="70"/>
        <v>0</v>
      </c>
      <c r="BD139" s="409">
        <f t="shared" si="70"/>
        <v>0</v>
      </c>
      <c r="BE139" s="409">
        <f t="shared" si="70"/>
        <v>0</v>
      </c>
      <c r="BF139" s="409">
        <f t="shared" si="70"/>
        <v>0</v>
      </c>
      <c r="BG139" s="409">
        <f t="shared" si="70"/>
        <v>0</v>
      </c>
      <c r="BH139" s="409">
        <f t="shared" si="70"/>
        <v>0</v>
      </c>
      <c r="BI139" s="409">
        <f t="shared" si="70"/>
        <v>0</v>
      </c>
      <c r="BJ139" s="409">
        <f t="shared" si="70"/>
        <v>0</v>
      </c>
      <c r="BK139" s="409">
        <f t="shared" si="70"/>
        <v>0</v>
      </c>
      <c r="BL139" s="409">
        <f t="shared" si="70"/>
        <v>0</v>
      </c>
      <c r="BM139" s="409">
        <f t="shared" si="70"/>
        <v>0</v>
      </c>
      <c r="BN139" s="409">
        <f t="shared" si="70"/>
        <v>0</v>
      </c>
      <c r="BO139" s="409">
        <f t="shared" si="70"/>
        <v>0</v>
      </c>
      <c r="BP139" s="409">
        <f t="shared" si="70"/>
        <v>0</v>
      </c>
      <c r="BQ139" s="409">
        <f t="shared" si="70"/>
        <v>0</v>
      </c>
      <c r="BR139" s="409">
        <f t="shared" si="70"/>
        <v>0</v>
      </c>
      <c r="BS139" s="409">
        <f t="shared" si="70"/>
        <v>0</v>
      </c>
      <c r="BT139" s="409">
        <f t="shared" si="70"/>
        <v>0</v>
      </c>
      <c r="BU139" s="409">
        <f t="shared" si="70"/>
        <v>0</v>
      </c>
      <c r="BV139" s="409">
        <f t="shared" si="70"/>
        <v>0</v>
      </c>
      <c r="BW139" s="409">
        <f t="shared" si="70"/>
        <v>0</v>
      </c>
      <c r="BX139" s="409">
        <f t="shared" si="70"/>
        <v>0</v>
      </c>
      <c r="BY139" s="409">
        <f t="shared" si="70"/>
        <v>0</v>
      </c>
      <c r="BZ139" s="409">
        <f t="shared" si="70"/>
        <v>0</v>
      </c>
      <c r="CA139" s="409">
        <f t="shared" si="70"/>
        <v>0</v>
      </c>
      <c r="CB139" s="409">
        <f t="shared" si="70"/>
        <v>0</v>
      </c>
      <c r="CC139" s="409">
        <f t="shared" si="70"/>
        <v>0</v>
      </c>
      <c r="CD139" s="409">
        <f t="shared" si="70"/>
        <v>0</v>
      </c>
      <c r="CE139" s="409">
        <f t="shared" si="70"/>
        <v>0</v>
      </c>
      <c r="CF139" s="409">
        <f t="shared" si="70"/>
        <v>0</v>
      </c>
      <c r="CG139" s="409">
        <f t="shared" si="70"/>
        <v>0</v>
      </c>
      <c r="CH139" s="409">
        <f t="shared" si="70"/>
        <v>0</v>
      </c>
      <c r="CI139" s="409">
        <f t="shared" si="70"/>
        <v>0</v>
      </c>
      <c r="CJ139" s="409">
        <f t="shared" si="70"/>
        <v>0</v>
      </c>
      <c r="CK139" s="409">
        <f t="shared" si="70"/>
        <v>0</v>
      </c>
    </row>
    <row r="140" spans="25:89">
      <c r="AC140" s="306" t="s">
        <v>274</v>
      </c>
      <c r="AD140" s="412">
        <f>SUM(AD125:AD139)</f>
        <v>0</v>
      </c>
      <c r="AE140" s="412">
        <f>SUM(AE125:AE139)</f>
        <v>0</v>
      </c>
      <c r="AF140" s="412">
        <f t="shared" ref="AF140:CK140" si="71">SUM(AF125:AF139)</f>
        <v>0</v>
      </c>
      <c r="AG140" s="412">
        <f t="shared" si="71"/>
        <v>0</v>
      </c>
      <c r="AH140" s="412">
        <f t="shared" si="71"/>
        <v>0</v>
      </c>
      <c r="AI140" s="412">
        <f t="shared" si="71"/>
        <v>0</v>
      </c>
      <c r="AJ140" s="412">
        <f t="shared" si="71"/>
        <v>0</v>
      </c>
      <c r="AK140" s="412">
        <f t="shared" si="71"/>
        <v>0</v>
      </c>
      <c r="AL140" s="412">
        <f t="shared" si="71"/>
        <v>0</v>
      </c>
      <c r="AM140" s="412">
        <f t="shared" si="71"/>
        <v>0</v>
      </c>
      <c r="AN140" s="412">
        <f t="shared" si="71"/>
        <v>0</v>
      </c>
      <c r="AO140" s="412">
        <f t="shared" si="71"/>
        <v>0</v>
      </c>
      <c r="AP140" s="412">
        <f t="shared" si="71"/>
        <v>0</v>
      </c>
      <c r="AQ140" s="412">
        <f t="shared" si="71"/>
        <v>0</v>
      </c>
      <c r="AR140" s="412">
        <f t="shared" si="71"/>
        <v>0</v>
      </c>
      <c r="AS140" s="412">
        <f t="shared" si="71"/>
        <v>0</v>
      </c>
      <c r="AT140" s="412">
        <f t="shared" si="71"/>
        <v>0</v>
      </c>
      <c r="AU140" s="412">
        <f t="shared" si="71"/>
        <v>0</v>
      </c>
      <c r="AV140" s="412">
        <f t="shared" si="71"/>
        <v>0</v>
      </c>
      <c r="AW140" s="412">
        <f t="shared" si="71"/>
        <v>0</v>
      </c>
      <c r="AX140" s="412">
        <f t="shared" si="71"/>
        <v>0</v>
      </c>
      <c r="AY140" s="412">
        <f t="shared" si="71"/>
        <v>0</v>
      </c>
      <c r="AZ140" s="412">
        <f t="shared" si="71"/>
        <v>0</v>
      </c>
      <c r="BA140" s="412">
        <f t="shared" si="71"/>
        <v>0</v>
      </c>
      <c r="BB140" s="412">
        <f t="shared" si="71"/>
        <v>0</v>
      </c>
      <c r="BC140" s="412">
        <f t="shared" si="71"/>
        <v>0</v>
      </c>
      <c r="BD140" s="412">
        <f t="shared" si="71"/>
        <v>0</v>
      </c>
      <c r="BE140" s="412">
        <f t="shared" si="71"/>
        <v>0</v>
      </c>
      <c r="BF140" s="412">
        <f t="shared" si="71"/>
        <v>0</v>
      </c>
      <c r="BG140" s="412">
        <f t="shared" si="71"/>
        <v>0</v>
      </c>
      <c r="BH140" s="412">
        <f t="shared" si="71"/>
        <v>0</v>
      </c>
      <c r="BI140" s="412">
        <f t="shared" si="71"/>
        <v>0</v>
      </c>
      <c r="BJ140" s="412">
        <f t="shared" si="71"/>
        <v>0</v>
      </c>
      <c r="BK140" s="412">
        <f t="shared" si="71"/>
        <v>0</v>
      </c>
      <c r="BL140" s="412">
        <f t="shared" si="71"/>
        <v>0</v>
      </c>
      <c r="BM140" s="412">
        <f t="shared" si="71"/>
        <v>0</v>
      </c>
      <c r="BN140" s="412">
        <f t="shared" si="71"/>
        <v>0</v>
      </c>
      <c r="BO140" s="412">
        <f t="shared" si="71"/>
        <v>0</v>
      </c>
      <c r="BP140" s="412">
        <f t="shared" si="71"/>
        <v>0</v>
      </c>
      <c r="BQ140" s="412">
        <f t="shared" si="71"/>
        <v>0</v>
      </c>
      <c r="BR140" s="412">
        <f t="shared" si="71"/>
        <v>0</v>
      </c>
      <c r="BS140" s="412">
        <f t="shared" si="71"/>
        <v>0</v>
      </c>
      <c r="BT140" s="412">
        <f t="shared" si="71"/>
        <v>0</v>
      </c>
      <c r="BU140" s="412">
        <f t="shared" si="71"/>
        <v>0</v>
      </c>
      <c r="BV140" s="412">
        <f t="shared" si="71"/>
        <v>0</v>
      </c>
      <c r="BW140" s="412">
        <f t="shared" si="71"/>
        <v>0</v>
      </c>
      <c r="BX140" s="412">
        <f t="shared" si="71"/>
        <v>0</v>
      </c>
      <c r="BY140" s="412">
        <f t="shared" si="71"/>
        <v>0</v>
      </c>
      <c r="BZ140" s="412">
        <f t="shared" si="71"/>
        <v>0</v>
      </c>
      <c r="CA140" s="412">
        <f t="shared" si="71"/>
        <v>0</v>
      </c>
      <c r="CB140" s="412">
        <f t="shared" si="71"/>
        <v>0</v>
      </c>
      <c r="CC140" s="412">
        <f t="shared" si="71"/>
        <v>0</v>
      </c>
      <c r="CD140" s="412">
        <f t="shared" si="71"/>
        <v>0</v>
      </c>
      <c r="CE140" s="412">
        <f t="shared" si="71"/>
        <v>0</v>
      </c>
      <c r="CF140" s="412">
        <f t="shared" si="71"/>
        <v>0</v>
      </c>
      <c r="CG140" s="412">
        <f t="shared" si="71"/>
        <v>0</v>
      </c>
      <c r="CH140" s="412">
        <f t="shared" si="71"/>
        <v>0</v>
      </c>
      <c r="CI140" s="412">
        <f t="shared" si="71"/>
        <v>0</v>
      </c>
      <c r="CJ140" s="412">
        <f t="shared" si="71"/>
        <v>0</v>
      </c>
      <c r="CK140" s="412">
        <f t="shared" si="71"/>
        <v>0</v>
      </c>
    </row>
    <row r="143" spans="25:89">
      <c r="AD143" s="419"/>
      <c r="AE143" s="411"/>
      <c r="AF143" s="419"/>
      <c r="AG143" s="419"/>
      <c r="AH143" s="419"/>
      <c r="AI143" s="419"/>
      <c r="AJ143" s="419"/>
      <c r="AK143" s="419"/>
      <c r="AL143" s="419"/>
      <c r="AM143" s="419"/>
      <c r="AN143" s="419"/>
      <c r="AO143" s="419"/>
      <c r="AP143" s="419"/>
      <c r="AQ143" s="419"/>
      <c r="AR143" s="419"/>
      <c r="AS143" s="419"/>
      <c r="AT143" s="419"/>
      <c r="AU143" s="419"/>
      <c r="AV143" s="419"/>
      <c r="AW143" s="419"/>
      <c r="AX143" s="419"/>
      <c r="AY143" s="419"/>
      <c r="AZ143" s="419"/>
      <c r="BA143" s="419"/>
    </row>
    <row r="144" spans="25:89">
      <c r="Y144" s="71" t="s">
        <v>276</v>
      </c>
      <c r="AC144" s="414"/>
      <c r="AD144" s="915" t="s">
        <v>165</v>
      </c>
      <c r="AE144" s="915"/>
      <c r="AF144" s="916"/>
      <c r="AG144" s="915" t="s">
        <v>166</v>
      </c>
      <c r="AH144" s="915"/>
      <c r="AI144" s="916"/>
      <c r="AJ144" s="915" t="s">
        <v>167</v>
      </c>
      <c r="AK144" s="915"/>
      <c r="AL144" s="916"/>
      <c r="AM144" s="915" t="s">
        <v>168</v>
      </c>
      <c r="AN144" s="915"/>
      <c r="AO144" s="916"/>
      <c r="AP144" s="915" t="s">
        <v>54</v>
      </c>
      <c r="AQ144" s="915"/>
      <c r="AR144" s="916"/>
      <c r="AS144" s="915" t="s">
        <v>55</v>
      </c>
      <c r="AT144" s="915"/>
      <c r="AU144" s="916"/>
      <c r="AV144" s="915" t="s">
        <v>56</v>
      </c>
      <c r="AW144" s="915"/>
      <c r="AX144" s="916"/>
      <c r="AY144" s="917" t="s">
        <v>176</v>
      </c>
      <c r="AZ144" s="915"/>
      <c r="BA144" s="916"/>
    </row>
    <row r="145" spans="26:53">
      <c r="AB145" t="s">
        <v>260</v>
      </c>
      <c r="AC145" s="414"/>
      <c r="AD145" t="s">
        <v>277</v>
      </c>
      <c r="AE145" t="s">
        <v>278</v>
      </c>
      <c r="AF145" s="414" t="s">
        <v>279</v>
      </c>
      <c r="AG145" t="s">
        <v>277</v>
      </c>
      <c r="AH145" t="s">
        <v>278</v>
      </c>
      <c r="AI145" s="414" t="s">
        <v>279</v>
      </c>
      <c r="AJ145" t="s">
        <v>277</v>
      </c>
      <c r="AK145" t="s">
        <v>278</v>
      </c>
      <c r="AL145" s="414" t="s">
        <v>279</v>
      </c>
      <c r="AM145" t="s">
        <v>277</v>
      </c>
      <c r="AN145" t="s">
        <v>278</v>
      </c>
      <c r="AO145" s="414" t="s">
        <v>279</v>
      </c>
      <c r="AP145" t="s">
        <v>277</v>
      </c>
      <c r="AQ145" t="s">
        <v>278</v>
      </c>
      <c r="AR145" s="414" t="s">
        <v>279</v>
      </c>
      <c r="AS145" t="s">
        <v>277</v>
      </c>
      <c r="AT145" t="s">
        <v>278</v>
      </c>
      <c r="AU145" s="414" t="s">
        <v>279</v>
      </c>
      <c r="AV145" t="s">
        <v>277</v>
      </c>
      <c r="AW145" t="s">
        <v>278</v>
      </c>
      <c r="AX145" s="414" t="s">
        <v>279</v>
      </c>
      <c r="AY145" t="s">
        <v>277</v>
      </c>
      <c r="AZ145" t="s">
        <v>278</v>
      </c>
      <c r="BA145" s="414" t="s">
        <v>279</v>
      </c>
    </row>
    <row r="146" spans="26:53">
      <c r="Z146" s="145"/>
      <c r="AA146" s="408">
        <v>1</v>
      </c>
      <c r="AB146" s="409">
        <f>AB78</f>
        <v>0</v>
      </c>
      <c r="AC146" s="416"/>
      <c r="AD146" s="409">
        <f>SUM($AD78:$AF78)-SUM($AD170:$AF170)</f>
        <v>0</v>
      </c>
      <c r="AE146" s="409">
        <f>IF(AC78&lt;=3,SUM(AG78:AR78)-SUM(AG170:AR170),0)</f>
        <v>0</v>
      </c>
      <c r="AF146" s="415">
        <f>IF(AC78&lt;=3,AB146-AE146-AD146,0)</f>
        <v>0</v>
      </c>
      <c r="AG146" s="409">
        <f>SUM(AG78:AI78)-SUM(AG170:AI170)+AD146</f>
        <v>0</v>
      </c>
      <c r="AH146" s="409">
        <f>IF(AC78&lt;=6,SUM(AJ78:AU78)-SUM(AJ170:AU170),0)</f>
        <v>0</v>
      </c>
      <c r="AI146" s="415">
        <f>IF(AC78&lt;=6,AB146-AH146-AG146,0)</f>
        <v>0</v>
      </c>
      <c r="AJ146" s="409">
        <f>SUM(AJ78:AL78)-SUM(AJ170:AL170)+AG146</f>
        <v>0</v>
      </c>
      <c r="AK146" s="409">
        <f>IF(AC78&lt;=9,SUM(AM78:AX78)-SUM(AM170:AX170),0)</f>
        <v>0</v>
      </c>
      <c r="AL146" s="415">
        <f>IF(AC78&lt;=9,AB146-AK146-AJ146,0)</f>
        <v>0</v>
      </c>
      <c r="AM146" s="409">
        <f>SUM(AM78:AO78)-SUM(AM170:AO170)+AJ146</f>
        <v>0</v>
      </c>
      <c r="AN146" s="409">
        <f>IF(AC78&lt;=12,SUM(AP78:BA78)-SUM(AP170:BA170),0)</f>
        <v>0</v>
      </c>
      <c r="AO146" s="415">
        <f>IF(AC78&lt;=12,AB146-AN146-AM146,0)</f>
        <v>0</v>
      </c>
      <c r="AP146" s="409">
        <f>SUM(AP78:BA78)-SUM(AP170:BA170)+AM146</f>
        <v>0</v>
      </c>
      <c r="AQ146" s="409">
        <f>IF(AC78&lt;=24,SUM(BB78:BM78)-SUM(BB170:BM170),0)</f>
        <v>0</v>
      </c>
      <c r="AR146" s="415">
        <f>IF(AC78&lt;=24,AB146-AQ146-AP146,0)</f>
        <v>0</v>
      </c>
      <c r="AS146" s="409">
        <f>SUM(BB78:BM78)-SUM(BB170:BM170)+AP146</f>
        <v>0</v>
      </c>
      <c r="AT146" s="409">
        <f>IF(AC78&lt;=36,SUM(BN78:BY78)-SUM(BN170:BY170),0)</f>
        <v>0</v>
      </c>
      <c r="AU146" s="415">
        <f>IF(AC78&lt;=36,AB146-AT146-AS146,0)</f>
        <v>0</v>
      </c>
      <c r="AV146" s="409">
        <f>SUM(BN78:BY78)-SUM(BN170:BY170)+AS146</f>
        <v>0</v>
      </c>
      <c r="AW146" s="409">
        <f>IF(AC78&lt;=48,SUM(BZ78:CK78)-SUM(BZ170:CK170),0)</f>
        <v>0</v>
      </c>
      <c r="AX146" s="415">
        <f>IF(AC78&lt;=48,AB146-AW146-AV146,0)</f>
        <v>0</v>
      </c>
      <c r="AY146" s="409">
        <f>SUM(BZ78:CK78)-SUM(BZ170:CK170)+AV146</f>
        <v>0</v>
      </c>
      <c r="AZ146" s="409">
        <f>IF(AC78&lt;=60,SUM(CL78:CW78)-SUM(CL170:CW170),0)</f>
        <v>0</v>
      </c>
      <c r="BA146" s="415">
        <f>IF(AC78&lt;=60,AB146-AZ146-AY146,0)</f>
        <v>0</v>
      </c>
    </row>
    <row r="147" spans="26:53">
      <c r="Z147" s="145"/>
      <c r="AA147" s="408">
        <v>2</v>
      </c>
      <c r="AB147" s="409">
        <f t="shared" ref="AB147:AB165" si="72">AB79</f>
        <v>0</v>
      </c>
      <c r="AC147" s="416"/>
      <c r="AD147" s="409">
        <f t="shared" ref="AD147:AD165" si="73">SUM($AD79:$AF79)-SUM($AD171:$AF171)</f>
        <v>0</v>
      </c>
      <c r="AE147" s="409">
        <f>IF(AC79&lt;=3,SUM(AG79:AR79)-SUM(AG171:AR171),0)</f>
        <v>0</v>
      </c>
      <c r="AF147" s="415">
        <f t="shared" ref="AF147:AF165" si="74">IF(AC79&lt;=3,AB147-AE147-AD147,0)</f>
        <v>0</v>
      </c>
      <c r="AG147" s="409">
        <f t="shared" ref="AG147:AG165" si="75">SUM(AG79:AI79)-SUM(AG171:AI171)+AD147</f>
        <v>0</v>
      </c>
      <c r="AH147" s="409">
        <f t="shared" ref="AH147:AH165" si="76">IF(AC79&lt;=6,SUM(AJ79:AU79)-SUM(AJ171:AU171),0)</f>
        <v>0</v>
      </c>
      <c r="AI147" s="415">
        <f t="shared" ref="AI147:AI165" si="77">IF(AC79&lt;=6,AB147-AH147-AG147,0)</f>
        <v>0</v>
      </c>
      <c r="AJ147" s="409">
        <f t="shared" ref="AJ147:AJ165" si="78">SUM(AJ79:AL79)-SUM(AJ171:AL171)+AG147</f>
        <v>0</v>
      </c>
      <c r="AK147" s="409">
        <f t="shared" ref="AK147:AK165" si="79">IF(AC79&lt;=9,SUM(AM79:AX79)-SUM(AM171:AX171),0)</f>
        <v>0</v>
      </c>
      <c r="AL147" s="415">
        <f t="shared" ref="AL147:AL165" si="80">IF(AC79&lt;=9,AB147-AK147-AJ147,0)</f>
        <v>0</v>
      </c>
      <c r="AM147" s="409">
        <f t="shared" ref="AM147:AM165" si="81">SUM(AM79:AO79)-SUM(AM171:AO171)+AJ147</f>
        <v>0</v>
      </c>
      <c r="AN147" s="409">
        <f t="shared" ref="AN147:AN165" si="82">IF(AC79&lt;=12,SUM(AP79:BA79)-SUM(AP171:BA171),0)</f>
        <v>0</v>
      </c>
      <c r="AO147" s="415">
        <f t="shared" ref="AO147:AO165" si="83">IF(AC79&lt;=12,AB147-AN147-AM147,0)</f>
        <v>0</v>
      </c>
      <c r="AP147" s="409">
        <f t="shared" ref="AP147:AP165" si="84">SUM(AP79:BA79)-SUM(AP171:BA171)+AM147</f>
        <v>0</v>
      </c>
      <c r="AQ147" s="409">
        <f t="shared" ref="AQ147:AQ165" si="85">IF(AC79&lt;=24,SUM(BB79:BM79)-SUM(BB171:BM171),0)</f>
        <v>0</v>
      </c>
      <c r="AR147" s="415">
        <f t="shared" ref="AR147:AR165" si="86">IF(AC79&lt;=24,AB147-AQ147-AP147,0)</f>
        <v>0</v>
      </c>
      <c r="AS147" s="409">
        <f t="shared" ref="AS147:AS165" si="87">SUM(BB79:BM79)-SUM(BB171:BM171)+AP147</f>
        <v>0</v>
      </c>
      <c r="AT147" s="409">
        <f t="shared" ref="AT147:AT165" si="88">IF(AC79&lt;=36,SUM(BN79:BY79)-SUM(BN171:BY171),0)</f>
        <v>0</v>
      </c>
      <c r="AU147" s="415">
        <f t="shared" ref="AU147:AU165" si="89">IF(AC79&lt;=36,AB147-AT147-AS147,0)</f>
        <v>0</v>
      </c>
      <c r="AV147" s="409">
        <f t="shared" ref="AV147:AV165" si="90">SUM(BN79:BY79)-SUM(BN171:BY171)+AS147</f>
        <v>0</v>
      </c>
      <c r="AW147" s="409">
        <f t="shared" ref="AW147:AW165" si="91">IF(AC79&lt;=48,SUM(BZ79:CK79)-SUM(BZ171:CK171),0)</f>
        <v>0</v>
      </c>
      <c r="AX147" s="415">
        <f t="shared" ref="AX147:AX165" si="92">IF(AC79&lt;=48,AB147-AW147-AV147,0)</f>
        <v>0</v>
      </c>
      <c r="AY147" s="409">
        <f t="shared" ref="AY147:AY165" si="93">SUM(BZ79:CK79)-SUM(BZ171:CK171)+AV147</f>
        <v>0</v>
      </c>
      <c r="AZ147" s="409">
        <f t="shared" ref="AZ147:AZ165" si="94">IF(AC79&lt;=60,SUM(CL79:CW79)-SUM(CL171:CW171),0)</f>
        <v>0</v>
      </c>
      <c r="BA147" s="415">
        <f t="shared" ref="BA147:BA165" si="95">IF(AC79&lt;=60,AB147-AZ147-AY147,0)</f>
        <v>0</v>
      </c>
    </row>
    <row r="148" spans="26:53">
      <c r="Z148" s="145"/>
      <c r="AA148" s="408">
        <v>3</v>
      </c>
      <c r="AB148" s="409">
        <f t="shared" si="72"/>
        <v>0</v>
      </c>
      <c r="AC148" s="416"/>
      <c r="AD148" s="409">
        <f t="shared" si="73"/>
        <v>0</v>
      </c>
      <c r="AE148" s="409">
        <f t="shared" ref="AE148:AE165" si="96">IF(AC80&lt;=3,SUM(AG80:AR80)-SUM(AG172:AR172),0)</f>
        <v>0</v>
      </c>
      <c r="AF148" s="415">
        <f t="shared" si="74"/>
        <v>0</v>
      </c>
      <c r="AG148" s="409">
        <f t="shared" si="75"/>
        <v>0</v>
      </c>
      <c r="AH148" s="409">
        <f t="shared" si="76"/>
        <v>0</v>
      </c>
      <c r="AI148" s="415">
        <f t="shared" si="77"/>
        <v>0</v>
      </c>
      <c r="AJ148" s="409">
        <f t="shared" si="78"/>
        <v>0</v>
      </c>
      <c r="AK148" s="409">
        <f t="shared" si="79"/>
        <v>0</v>
      </c>
      <c r="AL148" s="415">
        <f t="shared" si="80"/>
        <v>0</v>
      </c>
      <c r="AM148" s="409">
        <f t="shared" si="81"/>
        <v>0</v>
      </c>
      <c r="AN148" s="409">
        <f t="shared" si="82"/>
        <v>0</v>
      </c>
      <c r="AO148" s="415">
        <f t="shared" si="83"/>
        <v>0</v>
      </c>
      <c r="AP148" s="409">
        <f t="shared" si="84"/>
        <v>0</v>
      </c>
      <c r="AQ148" s="409">
        <f t="shared" si="85"/>
        <v>0</v>
      </c>
      <c r="AR148" s="415">
        <f t="shared" si="86"/>
        <v>0</v>
      </c>
      <c r="AS148" s="409">
        <f t="shared" si="87"/>
        <v>0</v>
      </c>
      <c r="AT148" s="409">
        <f t="shared" si="88"/>
        <v>0</v>
      </c>
      <c r="AU148" s="415">
        <f t="shared" si="89"/>
        <v>0</v>
      </c>
      <c r="AV148" s="409">
        <f t="shared" si="90"/>
        <v>0</v>
      </c>
      <c r="AW148" s="409">
        <f t="shared" si="91"/>
        <v>0</v>
      </c>
      <c r="AX148" s="415">
        <f t="shared" si="92"/>
        <v>0</v>
      </c>
      <c r="AY148" s="409">
        <f t="shared" si="93"/>
        <v>0</v>
      </c>
      <c r="AZ148" s="409">
        <f t="shared" si="94"/>
        <v>0</v>
      </c>
      <c r="BA148" s="415">
        <f t="shared" si="95"/>
        <v>0</v>
      </c>
    </row>
    <row r="149" spans="26:53">
      <c r="Z149" s="145"/>
      <c r="AA149" s="408">
        <v>4</v>
      </c>
      <c r="AB149" s="409">
        <f t="shared" si="72"/>
        <v>0</v>
      </c>
      <c r="AC149" s="416"/>
      <c r="AD149" s="409">
        <f t="shared" si="73"/>
        <v>0</v>
      </c>
      <c r="AE149" s="409">
        <f t="shared" si="96"/>
        <v>0</v>
      </c>
      <c r="AF149" s="415">
        <f t="shared" si="74"/>
        <v>0</v>
      </c>
      <c r="AG149" s="409">
        <f t="shared" si="75"/>
        <v>0</v>
      </c>
      <c r="AH149" s="409">
        <f t="shared" si="76"/>
        <v>0</v>
      </c>
      <c r="AI149" s="415">
        <f t="shared" si="77"/>
        <v>0</v>
      </c>
      <c r="AJ149" s="409">
        <f t="shared" si="78"/>
        <v>0</v>
      </c>
      <c r="AK149" s="409">
        <f t="shared" si="79"/>
        <v>0</v>
      </c>
      <c r="AL149" s="415">
        <f t="shared" si="80"/>
        <v>0</v>
      </c>
      <c r="AM149" s="409">
        <f t="shared" si="81"/>
        <v>0</v>
      </c>
      <c r="AN149" s="409">
        <f t="shared" si="82"/>
        <v>0</v>
      </c>
      <c r="AO149" s="415">
        <f t="shared" si="83"/>
        <v>0</v>
      </c>
      <c r="AP149" s="409">
        <f t="shared" si="84"/>
        <v>0</v>
      </c>
      <c r="AQ149" s="409">
        <f t="shared" si="85"/>
        <v>0</v>
      </c>
      <c r="AR149" s="415">
        <f t="shared" si="86"/>
        <v>0</v>
      </c>
      <c r="AS149" s="409">
        <f t="shared" si="87"/>
        <v>0</v>
      </c>
      <c r="AT149" s="409">
        <f t="shared" si="88"/>
        <v>0</v>
      </c>
      <c r="AU149" s="415">
        <f t="shared" si="89"/>
        <v>0</v>
      </c>
      <c r="AV149" s="409">
        <f t="shared" si="90"/>
        <v>0</v>
      </c>
      <c r="AW149" s="409">
        <f t="shared" si="91"/>
        <v>0</v>
      </c>
      <c r="AX149" s="415">
        <f t="shared" si="92"/>
        <v>0</v>
      </c>
      <c r="AY149" s="409">
        <f t="shared" si="93"/>
        <v>0</v>
      </c>
      <c r="AZ149" s="409">
        <f t="shared" si="94"/>
        <v>0</v>
      </c>
      <c r="BA149" s="415">
        <f t="shared" si="95"/>
        <v>0</v>
      </c>
    </row>
    <row r="150" spans="26:53">
      <c r="Z150" s="145"/>
      <c r="AA150" s="408">
        <v>5</v>
      </c>
      <c r="AB150" s="409">
        <f t="shared" si="72"/>
        <v>0</v>
      </c>
      <c r="AC150" s="416"/>
      <c r="AD150" s="409">
        <f t="shared" si="73"/>
        <v>0</v>
      </c>
      <c r="AE150" s="409">
        <f t="shared" si="96"/>
        <v>0</v>
      </c>
      <c r="AF150" s="415">
        <f t="shared" si="74"/>
        <v>0</v>
      </c>
      <c r="AG150" s="409">
        <f t="shared" si="75"/>
        <v>0</v>
      </c>
      <c r="AH150" s="409">
        <f t="shared" si="76"/>
        <v>0</v>
      </c>
      <c r="AI150" s="415">
        <f t="shared" si="77"/>
        <v>0</v>
      </c>
      <c r="AJ150" s="409">
        <f t="shared" si="78"/>
        <v>0</v>
      </c>
      <c r="AK150" s="409">
        <f t="shared" si="79"/>
        <v>0</v>
      </c>
      <c r="AL150" s="415">
        <f t="shared" si="80"/>
        <v>0</v>
      </c>
      <c r="AM150" s="409">
        <f t="shared" si="81"/>
        <v>0</v>
      </c>
      <c r="AN150" s="409">
        <f t="shared" si="82"/>
        <v>0</v>
      </c>
      <c r="AO150" s="415">
        <f t="shared" si="83"/>
        <v>0</v>
      </c>
      <c r="AP150" s="409">
        <f t="shared" si="84"/>
        <v>0</v>
      </c>
      <c r="AQ150" s="409">
        <f t="shared" si="85"/>
        <v>0</v>
      </c>
      <c r="AR150" s="415">
        <f t="shared" si="86"/>
        <v>0</v>
      </c>
      <c r="AS150" s="409">
        <f t="shared" si="87"/>
        <v>0</v>
      </c>
      <c r="AT150" s="409">
        <f t="shared" si="88"/>
        <v>0</v>
      </c>
      <c r="AU150" s="415">
        <f t="shared" si="89"/>
        <v>0</v>
      </c>
      <c r="AV150" s="409">
        <f t="shared" si="90"/>
        <v>0</v>
      </c>
      <c r="AW150" s="409">
        <f t="shared" si="91"/>
        <v>0</v>
      </c>
      <c r="AX150" s="415">
        <f t="shared" si="92"/>
        <v>0</v>
      </c>
      <c r="AY150" s="409">
        <f t="shared" si="93"/>
        <v>0</v>
      </c>
      <c r="AZ150" s="409">
        <f t="shared" si="94"/>
        <v>0</v>
      </c>
      <c r="BA150" s="415">
        <f t="shared" si="95"/>
        <v>0</v>
      </c>
    </row>
    <row r="151" spans="26:53">
      <c r="Z151" s="145"/>
      <c r="AA151" s="408">
        <v>6</v>
      </c>
      <c r="AB151" s="409">
        <f t="shared" si="72"/>
        <v>0</v>
      </c>
      <c r="AC151" s="416"/>
      <c r="AD151" s="409">
        <f t="shared" si="73"/>
        <v>0</v>
      </c>
      <c r="AE151" s="409">
        <f t="shared" si="96"/>
        <v>0</v>
      </c>
      <c r="AF151" s="415">
        <f t="shared" si="74"/>
        <v>0</v>
      </c>
      <c r="AG151" s="409">
        <f t="shared" si="75"/>
        <v>0</v>
      </c>
      <c r="AH151" s="409">
        <f t="shared" si="76"/>
        <v>0</v>
      </c>
      <c r="AI151" s="415">
        <f t="shared" si="77"/>
        <v>0</v>
      </c>
      <c r="AJ151" s="409">
        <f t="shared" si="78"/>
        <v>0</v>
      </c>
      <c r="AK151" s="409">
        <f t="shared" si="79"/>
        <v>0</v>
      </c>
      <c r="AL151" s="415">
        <f t="shared" si="80"/>
        <v>0</v>
      </c>
      <c r="AM151" s="409">
        <f t="shared" si="81"/>
        <v>0</v>
      </c>
      <c r="AN151" s="409">
        <f t="shared" si="82"/>
        <v>0</v>
      </c>
      <c r="AO151" s="415">
        <f t="shared" si="83"/>
        <v>0</v>
      </c>
      <c r="AP151" s="409">
        <f t="shared" si="84"/>
        <v>0</v>
      </c>
      <c r="AQ151" s="409">
        <f t="shared" si="85"/>
        <v>0</v>
      </c>
      <c r="AR151" s="415">
        <f t="shared" si="86"/>
        <v>0</v>
      </c>
      <c r="AS151" s="409">
        <f t="shared" si="87"/>
        <v>0</v>
      </c>
      <c r="AT151" s="409">
        <f t="shared" si="88"/>
        <v>0</v>
      </c>
      <c r="AU151" s="415">
        <f t="shared" si="89"/>
        <v>0</v>
      </c>
      <c r="AV151" s="409">
        <f t="shared" si="90"/>
        <v>0</v>
      </c>
      <c r="AW151" s="409">
        <f t="shared" si="91"/>
        <v>0</v>
      </c>
      <c r="AX151" s="415">
        <f t="shared" si="92"/>
        <v>0</v>
      </c>
      <c r="AY151" s="409">
        <f t="shared" si="93"/>
        <v>0</v>
      </c>
      <c r="AZ151" s="409">
        <f t="shared" si="94"/>
        <v>0</v>
      </c>
      <c r="BA151" s="415">
        <f t="shared" si="95"/>
        <v>0</v>
      </c>
    </row>
    <row r="152" spans="26:53">
      <c r="Z152" s="145"/>
      <c r="AA152" s="408">
        <v>7</v>
      </c>
      <c r="AB152" s="409">
        <f t="shared" si="72"/>
        <v>0</v>
      </c>
      <c r="AC152" s="416"/>
      <c r="AD152" s="409">
        <f t="shared" si="73"/>
        <v>0</v>
      </c>
      <c r="AE152" s="409">
        <f t="shared" si="96"/>
        <v>0</v>
      </c>
      <c r="AF152" s="415">
        <f t="shared" si="74"/>
        <v>0</v>
      </c>
      <c r="AG152" s="409">
        <f t="shared" si="75"/>
        <v>0</v>
      </c>
      <c r="AH152" s="409">
        <f t="shared" si="76"/>
        <v>0</v>
      </c>
      <c r="AI152" s="415">
        <f t="shared" si="77"/>
        <v>0</v>
      </c>
      <c r="AJ152" s="409">
        <f t="shared" si="78"/>
        <v>0</v>
      </c>
      <c r="AK152" s="409">
        <f t="shared" si="79"/>
        <v>0</v>
      </c>
      <c r="AL152" s="415">
        <f t="shared" si="80"/>
        <v>0</v>
      </c>
      <c r="AM152" s="409">
        <f t="shared" si="81"/>
        <v>0</v>
      </c>
      <c r="AN152" s="409">
        <f t="shared" si="82"/>
        <v>0</v>
      </c>
      <c r="AO152" s="415">
        <f t="shared" si="83"/>
        <v>0</v>
      </c>
      <c r="AP152" s="409">
        <f t="shared" si="84"/>
        <v>0</v>
      </c>
      <c r="AQ152" s="409">
        <f t="shared" si="85"/>
        <v>0</v>
      </c>
      <c r="AR152" s="415">
        <f t="shared" si="86"/>
        <v>0</v>
      </c>
      <c r="AS152" s="409">
        <f t="shared" si="87"/>
        <v>0</v>
      </c>
      <c r="AT152" s="409">
        <f t="shared" si="88"/>
        <v>0</v>
      </c>
      <c r="AU152" s="415">
        <f t="shared" si="89"/>
        <v>0</v>
      </c>
      <c r="AV152" s="409">
        <f t="shared" si="90"/>
        <v>0</v>
      </c>
      <c r="AW152" s="409">
        <f t="shared" si="91"/>
        <v>0</v>
      </c>
      <c r="AX152" s="415">
        <f t="shared" si="92"/>
        <v>0</v>
      </c>
      <c r="AY152" s="409">
        <f t="shared" si="93"/>
        <v>0</v>
      </c>
      <c r="AZ152" s="409">
        <f t="shared" si="94"/>
        <v>0</v>
      </c>
      <c r="BA152" s="415">
        <f t="shared" si="95"/>
        <v>0</v>
      </c>
    </row>
    <row r="153" spans="26:53">
      <c r="Z153" s="145"/>
      <c r="AA153" s="408">
        <v>8</v>
      </c>
      <c r="AB153" s="409">
        <f t="shared" si="72"/>
        <v>0</v>
      </c>
      <c r="AC153" s="416"/>
      <c r="AD153" s="409">
        <f t="shared" si="73"/>
        <v>0</v>
      </c>
      <c r="AE153" s="409">
        <f t="shared" si="96"/>
        <v>0</v>
      </c>
      <c r="AF153" s="415">
        <f t="shared" si="74"/>
        <v>0</v>
      </c>
      <c r="AG153" s="409">
        <f t="shared" si="75"/>
        <v>0</v>
      </c>
      <c r="AH153" s="409">
        <f t="shared" si="76"/>
        <v>0</v>
      </c>
      <c r="AI153" s="415">
        <f t="shared" si="77"/>
        <v>0</v>
      </c>
      <c r="AJ153" s="409">
        <f t="shared" si="78"/>
        <v>0</v>
      </c>
      <c r="AK153" s="409">
        <f t="shared" si="79"/>
        <v>0</v>
      </c>
      <c r="AL153" s="415">
        <f t="shared" si="80"/>
        <v>0</v>
      </c>
      <c r="AM153" s="409">
        <f t="shared" si="81"/>
        <v>0</v>
      </c>
      <c r="AN153" s="409">
        <f t="shared" si="82"/>
        <v>0</v>
      </c>
      <c r="AO153" s="415">
        <f t="shared" si="83"/>
        <v>0</v>
      </c>
      <c r="AP153" s="409">
        <f t="shared" si="84"/>
        <v>0</v>
      </c>
      <c r="AQ153" s="409">
        <f t="shared" si="85"/>
        <v>0</v>
      </c>
      <c r="AR153" s="415">
        <f t="shared" si="86"/>
        <v>0</v>
      </c>
      <c r="AS153" s="409">
        <f t="shared" si="87"/>
        <v>0</v>
      </c>
      <c r="AT153" s="409">
        <f t="shared" si="88"/>
        <v>0</v>
      </c>
      <c r="AU153" s="415">
        <f t="shared" si="89"/>
        <v>0</v>
      </c>
      <c r="AV153" s="409">
        <f t="shared" si="90"/>
        <v>0</v>
      </c>
      <c r="AW153" s="409">
        <f t="shared" si="91"/>
        <v>0</v>
      </c>
      <c r="AX153" s="415">
        <f t="shared" si="92"/>
        <v>0</v>
      </c>
      <c r="AY153" s="409">
        <f t="shared" si="93"/>
        <v>0</v>
      </c>
      <c r="AZ153" s="409">
        <f t="shared" si="94"/>
        <v>0</v>
      </c>
      <c r="BA153" s="415">
        <f t="shared" si="95"/>
        <v>0</v>
      </c>
    </row>
    <row r="154" spans="26:53">
      <c r="Z154" s="145"/>
      <c r="AA154" s="408">
        <v>9</v>
      </c>
      <c r="AB154" s="409">
        <f t="shared" si="72"/>
        <v>0</v>
      </c>
      <c r="AC154" s="416"/>
      <c r="AD154" s="409">
        <f t="shared" si="73"/>
        <v>0</v>
      </c>
      <c r="AE154" s="409">
        <f t="shared" si="96"/>
        <v>0</v>
      </c>
      <c r="AF154" s="415">
        <f t="shared" si="74"/>
        <v>0</v>
      </c>
      <c r="AG154" s="409">
        <f t="shared" si="75"/>
        <v>0</v>
      </c>
      <c r="AH154" s="409">
        <f t="shared" si="76"/>
        <v>0</v>
      </c>
      <c r="AI154" s="415">
        <f t="shared" si="77"/>
        <v>0</v>
      </c>
      <c r="AJ154" s="409">
        <f t="shared" si="78"/>
        <v>0</v>
      </c>
      <c r="AK154" s="409">
        <f t="shared" si="79"/>
        <v>0</v>
      </c>
      <c r="AL154" s="415">
        <f t="shared" si="80"/>
        <v>0</v>
      </c>
      <c r="AM154" s="409">
        <f t="shared" si="81"/>
        <v>0</v>
      </c>
      <c r="AN154" s="409">
        <f t="shared" si="82"/>
        <v>0</v>
      </c>
      <c r="AO154" s="415">
        <f t="shared" si="83"/>
        <v>0</v>
      </c>
      <c r="AP154" s="409">
        <f t="shared" si="84"/>
        <v>0</v>
      </c>
      <c r="AQ154" s="409">
        <f t="shared" si="85"/>
        <v>0</v>
      </c>
      <c r="AR154" s="415">
        <f t="shared" si="86"/>
        <v>0</v>
      </c>
      <c r="AS154" s="409">
        <f t="shared" si="87"/>
        <v>0</v>
      </c>
      <c r="AT154" s="409">
        <f t="shared" si="88"/>
        <v>0</v>
      </c>
      <c r="AU154" s="415">
        <f t="shared" si="89"/>
        <v>0</v>
      </c>
      <c r="AV154" s="409">
        <f t="shared" si="90"/>
        <v>0</v>
      </c>
      <c r="AW154" s="409">
        <f t="shared" si="91"/>
        <v>0</v>
      </c>
      <c r="AX154" s="415">
        <f t="shared" si="92"/>
        <v>0</v>
      </c>
      <c r="AY154" s="409">
        <f t="shared" si="93"/>
        <v>0</v>
      </c>
      <c r="AZ154" s="409">
        <f t="shared" si="94"/>
        <v>0</v>
      </c>
      <c r="BA154" s="415">
        <f t="shared" si="95"/>
        <v>0</v>
      </c>
    </row>
    <row r="155" spans="26:53">
      <c r="Z155" s="145"/>
      <c r="AA155" s="408">
        <v>10</v>
      </c>
      <c r="AB155" s="409">
        <f t="shared" si="72"/>
        <v>0</v>
      </c>
      <c r="AC155" s="416"/>
      <c r="AD155" s="409">
        <f t="shared" si="73"/>
        <v>0</v>
      </c>
      <c r="AE155" s="409">
        <f t="shared" si="96"/>
        <v>0</v>
      </c>
      <c r="AF155" s="415">
        <f t="shared" si="74"/>
        <v>0</v>
      </c>
      <c r="AG155" s="409">
        <f t="shared" si="75"/>
        <v>0</v>
      </c>
      <c r="AH155" s="409">
        <f t="shared" si="76"/>
        <v>0</v>
      </c>
      <c r="AI155" s="415">
        <f t="shared" si="77"/>
        <v>0</v>
      </c>
      <c r="AJ155" s="409">
        <f t="shared" si="78"/>
        <v>0</v>
      </c>
      <c r="AK155" s="409">
        <f t="shared" si="79"/>
        <v>0</v>
      </c>
      <c r="AL155" s="415">
        <f t="shared" si="80"/>
        <v>0</v>
      </c>
      <c r="AM155" s="409">
        <f t="shared" si="81"/>
        <v>0</v>
      </c>
      <c r="AN155" s="409">
        <f t="shared" si="82"/>
        <v>0</v>
      </c>
      <c r="AO155" s="415">
        <f t="shared" si="83"/>
        <v>0</v>
      </c>
      <c r="AP155" s="409">
        <f t="shared" si="84"/>
        <v>0</v>
      </c>
      <c r="AQ155" s="409">
        <f t="shared" si="85"/>
        <v>0</v>
      </c>
      <c r="AR155" s="415">
        <f t="shared" si="86"/>
        <v>0</v>
      </c>
      <c r="AS155" s="409">
        <f t="shared" si="87"/>
        <v>0</v>
      </c>
      <c r="AT155" s="409">
        <f t="shared" si="88"/>
        <v>0</v>
      </c>
      <c r="AU155" s="415">
        <f t="shared" si="89"/>
        <v>0</v>
      </c>
      <c r="AV155" s="409">
        <f t="shared" si="90"/>
        <v>0</v>
      </c>
      <c r="AW155" s="409">
        <f t="shared" si="91"/>
        <v>0</v>
      </c>
      <c r="AX155" s="415">
        <f t="shared" si="92"/>
        <v>0</v>
      </c>
      <c r="AY155" s="409">
        <f t="shared" si="93"/>
        <v>0</v>
      </c>
      <c r="AZ155" s="409">
        <f t="shared" si="94"/>
        <v>0</v>
      </c>
      <c r="BA155" s="415">
        <f t="shared" si="95"/>
        <v>0</v>
      </c>
    </row>
    <row r="156" spans="26:53">
      <c r="Z156" s="145"/>
      <c r="AA156" s="408">
        <v>11</v>
      </c>
      <c r="AB156" s="409">
        <f t="shared" si="72"/>
        <v>0</v>
      </c>
      <c r="AC156" s="416"/>
      <c r="AD156" s="409">
        <f t="shared" si="73"/>
        <v>0</v>
      </c>
      <c r="AE156" s="409">
        <f t="shared" si="96"/>
        <v>0</v>
      </c>
      <c r="AF156" s="415">
        <f t="shared" si="74"/>
        <v>0</v>
      </c>
      <c r="AG156" s="409">
        <f t="shared" si="75"/>
        <v>0</v>
      </c>
      <c r="AH156" s="409">
        <f t="shared" si="76"/>
        <v>0</v>
      </c>
      <c r="AI156" s="415">
        <f t="shared" si="77"/>
        <v>0</v>
      </c>
      <c r="AJ156" s="409">
        <f t="shared" si="78"/>
        <v>0</v>
      </c>
      <c r="AK156" s="409">
        <f t="shared" si="79"/>
        <v>0</v>
      </c>
      <c r="AL156" s="415">
        <f t="shared" si="80"/>
        <v>0</v>
      </c>
      <c r="AM156" s="409">
        <f t="shared" si="81"/>
        <v>0</v>
      </c>
      <c r="AN156" s="409">
        <f t="shared" si="82"/>
        <v>0</v>
      </c>
      <c r="AO156" s="415">
        <f t="shared" si="83"/>
        <v>0</v>
      </c>
      <c r="AP156" s="409">
        <f t="shared" si="84"/>
        <v>0</v>
      </c>
      <c r="AQ156" s="409">
        <f t="shared" si="85"/>
        <v>0</v>
      </c>
      <c r="AR156" s="415">
        <f t="shared" si="86"/>
        <v>0</v>
      </c>
      <c r="AS156" s="409">
        <f t="shared" si="87"/>
        <v>0</v>
      </c>
      <c r="AT156" s="409">
        <f t="shared" si="88"/>
        <v>0</v>
      </c>
      <c r="AU156" s="415">
        <f t="shared" si="89"/>
        <v>0</v>
      </c>
      <c r="AV156" s="409">
        <f t="shared" si="90"/>
        <v>0</v>
      </c>
      <c r="AW156" s="409">
        <f t="shared" si="91"/>
        <v>0</v>
      </c>
      <c r="AX156" s="415">
        <f t="shared" si="92"/>
        <v>0</v>
      </c>
      <c r="AY156" s="409">
        <f t="shared" si="93"/>
        <v>0</v>
      </c>
      <c r="AZ156" s="409">
        <f t="shared" si="94"/>
        <v>0</v>
      </c>
      <c r="BA156" s="415">
        <f t="shared" si="95"/>
        <v>0</v>
      </c>
    </row>
    <row r="157" spans="26:53">
      <c r="Z157" s="145"/>
      <c r="AA157" s="408">
        <v>12</v>
      </c>
      <c r="AB157" s="409">
        <f t="shared" si="72"/>
        <v>0</v>
      </c>
      <c r="AC157" s="416"/>
      <c r="AD157" s="409">
        <f t="shared" si="73"/>
        <v>0</v>
      </c>
      <c r="AE157" s="409">
        <f t="shared" si="96"/>
        <v>0</v>
      </c>
      <c r="AF157" s="415">
        <f t="shared" si="74"/>
        <v>0</v>
      </c>
      <c r="AG157" s="409">
        <f t="shared" si="75"/>
        <v>0</v>
      </c>
      <c r="AH157" s="409">
        <f t="shared" si="76"/>
        <v>0</v>
      </c>
      <c r="AI157" s="415">
        <f t="shared" si="77"/>
        <v>0</v>
      </c>
      <c r="AJ157" s="409">
        <f t="shared" si="78"/>
        <v>0</v>
      </c>
      <c r="AK157" s="409">
        <f t="shared" si="79"/>
        <v>0</v>
      </c>
      <c r="AL157" s="415">
        <f t="shared" si="80"/>
        <v>0</v>
      </c>
      <c r="AM157" s="409">
        <f t="shared" si="81"/>
        <v>0</v>
      </c>
      <c r="AN157" s="409">
        <f t="shared" si="82"/>
        <v>0</v>
      </c>
      <c r="AO157" s="415">
        <f t="shared" si="83"/>
        <v>0</v>
      </c>
      <c r="AP157" s="409">
        <f t="shared" si="84"/>
        <v>0</v>
      </c>
      <c r="AQ157" s="409">
        <f t="shared" si="85"/>
        <v>0</v>
      </c>
      <c r="AR157" s="415">
        <f t="shared" si="86"/>
        <v>0</v>
      </c>
      <c r="AS157" s="409">
        <f t="shared" si="87"/>
        <v>0</v>
      </c>
      <c r="AT157" s="409">
        <f t="shared" si="88"/>
        <v>0</v>
      </c>
      <c r="AU157" s="415">
        <f t="shared" si="89"/>
        <v>0</v>
      </c>
      <c r="AV157" s="409">
        <f t="shared" si="90"/>
        <v>0</v>
      </c>
      <c r="AW157" s="409">
        <f t="shared" si="91"/>
        <v>0</v>
      </c>
      <c r="AX157" s="415">
        <f t="shared" si="92"/>
        <v>0</v>
      </c>
      <c r="AY157" s="409">
        <f t="shared" si="93"/>
        <v>0</v>
      </c>
      <c r="AZ157" s="409">
        <f t="shared" si="94"/>
        <v>0</v>
      </c>
      <c r="BA157" s="415">
        <f t="shared" si="95"/>
        <v>0</v>
      </c>
    </row>
    <row r="158" spans="26:53">
      <c r="Z158" s="145"/>
      <c r="AA158" s="408">
        <v>13</v>
      </c>
      <c r="AB158" s="409">
        <f t="shared" si="72"/>
        <v>0</v>
      </c>
      <c r="AC158" s="416"/>
      <c r="AD158" s="409">
        <f t="shared" si="73"/>
        <v>0</v>
      </c>
      <c r="AE158" s="409">
        <f t="shared" si="96"/>
        <v>0</v>
      </c>
      <c r="AF158" s="415">
        <f t="shared" si="74"/>
        <v>0</v>
      </c>
      <c r="AG158" s="409">
        <f t="shared" si="75"/>
        <v>0</v>
      </c>
      <c r="AH158" s="409">
        <f t="shared" si="76"/>
        <v>0</v>
      </c>
      <c r="AI158" s="415">
        <f t="shared" si="77"/>
        <v>0</v>
      </c>
      <c r="AJ158" s="409">
        <f t="shared" si="78"/>
        <v>0</v>
      </c>
      <c r="AK158" s="409">
        <f t="shared" si="79"/>
        <v>0</v>
      </c>
      <c r="AL158" s="415">
        <f t="shared" si="80"/>
        <v>0</v>
      </c>
      <c r="AM158" s="409">
        <f t="shared" si="81"/>
        <v>0</v>
      </c>
      <c r="AN158" s="409">
        <f t="shared" si="82"/>
        <v>0</v>
      </c>
      <c r="AO158" s="415">
        <f t="shared" si="83"/>
        <v>0</v>
      </c>
      <c r="AP158" s="409">
        <f t="shared" si="84"/>
        <v>0</v>
      </c>
      <c r="AQ158" s="409">
        <f t="shared" si="85"/>
        <v>0</v>
      </c>
      <c r="AR158" s="415">
        <f t="shared" si="86"/>
        <v>0</v>
      </c>
      <c r="AS158" s="409">
        <f t="shared" si="87"/>
        <v>0</v>
      </c>
      <c r="AT158" s="409">
        <f t="shared" si="88"/>
        <v>0</v>
      </c>
      <c r="AU158" s="415">
        <f t="shared" si="89"/>
        <v>0</v>
      </c>
      <c r="AV158" s="409">
        <f t="shared" si="90"/>
        <v>0</v>
      </c>
      <c r="AW158" s="409">
        <f t="shared" si="91"/>
        <v>0</v>
      </c>
      <c r="AX158" s="415">
        <f t="shared" si="92"/>
        <v>0</v>
      </c>
      <c r="AY158" s="409">
        <f t="shared" si="93"/>
        <v>0</v>
      </c>
      <c r="AZ158" s="409">
        <f t="shared" si="94"/>
        <v>0</v>
      </c>
      <c r="BA158" s="415">
        <f t="shared" si="95"/>
        <v>0</v>
      </c>
    </row>
    <row r="159" spans="26:53">
      <c r="Z159" s="145"/>
      <c r="AA159" s="408">
        <v>14</v>
      </c>
      <c r="AB159" s="409">
        <f t="shared" si="72"/>
        <v>0</v>
      </c>
      <c r="AC159" s="416"/>
      <c r="AD159" s="409">
        <f t="shared" si="73"/>
        <v>0</v>
      </c>
      <c r="AE159" s="409">
        <f t="shared" si="96"/>
        <v>0</v>
      </c>
      <c r="AF159" s="415">
        <f t="shared" si="74"/>
        <v>0</v>
      </c>
      <c r="AG159" s="409">
        <f t="shared" si="75"/>
        <v>0</v>
      </c>
      <c r="AH159" s="409">
        <f t="shared" si="76"/>
        <v>0</v>
      </c>
      <c r="AI159" s="415">
        <f t="shared" si="77"/>
        <v>0</v>
      </c>
      <c r="AJ159" s="409">
        <f t="shared" si="78"/>
        <v>0</v>
      </c>
      <c r="AK159" s="409">
        <f t="shared" si="79"/>
        <v>0</v>
      </c>
      <c r="AL159" s="415">
        <f t="shared" si="80"/>
        <v>0</v>
      </c>
      <c r="AM159" s="409">
        <f t="shared" si="81"/>
        <v>0</v>
      </c>
      <c r="AN159" s="409">
        <f t="shared" si="82"/>
        <v>0</v>
      </c>
      <c r="AO159" s="415">
        <f t="shared" si="83"/>
        <v>0</v>
      </c>
      <c r="AP159" s="409">
        <f t="shared" si="84"/>
        <v>0</v>
      </c>
      <c r="AQ159" s="409">
        <f t="shared" si="85"/>
        <v>0</v>
      </c>
      <c r="AR159" s="415">
        <f t="shared" si="86"/>
        <v>0</v>
      </c>
      <c r="AS159" s="409">
        <f t="shared" si="87"/>
        <v>0</v>
      </c>
      <c r="AT159" s="409">
        <f t="shared" si="88"/>
        <v>0</v>
      </c>
      <c r="AU159" s="415">
        <f t="shared" si="89"/>
        <v>0</v>
      </c>
      <c r="AV159" s="409">
        <f t="shared" si="90"/>
        <v>0</v>
      </c>
      <c r="AW159" s="409">
        <f t="shared" si="91"/>
        <v>0</v>
      </c>
      <c r="AX159" s="415">
        <f t="shared" si="92"/>
        <v>0</v>
      </c>
      <c r="AY159" s="409">
        <f t="shared" si="93"/>
        <v>0</v>
      </c>
      <c r="AZ159" s="409">
        <f t="shared" si="94"/>
        <v>0</v>
      </c>
      <c r="BA159" s="415">
        <f t="shared" si="95"/>
        <v>0</v>
      </c>
    </row>
    <row r="160" spans="26:53">
      <c r="Z160" s="145"/>
      <c r="AA160" s="408">
        <v>15</v>
      </c>
      <c r="AB160" s="409">
        <f t="shared" si="72"/>
        <v>0</v>
      </c>
      <c r="AC160" s="416"/>
      <c r="AD160" s="409">
        <f t="shared" si="73"/>
        <v>0</v>
      </c>
      <c r="AE160" s="409">
        <f t="shared" si="96"/>
        <v>0</v>
      </c>
      <c r="AF160" s="415">
        <f t="shared" si="74"/>
        <v>0</v>
      </c>
      <c r="AG160" s="409">
        <f t="shared" si="75"/>
        <v>0</v>
      </c>
      <c r="AH160" s="409">
        <f t="shared" si="76"/>
        <v>0</v>
      </c>
      <c r="AI160" s="415">
        <f t="shared" si="77"/>
        <v>0</v>
      </c>
      <c r="AJ160" s="409">
        <f t="shared" si="78"/>
        <v>0</v>
      </c>
      <c r="AK160" s="409">
        <f t="shared" si="79"/>
        <v>0</v>
      </c>
      <c r="AL160" s="415">
        <f t="shared" si="80"/>
        <v>0</v>
      </c>
      <c r="AM160" s="409">
        <f t="shared" si="81"/>
        <v>0</v>
      </c>
      <c r="AN160" s="409">
        <f t="shared" si="82"/>
        <v>0</v>
      </c>
      <c r="AO160" s="415">
        <f t="shared" si="83"/>
        <v>0</v>
      </c>
      <c r="AP160" s="409">
        <f t="shared" si="84"/>
        <v>0</v>
      </c>
      <c r="AQ160" s="409">
        <f t="shared" si="85"/>
        <v>0</v>
      </c>
      <c r="AR160" s="415">
        <f t="shared" si="86"/>
        <v>0</v>
      </c>
      <c r="AS160" s="409">
        <f t="shared" si="87"/>
        <v>0</v>
      </c>
      <c r="AT160" s="409">
        <f t="shared" si="88"/>
        <v>0</v>
      </c>
      <c r="AU160" s="415">
        <f t="shared" si="89"/>
        <v>0</v>
      </c>
      <c r="AV160" s="409">
        <f t="shared" si="90"/>
        <v>0</v>
      </c>
      <c r="AW160" s="409">
        <f t="shared" si="91"/>
        <v>0</v>
      </c>
      <c r="AX160" s="415">
        <f t="shared" si="92"/>
        <v>0</v>
      </c>
      <c r="AY160" s="409">
        <f t="shared" si="93"/>
        <v>0</v>
      </c>
      <c r="AZ160" s="409">
        <f t="shared" si="94"/>
        <v>0</v>
      </c>
      <c r="BA160" s="415">
        <f t="shared" si="95"/>
        <v>0</v>
      </c>
    </row>
    <row r="161" spans="25:101">
      <c r="Z161" s="145"/>
      <c r="AA161" s="408">
        <v>16</v>
      </c>
      <c r="AB161" s="409">
        <f t="shared" si="72"/>
        <v>0</v>
      </c>
      <c r="AC161" s="416"/>
      <c r="AD161" s="409">
        <f t="shared" si="73"/>
        <v>0</v>
      </c>
      <c r="AE161" s="409">
        <f t="shared" si="96"/>
        <v>0</v>
      </c>
      <c r="AF161" s="415">
        <f t="shared" si="74"/>
        <v>0</v>
      </c>
      <c r="AG161" s="409">
        <f t="shared" si="75"/>
        <v>0</v>
      </c>
      <c r="AH161" s="409">
        <f t="shared" si="76"/>
        <v>0</v>
      </c>
      <c r="AI161" s="415">
        <f t="shared" si="77"/>
        <v>0</v>
      </c>
      <c r="AJ161" s="409">
        <f t="shared" si="78"/>
        <v>0</v>
      </c>
      <c r="AK161" s="409">
        <f t="shared" si="79"/>
        <v>0</v>
      </c>
      <c r="AL161" s="415">
        <f t="shared" si="80"/>
        <v>0</v>
      </c>
      <c r="AM161" s="409">
        <f t="shared" si="81"/>
        <v>0</v>
      </c>
      <c r="AN161" s="409">
        <f t="shared" si="82"/>
        <v>0</v>
      </c>
      <c r="AO161" s="415">
        <f t="shared" si="83"/>
        <v>0</v>
      </c>
      <c r="AP161" s="409">
        <f t="shared" si="84"/>
        <v>0</v>
      </c>
      <c r="AQ161" s="409">
        <f t="shared" si="85"/>
        <v>0</v>
      </c>
      <c r="AR161" s="415">
        <f t="shared" si="86"/>
        <v>0</v>
      </c>
      <c r="AS161" s="409">
        <f t="shared" si="87"/>
        <v>0</v>
      </c>
      <c r="AT161" s="409">
        <f t="shared" si="88"/>
        <v>0</v>
      </c>
      <c r="AU161" s="415">
        <f t="shared" si="89"/>
        <v>0</v>
      </c>
      <c r="AV161" s="409">
        <f t="shared" si="90"/>
        <v>0</v>
      </c>
      <c r="AW161" s="409">
        <f t="shared" si="91"/>
        <v>0</v>
      </c>
      <c r="AX161" s="415">
        <f t="shared" si="92"/>
        <v>0</v>
      </c>
      <c r="AY161" s="409">
        <f t="shared" si="93"/>
        <v>0</v>
      </c>
      <c r="AZ161" s="409">
        <f t="shared" si="94"/>
        <v>0</v>
      </c>
      <c r="BA161" s="415">
        <f t="shared" si="95"/>
        <v>0</v>
      </c>
    </row>
    <row r="162" spans="25:101">
      <c r="Z162" s="145"/>
      <c r="AA162" s="408">
        <v>17</v>
      </c>
      <c r="AB162" s="409">
        <f t="shared" si="72"/>
        <v>0</v>
      </c>
      <c r="AC162" s="416"/>
      <c r="AD162" s="409">
        <f t="shared" si="73"/>
        <v>0</v>
      </c>
      <c r="AE162" s="409">
        <f t="shared" si="96"/>
        <v>0</v>
      </c>
      <c r="AF162" s="415">
        <f t="shared" si="74"/>
        <v>0</v>
      </c>
      <c r="AG162" s="409">
        <f t="shared" si="75"/>
        <v>0</v>
      </c>
      <c r="AH162" s="409">
        <f t="shared" si="76"/>
        <v>0</v>
      </c>
      <c r="AI162" s="415">
        <f t="shared" si="77"/>
        <v>0</v>
      </c>
      <c r="AJ162" s="409">
        <f t="shared" si="78"/>
        <v>0</v>
      </c>
      <c r="AK162" s="409">
        <f t="shared" si="79"/>
        <v>0</v>
      </c>
      <c r="AL162" s="415">
        <f t="shared" si="80"/>
        <v>0</v>
      </c>
      <c r="AM162" s="409">
        <f t="shared" si="81"/>
        <v>0</v>
      </c>
      <c r="AN162" s="409">
        <f t="shared" si="82"/>
        <v>0</v>
      </c>
      <c r="AO162" s="415">
        <f t="shared" si="83"/>
        <v>0</v>
      </c>
      <c r="AP162" s="409">
        <f t="shared" si="84"/>
        <v>0</v>
      </c>
      <c r="AQ162" s="409">
        <f t="shared" si="85"/>
        <v>0</v>
      </c>
      <c r="AR162" s="415">
        <f t="shared" si="86"/>
        <v>0</v>
      </c>
      <c r="AS162" s="409">
        <f t="shared" si="87"/>
        <v>0</v>
      </c>
      <c r="AT162" s="409">
        <f t="shared" si="88"/>
        <v>0</v>
      </c>
      <c r="AU162" s="415">
        <f t="shared" si="89"/>
        <v>0</v>
      </c>
      <c r="AV162" s="409">
        <f t="shared" si="90"/>
        <v>0</v>
      </c>
      <c r="AW162" s="409">
        <f t="shared" si="91"/>
        <v>0</v>
      </c>
      <c r="AX162" s="415">
        <f t="shared" si="92"/>
        <v>0</v>
      </c>
      <c r="AY162" s="409">
        <f t="shared" si="93"/>
        <v>0</v>
      </c>
      <c r="AZ162" s="409">
        <f t="shared" si="94"/>
        <v>0</v>
      </c>
      <c r="BA162" s="415">
        <f t="shared" si="95"/>
        <v>0</v>
      </c>
    </row>
    <row r="163" spans="25:101">
      <c r="Z163" s="145"/>
      <c r="AA163" s="408">
        <v>18</v>
      </c>
      <c r="AB163" s="409">
        <f t="shared" si="72"/>
        <v>0</v>
      </c>
      <c r="AC163" s="416"/>
      <c r="AD163" s="409">
        <f t="shared" si="73"/>
        <v>0</v>
      </c>
      <c r="AE163" s="409">
        <f t="shared" si="96"/>
        <v>0</v>
      </c>
      <c r="AF163" s="415">
        <f t="shared" si="74"/>
        <v>0</v>
      </c>
      <c r="AG163" s="409">
        <f t="shared" si="75"/>
        <v>0</v>
      </c>
      <c r="AH163" s="409">
        <f t="shared" si="76"/>
        <v>0</v>
      </c>
      <c r="AI163" s="415">
        <f t="shared" si="77"/>
        <v>0</v>
      </c>
      <c r="AJ163" s="409">
        <f t="shared" si="78"/>
        <v>0</v>
      </c>
      <c r="AK163" s="409">
        <f t="shared" si="79"/>
        <v>0</v>
      </c>
      <c r="AL163" s="415">
        <f t="shared" si="80"/>
        <v>0</v>
      </c>
      <c r="AM163" s="409">
        <f t="shared" si="81"/>
        <v>0</v>
      </c>
      <c r="AN163" s="409">
        <f t="shared" si="82"/>
        <v>0</v>
      </c>
      <c r="AO163" s="415">
        <f t="shared" si="83"/>
        <v>0</v>
      </c>
      <c r="AP163" s="409">
        <f t="shared" si="84"/>
        <v>0</v>
      </c>
      <c r="AQ163" s="409">
        <f t="shared" si="85"/>
        <v>0</v>
      </c>
      <c r="AR163" s="415">
        <f t="shared" si="86"/>
        <v>0</v>
      </c>
      <c r="AS163" s="409">
        <f t="shared" si="87"/>
        <v>0</v>
      </c>
      <c r="AT163" s="409">
        <f t="shared" si="88"/>
        <v>0</v>
      </c>
      <c r="AU163" s="415">
        <f t="shared" si="89"/>
        <v>0</v>
      </c>
      <c r="AV163" s="409">
        <f t="shared" si="90"/>
        <v>0</v>
      </c>
      <c r="AW163" s="409">
        <f t="shared" si="91"/>
        <v>0</v>
      </c>
      <c r="AX163" s="415">
        <f t="shared" si="92"/>
        <v>0</v>
      </c>
      <c r="AY163" s="409">
        <f t="shared" si="93"/>
        <v>0</v>
      </c>
      <c r="AZ163" s="409">
        <f t="shared" si="94"/>
        <v>0</v>
      </c>
      <c r="BA163" s="415">
        <f t="shared" si="95"/>
        <v>0</v>
      </c>
    </row>
    <row r="164" spans="25:101">
      <c r="Z164" s="145"/>
      <c r="AA164" s="408">
        <v>19</v>
      </c>
      <c r="AB164" s="409">
        <f t="shared" si="72"/>
        <v>0</v>
      </c>
      <c r="AC164" s="416"/>
      <c r="AD164" s="409">
        <f t="shared" si="73"/>
        <v>0</v>
      </c>
      <c r="AE164" s="409">
        <f t="shared" si="96"/>
        <v>0</v>
      </c>
      <c r="AF164" s="415">
        <f t="shared" si="74"/>
        <v>0</v>
      </c>
      <c r="AG164" s="409">
        <f t="shared" si="75"/>
        <v>0</v>
      </c>
      <c r="AH164" s="409">
        <f t="shared" si="76"/>
        <v>0</v>
      </c>
      <c r="AI164" s="415">
        <f t="shared" si="77"/>
        <v>0</v>
      </c>
      <c r="AJ164" s="409">
        <f t="shared" si="78"/>
        <v>0</v>
      </c>
      <c r="AK164" s="409">
        <f t="shared" si="79"/>
        <v>0</v>
      </c>
      <c r="AL164" s="415">
        <f t="shared" si="80"/>
        <v>0</v>
      </c>
      <c r="AM164" s="409">
        <f t="shared" si="81"/>
        <v>0</v>
      </c>
      <c r="AN164" s="409">
        <f t="shared" si="82"/>
        <v>0</v>
      </c>
      <c r="AO164" s="415">
        <f t="shared" si="83"/>
        <v>0</v>
      </c>
      <c r="AP164" s="409">
        <f t="shared" si="84"/>
        <v>0</v>
      </c>
      <c r="AQ164" s="409">
        <f t="shared" si="85"/>
        <v>0</v>
      </c>
      <c r="AR164" s="415">
        <f t="shared" si="86"/>
        <v>0</v>
      </c>
      <c r="AS164" s="409">
        <f t="shared" si="87"/>
        <v>0</v>
      </c>
      <c r="AT164" s="409">
        <f t="shared" si="88"/>
        <v>0</v>
      </c>
      <c r="AU164" s="415">
        <f t="shared" si="89"/>
        <v>0</v>
      </c>
      <c r="AV164" s="409">
        <f t="shared" si="90"/>
        <v>0</v>
      </c>
      <c r="AW164" s="409">
        <f t="shared" si="91"/>
        <v>0</v>
      </c>
      <c r="AX164" s="415">
        <f t="shared" si="92"/>
        <v>0</v>
      </c>
      <c r="AY164" s="409">
        <f t="shared" si="93"/>
        <v>0</v>
      </c>
      <c r="AZ164" s="409">
        <f t="shared" si="94"/>
        <v>0</v>
      </c>
      <c r="BA164" s="415">
        <f t="shared" si="95"/>
        <v>0</v>
      </c>
    </row>
    <row r="165" spans="25:101">
      <c r="Z165" s="145"/>
      <c r="AA165" s="408">
        <v>20</v>
      </c>
      <c r="AB165" s="409">
        <f t="shared" si="72"/>
        <v>0</v>
      </c>
      <c r="AC165" s="416"/>
      <c r="AD165" s="409">
        <f t="shared" si="73"/>
        <v>0</v>
      </c>
      <c r="AE165" s="409">
        <f t="shared" si="96"/>
        <v>0</v>
      </c>
      <c r="AF165" s="415">
        <f t="shared" si="74"/>
        <v>0</v>
      </c>
      <c r="AG165" s="409">
        <f t="shared" si="75"/>
        <v>0</v>
      </c>
      <c r="AH165" s="409">
        <f t="shared" si="76"/>
        <v>0</v>
      </c>
      <c r="AI165" s="415">
        <f t="shared" si="77"/>
        <v>0</v>
      </c>
      <c r="AJ165" s="409">
        <f t="shared" si="78"/>
        <v>0</v>
      </c>
      <c r="AK165" s="409">
        <f t="shared" si="79"/>
        <v>0</v>
      </c>
      <c r="AL165" s="415">
        <f t="shared" si="80"/>
        <v>0</v>
      </c>
      <c r="AM165" s="409">
        <f t="shared" si="81"/>
        <v>0</v>
      </c>
      <c r="AN165" s="409">
        <f t="shared" si="82"/>
        <v>0</v>
      </c>
      <c r="AO165" s="415">
        <f t="shared" si="83"/>
        <v>0</v>
      </c>
      <c r="AP165" s="409">
        <f t="shared" si="84"/>
        <v>0</v>
      </c>
      <c r="AQ165" s="409">
        <f t="shared" si="85"/>
        <v>0</v>
      </c>
      <c r="AR165" s="415">
        <f t="shared" si="86"/>
        <v>0</v>
      </c>
      <c r="AS165" s="409">
        <f t="shared" si="87"/>
        <v>0</v>
      </c>
      <c r="AT165" s="409">
        <f t="shared" si="88"/>
        <v>0</v>
      </c>
      <c r="AU165" s="415">
        <f t="shared" si="89"/>
        <v>0</v>
      </c>
      <c r="AV165" s="409">
        <f t="shared" si="90"/>
        <v>0</v>
      </c>
      <c r="AW165" s="409">
        <f t="shared" si="91"/>
        <v>0</v>
      </c>
      <c r="AX165" s="415">
        <f t="shared" si="92"/>
        <v>0</v>
      </c>
      <c r="AY165" s="409">
        <f t="shared" si="93"/>
        <v>0</v>
      </c>
      <c r="AZ165" s="409">
        <f t="shared" si="94"/>
        <v>0</v>
      </c>
      <c r="BA165" s="415">
        <f t="shared" si="95"/>
        <v>0</v>
      </c>
    </row>
    <row r="166" spans="25:101">
      <c r="AB166" s="409"/>
      <c r="AC166" s="418" t="s">
        <v>274</v>
      </c>
      <c r="AD166" s="417"/>
      <c r="AE166" s="417">
        <f>SUM(AE146:AE165)</f>
        <v>0</v>
      </c>
      <c r="AF166" s="418">
        <f>SUM(AF146:AF165)</f>
        <v>0</v>
      </c>
      <c r="AG166" s="417"/>
      <c r="AH166" s="417">
        <f>SUM(AH146:AH165)</f>
        <v>0</v>
      </c>
      <c r="AI166" s="418">
        <f>SUM(AI146:AI165)</f>
        <v>0</v>
      </c>
      <c r="AJ166" s="417"/>
      <c r="AK166" s="417">
        <f>SUM(AK146:AK165)</f>
        <v>0</v>
      </c>
      <c r="AL166" s="418">
        <f>SUM(AL146:AL165)</f>
        <v>0</v>
      </c>
      <c r="AM166" s="417"/>
      <c r="AN166" s="417">
        <f>SUM(AN146:AN165)</f>
        <v>0</v>
      </c>
      <c r="AO166" s="418">
        <f>SUM(AO146:AO165)</f>
        <v>0</v>
      </c>
      <c r="AP166" s="417"/>
      <c r="AQ166" s="417">
        <f>SUM(AQ146:AQ165)</f>
        <v>0</v>
      </c>
      <c r="AR166" s="418">
        <f>SUM(AR146:AR165)</f>
        <v>0</v>
      </c>
      <c r="AS166" s="417"/>
      <c r="AT166" s="417">
        <f>SUM(AT146:AT165)</f>
        <v>0</v>
      </c>
      <c r="AU166" s="418">
        <f>SUM(AU146:AU165)</f>
        <v>0</v>
      </c>
      <c r="AV166" s="417"/>
      <c r="AW166" s="417">
        <f>SUM(AW146:AW165)</f>
        <v>0</v>
      </c>
      <c r="AX166" s="418">
        <f>SUM(AX146:AX165)</f>
        <v>0</v>
      </c>
      <c r="AY166" s="417"/>
      <c r="AZ166" s="417">
        <f>SUM(AZ146:AZ165)</f>
        <v>0</v>
      </c>
      <c r="BA166" s="418">
        <f>SUM(BA146:BA165)</f>
        <v>0</v>
      </c>
    </row>
    <row r="167" spans="25:101">
      <c r="AD167" s="409"/>
    </row>
    <row r="169" spans="25:101">
      <c r="Y169" s="71" t="s">
        <v>315</v>
      </c>
    </row>
    <row r="170" spans="25:101">
      <c r="AA170" s="408">
        <v>1</v>
      </c>
      <c r="AD170" s="409">
        <f>IF(AND(AD$3&gt;=$AC$78,AD$3&lt;($AC$78+$Z$78)),IPMT($Y$78/12,AD$3-$AC$78+1,$Z$78,-$AB$78),0)</f>
        <v>0</v>
      </c>
      <c r="AE170" s="409">
        <f t="shared" ref="AE170:CP170" si="97">IF(AND(AE$3&gt;=$AC$78,AE$3&lt;($AC$78+$Z$78)),IPMT($Y$78/12,AE$3-$AC$78+1,$Z$78,-$AB$78),0)</f>
        <v>0</v>
      </c>
      <c r="AF170" s="409">
        <f t="shared" si="97"/>
        <v>0</v>
      </c>
      <c r="AG170" s="409">
        <f t="shared" si="97"/>
        <v>0</v>
      </c>
      <c r="AH170" s="409">
        <f t="shared" si="97"/>
        <v>0</v>
      </c>
      <c r="AI170" s="409">
        <f t="shared" si="97"/>
        <v>0</v>
      </c>
      <c r="AJ170" s="409">
        <f t="shared" si="97"/>
        <v>0</v>
      </c>
      <c r="AK170" s="409">
        <f t="shared" si="97"/>
        <v>0</v>
      </c>
      <c r="AL170" s="409">
        <f t="shared" si="97"/>
        <v>0</v>
      </c>
      <c r="AM170" s="409">
        <f t="shared" si="97"/>
        <v>0</v>
      </c>
      <c r="AN170" s="409">
        <f t="shared" si="97"/>
        <v>0</v>
      </c>
      <c r="AO170" s="409">
        <f t="shared" si="97"/>
        <v>0</v>
      </c>
      <c r="AP170" s="409">
        <f t="shared" si="97"/>
        <v>0</v>
      </c>
      <c r="AQ170" s="409">
        <f t="shared" si="97"/>
        <v>0</v>
      </c>
      <c r="AR170" s="409">
        <f t="shared" si="97"/>
        <v>0</v>
      </c>
      <c r="AS170" s="409">
        <f t="shared" si="97"/>
        <v>0</v>
      </c>
      <c r="AT170" s="409">
        <f t="shared" si="97"/>
        <v>0</v>
      </c>
      <c r="AU170" s="409">
        <f t="shared" si="97"/>
        <v>0</v>
      </c>
      <c r="AV170" s="409">
        <f t="shared" si="97"/>
        <v>0</v>
      </c>
      <c r="AW170" s="409">
        <f t="shared" si="97"/>
        <v>0</v>
      </c>
      <c r="AX170" s="409">
        <f t="shared" si="97"/>
        <v>0</v>
      </c>
      <c r="AY170" s="409">
        <f t="shared" si="97"/>
        <v>0</v>
      </c>
      <c r="AZ170" s="409">
        <f t="shared" si="97"/>
        <v>0</v>
      </c>
      <c r="BA170" s="409">
        <f t="shared" si="97"/>
        <v>0</v>
      </c>
      <c r="BB170" s="409">
        <f t="shared" si="97"/>
        <v>0</v>
      </c>
      <c r="BC170" s="409">
        <f t="shared" si="97"/>
        <v>0</v>
      </c>
      <c r="BD170" s="409">
        <f t="shared" si="97"/>
        <v>0</v>
      </c>
      <c r="BE170" s="409">
        <f t="shared" si="97"/>
        <v>0</v>
      </c>
      <c r="BF170" s="409">
        <f t="shared" si="97"/>
        <v>0</v>
      </c>
      <c r="BG170" s="409">
        <f t="shared" si="97"/>
        <v>0</v>
      </c>
      <c r="BH170" s="409">
        <f t="shared" si="97"/>
        <v>0</v>
      </c>
      <c r="BI170" s="409">
        <f t="shared" si="97"/>
        <v>0</v>
      </c>
      <c r="BJ170" s="409">
        <f t="shared" si="97"/>
        <v>0</v>
      </c>
      <c r="BK170" s="409">
        <f t="shared" si="97"/>
        <v>0</v>
      </c>
      <c r="BL170" s="409">
        <f t="shared" si="97"/>
        <v>0</v>
      </c>
      <c r="BM170" s="409">
        <f t="shared" si="97"/>
        <v>0</v>
      </c>
      <c r="BN170" s="409">
        <f t="shared" si="97"/>
        <v>0</v>
      </c>
      <c r="BO170" s="409">
        <f t="shared" si="97"/>
        <v>0</v>
      </c>
      <c r="BP170" s="409">
        <f t="shared" si="97"/>
        <v>0</v>
      </c>
      <c r="BQ170" s="409">
        <f t="shared" si="97"/>
        <v>0</v>
      </c>
      <c r="BR170" s="409">
        <f t="shared" si="97"/>
        <v>0</v>
      </c>
      <c r="BS170" s="409">
        <f t="shared" si="97"/>
        <v>0</v>
      </c>
      <c r="BT170" s="409">
        <f t="shared" si="97"/>
        <v>0</v>
      </c>
      <c r="BU170" s="409">
        <f t="shared" si="97"/>
        <v>0</v>
      </c>
      <c r="BV170" s="409">
        <f t="shared" si="97"/>
        <v>0</v>
      </c>
      <c r="BW170" s="409">
        <f t="shared" si="97"/>
        <v>0</v>
      </c>
      <c r="BX170" s="409">
        <f t="shared" si="97"/>
        <v>0</v>
      </c>
      <c r="BY170" s="409">
        <f t="shared" si="97"/>
        <v>0</v>
      </c>
      <c r="BZ170" s="409">
        <f t="shared" si="97"/>
        <v>0</v>
      </c>
      <c r="CA170" s="409">
        <f t="shared" si="97"/>
        <v>0</v>
      </c>
      <c r="CB170" s="409">
        <f t="shared" si="97"/>
        <v>0</v>
      </c>
      <c r="CC170" s="409">
        <f t="shared" si="97"/>
        <v>0</v>
      </c>
      <c r="CD170" s="409">
        <f t="shared" si="97"/>
        <v>0</v>
      </c>
      <c r="CE170" s="409">
        <f t="shared" si="97"/>
        <v>0</v>
      </c>
      <c r="CF170" s="409">
        <f t="shared" si="97"/>
        <v>0</v>
      </c>
      <c r="CG170" s="409">
        <f t="shared" si="97"/>
        <v>0</v>
      </c>
      <c r="CH170" s="409">
        <f t="shared" si="97"/>
        <v>0</v>
      </c>
      <c r="CI170" s="409">
        <f t="shared" si="97"/>
        <v>0</v>
      </c>
      <c r="CJ170" s="409">
        <f t="shared" si="97"/>
        <v>0</v>
      </c>
      <c r="CK170" s="409">
        <f t="shared" si="97"/>
        <v>0</v>
      </c>
      <c r="CL170" s="409">
        <f t="shared" si="97"/>
        <v>0</v>
      </c>
      <c r="CM170" s="409">
        <f t="shared" si="97"/>
        <v>0</v>
      </c>
      <c r="CN170" s="409">
        <f t="shared" si="97"/>
        <v>0</v>
      </c>
      <c r="CO170" s="409">
        <f t="shared" si="97"/>
        <v>0</v>
      </c>
      <c r="CP170" s="409">
        <f t="shared" si="97"/>
        <v>0</v>
      </c>
      <c r="CQ170" s="409">
        <f t="shared" ref="CQ170:CW170" si="98">IF(AND(CQ$3&gt;=$AC$78,CQ$3&lt;($AC$78+$Z$78)),IPMT($Y$78/12,CQ$3-$AC$78+1,$Z$78,-$AB$78),0)</f>
        <v>0</v>
      </c>
      <c r="CR170" s="409">
        <f t="shared" si="98"/>
        <v>0</v>
      </c>
      <c r="CS170" s="409">
        <f t="shared" si="98"/>
        <v>0</v>
      </c>
      <c r="CT170" s="409">
        <f t="shared" si="98"/>
        <v>0</v>
      </c>
      <c r="CU170" s="409">
        <f t="shared" si="98"/>
        <v>0</v>
      </c>
      <c r="CV170" s="409">
        <f t="shared" si="98"/>
        <v>0</v>
      </c>
      <c r="CW170" s="409">
        <f t="shared" si="98"/>
        <v>0</v>
      </c>
    </row>
    <row r="171" spans="25:101">
      <c r="AA171" s="408">
        <v>2</v>
      </c>
      <c r="AD171" s="409">
        <f>IF(AND(AD$3&gt;=$AC$79,AD$3&lt;($AC$79+$Z$79)),IPMT($Y$79/12,AD$3-$AC$79+1,$Z$79,-$AB$79),0)</f>
        <v>0</v>
      </c>
      <c r="AE171" s="409">
        <f t="shared" ref="AE171:CP171" si="99">IF(AND(AE$3&gt;=$AC$79,AE$3&lt;($AC$79+$Z$79)),IPMT($Y$79/12,AE$3-$AC$79+1,$Z$79,-$AB$79),0)</f>
        <v>0</v>
      </c>
      <c r="AF171" s="409">
        <f t="shared" si="99"/>
        <v>0</v>
      </c>
      <c r="AG171" s="409">
        <f t="shared" si="99"/>
        <v>0</v>
      </c>
      <c r="AH171" s="409">
        <f t="shared" si="99"/>
        <v>0</v>
      </c>
      <c r="AI171" s="409">
        <f t="shared" si="99"/>
        <v>0</v>
      </c>
      <c r="AJ171" s="409">
        <f t="shared" si="99"/>
        <v>0</v>
      </c>
      <c r="AK171" s="409">
        <f t="shared" si="99"/>
        <v>0</v>
      </c>
      <c r="AL171" s="409">
        <f t="shared" si="99"/>
        <v>0</v>
      </c>
      <c r="AM171" s="409">
        <f t="shared" si="99"/>
        <v>0</v>
      </c>
      <c r="AN171" s="409">
        <f t="shared" si="99"/>
        <v>0</v>
      </c>
      <c r="AO171" s="409">
        <f t="shared" si="99"/>
        <v>0</v>
      </c>
      <c r="AP171" s="409">
        <f t="shared" si="99"/>
        <v>0</v>
      </c>
      <c r="AQ171" s="409">
        <f t="shared" si="99"/>
        <v>0</v>
      </c>
      <c r="AR171" s="409">
        <f t="shared" si="99"/>
        <v>0</v>
      </c>
      <c r="AS171" s="409">
        <f t="shared" si="99"/>
        <v>0</v>
      </c>
      <c r="AT171" s="409">
        <f t="shared" si="99"/>
        <v>0</v>
      </c>
      <c r="AU171" s="409">
        <f t="shared" si="99"/>
        <v>0</v>
      </c>
      <c r="AV171" s="409">
        <f t="shared" si="99"/>
        <v>0</v>
      </c>
      <c r="AW171" s="409">
        <f t="shared" si="99"/>
        <v>0</v>
      </c>
      <c r="AX171" s="409">
        <f t="shared" si="99"/>
        <v>0</v>
      </c>
      <c r="AY171" s="409">
        <f t="shared" si="99"/>
        <v>0</v>
      </c>
      <c r="AZ171" s="409">
        <f t="shared" si="99"/>
        <v>0</v>
      </c>
      <c r="BA171" s="409">
        <f t="shared" si="99"/>
        <v>0</v>
      </c>
      <c r="BB171" s="409">
        <f t="shared" si="99"/>
        <v>0</v>
      </c>
      <c r="BC171" s="409">
        <f t="shared" si="99"/>
        <v>0</v>
      </c>
      <c r="BD171" s="409">
        <f t="shared" si="99"/>
        <v>0</v>
      </c>
      <c r="BE171" s="409">
        <f t="shared" si="99"/>
        <v>0</v>
      </c>
      <c r="BF171" s="409">
        <f t="shared" si="99"/>
        <v>0</v>
      </c>
      <c r="BG171" s="409">
        <f t="shared" si="99"/>
        <v>0</v>
      </c>
      <c r="BH171" s="409">
        <f t="shared" si="99"/>
        <v>0</v>
      </c>
      <c r="BI171" s="409">
        <f t="shared" si="99"/>
        <v>0</v>
      </c>
      <c r="BJ171" s="409">
        <f t="shared" si="99"/>
        <v>0</v>
      </c>
      <c r="BK171" s="409">
        <f t="shared" si="99"/>
        <v>0</v>
      </c>
      <c r="BL171" s="409">
        <f t="shared" si="99"/>
        <v>0</v>
      </c>
      <c r="BM171" s="409">
        <f t="shared" si="99"/>
        <v>0</v>
      </c>
      <c r="BN171" s="409">
        <f t="shared" si="99"/>
        <v>0</v>
      </c>
      <c r="BO171" s="409">
        <f t="shared" si="99"/>
        <v>0</v>
      </c>
      <c r="BP171" s="409">
        <f t="shared" si="99"/>
        <v>0</v>
      </c>
      <c r="BQ171" s="409">
        <f t="shared" si="99"/>
        <v>0</v>
      </c>
      <c r="BR171" s="409">
        <f t="shared" si="99"/>
        <v>0</v>
      </c>
      <c r="BS171" s="409">
        <f t="shared" si="99"/>
        <v>0</v>
      </c>
      <c r="BT171" s="409">
        <f t="shared" si="99"/>
        <v>0</v>
      </c>
      <c r="BU171" s="409">
        <f t="shared" si="99"/>
        <v>0</v>
      </c>
      <c r="BV171" s="409">
        <f t="shared" si="99"/>
        <v>0</v>
      </c>
      <c r="BW171" s="409">
        <f t="shared" si="99"/>
        <v>0</v>
      </c>
      <c r="BX171" s="409">
        <f t="shared" si="99"/>
        <v>0</v>
      </c>
      <c r="BY171" s="409">
        <f t="shared" si="99"/>
        <v>0</v>
      </c>
      <c r="BZ171" s="409">
        <f t="shared" si="99"/>
        <v>0</v>
      </c>
      <c r="CA171" s="409">
        <f t="shared" si="99"/>
        <v>0</v>
      </c>
      <c r="CB171" s="409">
        <f t="shared" si="99"/>
        <v>0</v>
      </c>
      <c r="CC171" s="409">
        <f t="shared" si="99"/>
        <v>0</v>
      </c>
      <c r="CD171" s="409">
        <f t="shared" si="99"/>
        <v>0</v>
      </c>
      <c r="CE171" s="409">
        <f t="shared" si="99"/>
        <v>0</v>
      </c>
      <c r="CF171" s="409">
        <f t="shared" si="99"/>
        <v>0</v>
      </c>
      <c r="CG171" s="409">
        <f t="shared" si="99"/>
        <v>0</v>
      </c>
      <c r="CH171" s="409">
        <f t="shared" si="99"/>
        <v>0</v>
      </c>
      <c r="CI171" s="409">
        <f t="shared" si="99"/>
        <v>0</v>
      </c>
      <c r="CJ171" s="409">
        <f t="shared" si="99"/>
        <v>0</v>
      </c>
      <c r="CK171" s="409">
        <f t="shared" si="99"/>
        <v>0</v>
      </c>
      <c r="CL171" s="409">
        <f t="shared" si="99"/>
        <v>0</v>
      </c>
      <c r="CM171" s="409">
        <f t="shared" si="99"/>
        <v>0</v>
      </c>
      <c r="CN171" s="409">
        <f t="shared" si="99"/>
        <v>0</v>
      </c>
      <c r="CO171" s="409">
        <f t="shared" si="99"/>
        <v>0</v>
      </c>
      <c r="CP171" s="409">
        <f t="shared" si="99"/>
        <v>0</v>
      </c>
      <c r="CQ171" s="409">
        <f t="shared" ref="CQ171:CW171" si="100">IF(AND(CQ$3&gt;=$AC$79,CQ$3&lt;($AC$79+$Z$79)),IPMT($Y$79/12,CQ$3-$AC$79+1,$Z$79,-$AB$79),0)</f>
        <v>0</v>
      </c>
      <c r="CR171" s="409">
        <f t="shared" si="100"/>
        <v>0</v>
      </c>
      <c r="CS171" s="409">
        <f t="shared" si="100"/>
        <v>0</v>
      </c>
      <c r="CT171" s="409">
        <f t="shared" si="100"/>
        <v>0</v>
      </c>
      <c r="CU171" s="409">
        <f t="shared" si="100"/>
        <v>0</v>
      </c>
      <c r="CV171" s="409">
        <f t="shared" si="100"/>
        <v>0</v>
      </c>
      <c r="CW171" s="409">
        <f t="shared" si="100"/>
        <v>0</v>
      </c>
    </row>
    <row r="172" spans="25:101">
      <c r="AA172" s="408">
        <v>3</v>
      </c>
      <c r="AD172" s="409">
        <f>IF(AND(AD$3&gt;=$AC80,AD$3&lt;($AC80+$Z80)),IPMT($Y80/12,AD$3-$AC80+1,$Z80,-$AB80),0)</f>
        <v>0</v>
      </c>
      <c r="AE172" s="409">
        <f t="shared" ref="AE172:CP176" si="101">IF(AND(AE$3&gt;=$AC80,AE$3&lt;($AC80+$Z80)),IPMT($Y80/12,AE$3-$AC80+1,$Z80,-$AB80),0)</f>
        <v>0</v>
      </c>
      <c r="AF172" s="409">
        <f t="shared" si="101"/>
        <v>0</v>
      </c>
      <c r="AG172" s="409">
        <f t="shared" si="101"/>
        <v>0</v>
      </c>
      <c r="AH172" s="409">
        <f t="shared" si="101"/>
        <v>0</v>
      </c>
      <c r="AI172" s="409">
        <f t="shared" si="101"/>
        <v>0</v>
      </c>
      <c r="AJ172" s="409">
        <f t="shared" si="101"/>
        <v>0</v>
      </c>
      <c r="AK172" s="409">
        <f t="shared" si="101"/>
        <v>0</v>
      </c>
      <c r="AL172" s="409">
        <f t="shared" si="101"/>
        <v>0</v>
      </c>
      <c r="AM172" s="409">
        <f t="shared" si="101"/>
        <v>0</v>
      </c>
      <c r="AN172" s="409">
        <f t="shared" si="101"/>
        <v>0</v>
      </c>
      <c r="AO172" s="409">
        <f t="shared" si="101"/>
        <v>0</v>
      </c>
      <c r="AP172" s="409">
        <f t="shared" si="101"/>
        <v>0</v>
      </c>
      <c r="AQ172" s="409">
        <f t="shared" si="101"/>
        <v>0</v>
      </c>
      <c r="AR172" s="409">
        <f t="shared" si="101"/>
        <v>0</v>
      </c>
      <c r="AS172" s="409">
        <f t="shared" si="101"/>
        <v>0</v>
      </c>
      <c r="AT172" s="409">
        <f t="shared" si="101"/>
        <v>0</v>
      </c>
      <c r="AU172" s="409">
        <f t="shared" si="101"/>
        <v>0</v>
      </c>
      <c r="AV172" s="409">
        <f t="shared" si="101"/>
        <v>0</v>
      </c>
      <c r="AW172" s="409">
        <f t="shared" si="101"/>
        <v>0</v>
      </c>
      <c r="AX172" s="409">
        <f t="shared" si="101"/>
        <v>0</v>
      </c>
      <c r="AY172" s="409">
        <f t="shared" si="101"/>
        <v>0</v>
      </c>
      <c r="AZ172" s="409">
        <f t="shared" si="101"/>
        <v>0</v>
      </c>
      <c r="BA172" s="409">
        <f t="shared" si="101"/>
        <v>0</v>
      </c>
      <c r="BB172" s="409">
        <f t="shared" si="101"/>
        <v>0</v>
      </c>
      <c r="BC172" s="409">
        <f t="shared" si="101"/>
        <v>0</v>
      </c>
      <c r="BD172" s="409">
        <f t="shared" si="101"/>
        <v>0</v>
      </c>
      <c r="BE172" s="409">
        <f t="shared" si="101"/>
        <v>0</v>
      </c>
      <c r="BF172" s="409">
        <f t="shared" si="101"/>
        <v>0</v>
      </c>
      <c r="BG172" s="409">
        <f t="shared" si="101"/>
        <v>0</v>
      </c>
      <c r="BH172" s="409">
        <f t="shared" si="101"/>
        <v>0</v>
      </c>
      <c r="BI172" s="409">
        <f t="shared" si="101"/>
        <v>0</v>
      </c>
      <c r="BJ172" s="409">
        <f t="shared" si="101"/>
        <v>0</v>
      </c>
      <c r="BK172" s="409">
        <f t="shared" si="101"/>
        <v>0</v>
      </c>
      <c r="BL172" s="409">
        <f t="shared" si="101"/>
        <v>0</v>
      </c>
      <c r="BM172" s="409">
        <f t="shared" si="101"/>
        <v>0</v>
      </c>
      <c r="BN172" s="409">
        <f t="shared" si="101"/>
        <v>0</v>
      </c>
      <c r="BO172" s="409">
        <f t="shared" si="101"/>
        <v>0</v>
      </c>
      <c r="BP172" s="409">
        <f t="shared" si="101"/>
        <v>0</v>
      </c>
      <c r="BQ172" s="409">
        <f t="shared" si="101"/>
        <v>0</v>
      </c>
      <c r="BR172" s="409">
        <f t="shared" si="101"/>
        <v>0</v>
      </c>
      <c r="BS172" s="409">
        <f t="shared" si="101"/>
        <v>0</v>
      </c>
      <c r="BT172" s="409">
        <f t="shared" si="101"/>
        <v>0</v>
      </c>
      <c r="BU172" s="409">
        <f t="shared" si="101"/>
        <v>0</v>
      </c>
      <c r="BV172" s="409">
        <f t="shared" si="101"/>
        <v>0</v>
      </c>
      <c r="BW172" s="409">
        <f t="shared" si="101"/>
        <v>0</v>
      </c>
      <c r="BX172" s="409">
        <f t="shared" si="101"/>
        <v>0</v>
      </c>
      <c r="BY172" s="409">
        <f t="shared" si="101"/>
        <v>0</v>
      </c>
      <c r="BZ172" s="409">
        <f t="shared" si="101"/>
        <v>0</v>
      </c>
      <c r="CA172" s="409">
        <f t="shared" si="101"/>
        <v>0</v>
      </c>
      <c r="CB172" s="409">
        <f t="shared" si="101"/>
        <v>0</v>
      </c>
      <c r="CC172" s="409">
        <f t="shared" si="101"/>
        <v>0</v>
      </c>
      <c r="CD172" s="409">
        <f t="shared" si="101"/>
        <v>0</v>
      </c>
      <c r="CE172" s="409">
        <f t="shared" si="101"/>
        <v>0</v>
      </c>
      <c r="CF172" s="409">
        <f t="shared" si="101"/>
        <v>0</v>
      </c>
      <c r="CG172" s="409">
        <f t="shared" si="101"/>
        <v>0</v>
      </c>
      <c r="CH172" s="409">
        <f t="shared" si="101"/>
        <v>0</v>
      </c>
      <c r="CI172" s="409">
        <f t="shared" si="101"/>
        <v>0</v>
      </c>
      <c r="CJ172" s="409">
        <f t="shared" si="101"/>
        <v>0</v>
      </c>
      <c r="CK172" s="409">
        <f t="shared" si="101"/>
        <v>0</v>
      </c>
      <c r="CL172" s="409">
        <f t="shared" si="101"/>
        <v>0</v>
      </c>
      <c r="CM172" s="409">
        <f t="shared" si="101"/>
        <v>0</v>
      </c>
      <c r="CN172" s="409">
        <f t="shared" si="101"/>
        <v>0</v>
      </c>
      <c r="CO172" s="409">
        <f t="shared" si="101"/>
        <v>0</v>
      </c>
      <c r="CP172" s="409">
        <f t="shared" si="101"/>
        <v>0</v>
      </c>
      <c r="CQ172" s="409">
        <f t="shared" ref="CQ172:CW175" si="102">IF(AND(CQ$3&gt;=$AC80,CQ$3&lt;($AC80+$Z80)),IPMT($Y80/12,CQ$3-$AC80+1,$Z80,-$AB80),0)</f>
        <v>0</v>
      </c>
      <c r="CR172" s="409">
        <f t="shared" si="102"/>
        <v>0</v>
      </c>
      <c r="CS172" s="409">
        <f t="shared" si="102"/>
        <v>0</v>
      </c>
      <c r="CT172" s="409">
        <f t="shared" si="102"/>
        <v>0</v>
      </c>
      <c r="CU172" s="409">
        <f t="shared" si="102"/>
        <v>0</v>
      </c>
      <c r="CV172" s="409">
        <f t="shared" si="102"/>
        <v>0</v>
      </c>
      <c r="CW172" s="409">
        <f t="shared" si="102"/>
        <v>0</v>
      </c>
    </row>
    <row r="173" spans="25:101">
      <c r="AA173" s="408">
        <v>4</v>
      </c>
      <c r="AD173" s="409">
        <f t="shared" ref="AD173:AS189" si="103">IF(AND(AD$3&gt;=$AC81,AD$3&lt;($AC81+$Z81)),IPMT($Y81/12,AD$3-$AC81+1,$Z81,-$AB81),0)</f>
        <v>0</v>
      </c>
      <c r="AE173" s="409">
        <f t="shared" si="103"/>
        <v>0</v>
      </c>
      <c r="AF173" s="409">
        <f t="shared" si="103"/>
        <v>0</v>
      </c>
      <c r="AG173" s="409">
        <f t="shared" si="103"/>
        <v>0</v>
      </c>
      <c r="AH173" s="409">
        <f t="shared" si="103"/>
        <v>0</v>
      </c>
      <c r="AI173" s="409">
        <f t="shared" si="103"/>
        <v>0</v>
      </c>
      <c r="AJ173" s="409">
        <f t="shared" si="103"/>
        <v>0</v>
      </c>
      <c r="AK173" s="409">
        <f t="shared" si="103"/>
        <v>0</v>
      </c>
      <c r="AL173" s="409">
        <f t="shared" si="103"/>
        <v>0</v>
      </c>
      <c r="AM173" s="409">
        <f t="shared" si="103"/>
        <v>0</v>
      </c>
      <c r="AN173" s="409">
        <f t="shared" si="103"/>
        <v>0</v>
      </c>
      <c r="AO173" s="409">
        <f t="shared" si="103"/>
        <v>0</v>
      </c>
      <c r="AP173" s="409">
        <f t="shared" si="103"/>
        <v>0</v>
      </c>
      <c r="AQ173" s="409">
        <f t="shared" si="103"/>
        <v>0</v>
      </c>
      <c r="AR173" s="409">
        <f t="shared" si="103"/>
        <v>0</v>
      </c>
      <c r="AS173" s="409">
        <f t="shared" si="103"/>
        <v>0</v>
      </c>
      <c r="AT173" s="409">
        <f t="shared" si="101"/>
        <v>0</v>
      </c>
      <c r="AU173" s="409">
        <f t="shared" si="101"/>
        <v>0</v>
      </c>
      <c r="AV173" s="409">
        <f t="shared" si="101"/>
        <v>0</v>
      </c>
      <c r="AW173" s="409">
        <f t="shared" si="101"/>
        <v>0</v>
      </c>
      <c r="AX173" s="409">
        <f t="shared" si="101"/>
        <v>0</v>
      </c>
      <c r="AY173" s="409">
        <f t="shared" si="101"/>
        <v>0</v>
      </c>
      <c r="AZ173" s="409">
        <f t="shared" si="101"/>
        <v>0</v>
      </c>
      <c r="BA173" s="409">
        <f t="shared" si="101"/>
        <v>0</v>
      </c>
      <c r="BB173" s="409">
        <f t="shared" si="101"/>
        <v>0</v>
      </c>
      <c r="BC173" s="409">
        <f t="shared" si="101"/>
        <v>0</v>
      </c>
      <c r="BD173" s="409">
        <f t="shared" si="101"/>
        <v>0</v>
      </c>
      <c r="BE173" s="409">
        <f t="shared" si="101"/>
        <v>0</v>
      </c>
      <c r="BF173" s="409">
        <f t="shared" si="101"/>
        <v>0</v>
      </c>
      <c r="BG173" s="409">
        <f t="shared" si="101"/>
        <v>0</v>
      </c>
      <c r="BH173" s="409">
        <f t="shared" si="101"/>
        <v>0</v>
      </c>
      <c r="BI173" s="409">
        <f t="shared" si="101"/>
        <v>0</v>
      </c>
      <c r="BJ173" s="409">
        <f t="shared" si="101"/>
        <v>0</v>
      </c>
      <c r="BK173" s="409">
        <f t="shared" si="101"/>
        <v>0</v>
      </c>
      <c r="BL173" s="409">
        <f t="shared" si="101"/>
        <v>0</v>
      </c>
      <c r="BM173" s="409">
        <f t="shared" si="101"/>
        <v>0</v>
      </c>
      <c r="BN173" s="409">
        <f t="shared" si="101"/>
        <v>0</v>
      </c>
      <c r="BO173" s="409">
        <f t="shared" si="101"/>
        <v>0</v>
      </c>
      <c r="BP173" s="409">
        <f t="shared" si="101"/>
        <v>0</v>
      </c>
      <c r="BQ173" s="409">
        <f t="shared" si="101"/>
        <v>0</v>
      </c>
      <c r="BR173" s="409">
        <f t="shared" si="101"/>
        <v>0</v>
      </c>
      <c r="BS173" s="409">
        <f t="shared" si="101"/>
        <v>0</v>
      </c>
      <c r="BT173" s="409">
        <f t="shared" si="101"/>
        <v>0</v>
      </c>
      <c r="BU173" s="409">
        <f t="shared" si="101"/>
        <v>0</v>
      </c>
      <c r="BV173" s="409">
        <f t="shared" si="101"/>
        <v>0</v>
      </c>
      <c r="BW173" s="409">
        <f t="shared" si="101"/>
        <v>0</v>
      </c>
      <c r="BX173" s="409">
        <f t="shared" si="101"/>
        <v>0</v>
      </c>
      <c r="BY173" s="409">
        <f t="shared" si="101"/>
        <v>0</v>
      </c>
      <c r="BZ173" s="409">
        <f t="shared" si="101"/>
        <v>0</v>
      </c>
      <c r="CA173" s="409">
        <f t="shared" si="101"/>
        <v>0</v>
      </c>
      <c r="CB173" s="409">
        <f t="shared" si="101"/>
        <v>0</v>
      </c>
      <c r="CC173" s="409">
        <f t="shared" si="101"/>
        <v>0</v>
      </c>
      <c r="CD173" s="409">
        <f t="shared" si="101"/>
        <v>0</v>
      </c>
      <c r="CE173" s="409">
        <f t="shared" si="101"/>
        <v>0</v>
      </c>
      <c r="CF173" s="409">
        <f t="shared" si="101"/>
        <v>0</v>
      </c>
      <c r="CG173" s="409">
        <f t="shared" si="101"/>
        <v>0</v>
      </c>
      <c r="CH173" s="409">
        <f t="shared" si="101"/>
        <v>0</v>
      </c>
      <c r="CI173" s="409">
        <f t="shared" si="101"/>
        <v>0</v>
      </c>
      <c r="CJ173" s="409">
        <f t="shared" si="101"/>
        <v>0</v>
      </c>
      <c r="CK173" s="409">
        <f t="shared" si="101"/>
        <v>0</v>
      </c>
      <c r="CL173" s="409">
        <f t="shared" si="101"/>
        <v>0</v>
      </c>
      <c r="CM173" s="409">
        <f t="shared" si="101"/>
        <v>0</v>
      </c>
      <c r="CN173" s="409">
        <f t="shared" si="101"/>
        <v>0</v>
      </c>
      <c r="CO173" s="409">
        <f t="shared" si="101"/>
        <v>0</v>
      </c>
      <c r="CP173" s="409">
        <f t="shared" si="101"/>
        <v>0</v>
      </c>
      <c r="CQ173" s="409">
        <f t="shared" si="102"/>
        <v>0</v>
      </c>
      <c r="CR173" s="409">
        <f t="shared" si="102"/>
        <v>0</v>
      </c>
      <c r="CS173" s="409">
        <f t="shared" si="102"/>
        <v>0</v>
      </c>
      <c r="CT173" s="409">
        <f t="shared" si="102"/>
        <v>0</v>
      </c>
      <c r="CU173" s="409">
        <f t="shared" si="102"/>
        <v>0</v>
      </c>
      <c r="CV173" s="409">
        <f t="shared" si="102"/>
        <v>0</v>
      </c>
      <c r="CW173" s="409">
        <f t="shared" si="102"/>
        <v>0</v>
      </c>
    </row>
    <row r="174" spans="25:101">
      <c r="AA174" s="408">
        <v>5</v>
      </c>
      <c r="AD174" s="409">
        <f t="shared" si="103"/>
        <v>0</v>
      </c>
      <c r="AE174" s="409">
        <f t="shared" si="103"/>
        <v>0</v>
      </c>
      <c r="AF174" s="409">
        <f t="shared" si="103"/>
        <v>0</v>
      </c>
      <c r="AG174" s="409">
        <f t="shared" si="103"/>
        <v>0</v>
      </c>
      <c r="AH174" s="409">
        <f t="shared" si="103"/>
        <v>0</v>
      </c>
      <c r="AI174" s="409">
        <f t="shared" si="103"/>
        <v>0</v>
      </c>
      <c r="AJ174" s="409">
        <f t="shared" si="103"/>
        <v>0</v>
      </c>
      <c r="AK174" s="409">
        <f t="shared" si="103"/>
        <v>0</v>
      </c>
      <c r="AL174" s="409">
        <f t="shared" si="103"/>
        <v>0</v>
      </c>
      <c r="AM174" s="409">
        <f t="shared" si="103"/>
        <v>0</v>
      </c>
      <c r="AN174" s="409">
        <f t="shared" si="103"/>
        <v>0</v>
      </c>
      <c r="AO174" s="409">
        <f t="shared" si="103"/>
        <v>0</v>
      </c>
      <c r="AP174" s="409">
        <f t="shared" si="103"/>
        <v>0</v>
      </c>
      <c r="AQ174" s="409">
        <f t="shared" si="103"/>
        <v>0</v>
      </c>
      <c r="AR174" s="409">
        <f t="shared" si="103"/>
        <v>0</v>
      </c>
      <c r="AS174" s="409">
        <f t="shared" si="103"/>
        <v>0</v>
      </c>
      <c r="AT174" s="409">
        <f t="shared" si="101"/>
        <v>0</v>
      </c>
      <c r="AU174" s="409">
        <f t="shared" si="101"/>
        <v>0</v>
      </c>
      <c r="AV174" s="409">
        <f t="shared" si="101"/>
        <v>0</v>
      </c>
      <c r="AW174" s="409">
        <f t="shared" si="101"/>
        <v>0</v>
      </c>
      <c r="AX174" s="409">
        <f t="shared" si="101"/>
        <v>0</v>
      </c>
      <c r="AY174" s="409">
        <f t="shared" si="101"/>
        <v>0</v>
      </c>
      <c r="AZ174" s="409">
        <f t="shared" si="101"/>
        <v>0</v>
      </c>
      <c r="BA174" s="409">
        <f t="shared" si="101"/>
        <v>0</v>
      </c>
      <c r="BB174" s="409">
        <f t="shared" si="101"/>
        <v>0</v>
      </c>
      <c r="BC174" s="409">
        <f t="shared" si="101"/>
        <v>0</v>
      </c>
      <c r="BD174" s="409">
        <f t="shared" si="101"/>
        <v>0</v>
      </c>
      <c r="BE174" s="409">
        <f t="shared" si="101"/>
        <v>0</v>
      </c>
      <c r="BF174" s="409">
        <f t="shared" si="101"/>
        <v>0</v>
      </c>
      <c r="BG174" s="409">
        <f t="shared" si="101"/>
        <v>0</v>
      </c>
      <c r="BH174" s="409">
        <f t="shared" si="101"/>
        <v>0</v>
      </c>
      <c r="BI174" s="409">
        <f t="shared" si="101"/>
        <v>0</v>
      </c>
      <c r="BJ174" s="409">
        <f t="shared" si="101"/>
        <v>0</v>
      </c>
      <c r="BK174" s="409">
        <f t="shared" si="101"/>
        <v>0</v>
      </c>
      <c r="BL174" s="409">
        <f t="shared" si="101"/>
        <v>0</v>
      </c>
      <c r="BM174" s="409">
        <f t="shared" si="101"/>
        <v>0</v>
      </c>
      <c r="BN174" s="409">
        <f t="shared" si="101"/>
        <v>0</v>
      </c>
      <c r="BO174" s="409">
        <f t="shared" si="101"/>
        <v>0</v>
      </c>
      <c r="BP174" s="409">
        <f t="shared" si="101"/>
        <v>0</v>
      </c>
      <c r="BQ174" s="409">
        <f t="shared" si="101"/>
        <v>0</v>
      </c>
      <c r="BR174" s="409">
        <f t="shared" si="101"/>
        <v>0</v>
      </c>
      <c r="BS174" s="409">
        <f t="shared" si="101"/>
        <v>0</v>
      </c>
      <c r="BT174" s="409">
        <f t="shared" si="101"/>
        <v>0</v>
      </c>
      <c r="BU174" s="409">
        <f t="shared" si="101"/>
        <v>0</v>
      </c>
      <c r="BV174" s="409">
        <f t="shared" si="101"/>
        <v>0</v>
      </c>
      <c r="BW174" s="409">
        <f t="shared" si="101"/>
        <v>0</v>
      </c>
      <c r="BX174" s="409">
        <f t="shared" si="101"/>
        <v>0</v>
      </c>
      <c r="BY174" s="409">
        <f t="shared" si="101"/>
        <v>0</v>
      </c>
      <c r="BZ174" s="409">
        <f t="shared" si="101"/>
        <v>0</v>
      </c>
      <c r="CA174" s="409">
        <f t="shared" si="101"/>
        <v>0</v>
      </c>
      <c r="CB174" s="409">
        <f t="shared" si="101"/>
        <v>0</v>
      </c>
      <c r="CC174" s="409">
        <f t="shared" si="101"/>
        <v>0</v>
      </c>
      <c r="CD174" s="409">
        <f t="shared" si="101"/>
        <v>0</v>
      </c>
      <c r="CE174" s="409">
        <f t="shared" si="101"/>
        <v>0</v>
      </c>
      <c r="CF174" s="409">
        <f t="shared" si="101"/>
        <v>0</v>
      </c>
      <c r="CG174" s="409">
        <f t="shared" si="101"/>
        <v>0</v>
      </c>
      <c r="CH174" s="409">
        <f t="shared" si="101"/>
        <v>0</v>
      </c>
      <c r="CI174" s="409">
        <f t="shared" si="101"/>
        <v>0</v>
      </c>
      <c r="CJ174" s="409">
        <f t="shared" si="101"/>
        <v>0</v>
      </c>
      <c r="CK174" s="409">
        <f t="shared" si="101"/>
        <v>0</v>
      </c>
      <c r="CL174" s="409">
        <f t="shared" si="101"/>
        <v>0</v>
      </c>
      <c r="CM174" s="409">
        <f t="shared" si="101"/>
        <v>0</v>
      </c>
      <c r="CN174" s="409">
        <f t="shared" si="101"/>
        <v>0</v>
      </c>
      <c r="CO174" s="409">
        <f t="shared" si="101"/>
        <v>0</v>
      </c>
      <c r="CP174" s="409">
        <f t="shared" si="101"/>
        <v>0</v>
      </c>
      <c r="CQ174" s="409">
        <f t="shared" si="102"/>
        <v>0</v>
      </c>
      <c r="CR174" s="409">
        <f t="shared" si="102"/>
        <v>0</v>
      </c>
      <c r="CS174" s="409">
        <f t="shared" si="102"/>
        <v>0</v>
      </c>
      <c r="CT174" s="409">
        <f t="shared" si="102"/>
        <v>0</v>
      </c>
      <c r="CU174" s="409">
        <f t="shared" si="102"/>
        <v>0</v>
      </c>
      <c r="CV174" s="409">
        <f t="shared" si="102"/>
        <v>0</v>
      </c>
      <c r="CW174" s="409">
        <f t="shared" si="102"/>
        <v>0</v>
      </c>
    </row>
    <row r="175" spans="25:101">
      <c r="AA175" s="408">
        <v>6</v>
      </c>
      <c r="AD175" s="409">
        <f t="shared" si="103"/>
        <v>0</v>
      </c>
      <c r="AE175" s="409">
        <f t="shared" si="103"/>
        <v>0</v>
      </c>
      <c r="AF175" s="409">
        <f t="shared" si="103"/>
        <v>0</v>
      </c>
      <c r="AG175" s="409">
        <f t="shared" si="103"/>
        <v>0</v>
      </c>
      <c r="AH175" s="409">
        <f t="shared" si="103"/>
        <v>0</v>
      </c>
      <c r="AI175" s="409">
        <f t="shared" si="103"/>
        <v>0</v>
      </c>
      <c r="AJ175" s="409">
        <f t="shared" si="103"/>
        <v>0</v>
      </c>
      <c r="AK175" s="409">
        <f t="shared" si="103"/>
        <v>0</v>
      </c>
      <c r="AL175" s="409">
        <f t="shared" si="103"/>
        <v>0</v>
      </c>
      <c r="AM175" s="409">
        <f t="shared" si="103"/>
        <v>0</v>
      </c>
      <c r="AN175" s="409">
        <f t="shared" si="103"/>
        <v>0</v>
      </c>
      <c r="AO175" s="409">
        <f t="shared" si="103"/>
        <v>0</v>
      </c>
      <c r="AP175" s="409">
        <f t="shared" si="103"/>
        <v>0</v>
      </c>
      <c r="AQ175" s="409">
        <f t="shared" si="103"/>
        <v>0</v>
      </c>
      <c r="AR175" s="409">
        <f t="shared" si="103"/>
        <v>0</v>
      </c>
      <c r="AS175" s="409">
        <f t="shared" si="103"/>
        <v>0</v>
      </c>
      <c r="AT175" s="409">
        <f t="shared" si="101"/>
        <v>0</v>
      </c>
      <c r="AU175" s="409">
        <f t="shared" si="101"/>
        <v>0</v>
      </c>
      <c r="AV175" s="409">
        <f t="shared" si="101"/>
        <v>0</v>
      </c>
      <c r="AW175" s="409">
        <f t="shared" si="101"/>
        <v>0</v>
      </c>
      <c r="AX175" s="409">
        <f t="shared" si="101"/>
        <v>0</v>
      </c>
      <c r="AY175" s="409">
        <f t="shared" si="101"/>
        <v>0</v>
      </c>
      <c r="AZ175" s="409">
        <f t="shared" si="101"/>
        <v>0</v>
      </c>
      <c r="BA175" s="409">
        <f t="shared" si="101"/>
        <v>0</v>
      </c>
      <c r="BB175" s="409">
        <f t="shared" si="101"/>
        <v>0</v>
      </c>
      <c r="BC175" s="409">
        <f t="shared" si="101"/>
        <v>0</v>
      </c>
      <c r="BD175" s="409">
        <f t="shared" si="101"/>
        <v>0</v>
      </c>
      <c r="BE175" s="409">
        <f t="shared" si="101"/>
        <v>0</v>
      </c>
      <c r="BF175" s="409">
        <f t="shared" si="101"/>
        <v>0</v>
      </c>
      <c r="BG175" s="409">
        <f t="shared" si="101"/>
        <v>0</v>
      </c>
      <c r="BH175" s="409">
        <f t="shared" si="101"/>
        <v>0</v>
      </c>
      <c r="BI175" s="409">
        <f t="shared" si="101"/>
        <v>0</v>
      </c>
      <c r="BJ175" s="409">
        <f t="shared" si="101"/>
        <v>0</v>
      </c>
      <c r="BK175" s="409">
        <f t="shared" si="101"/>
        <v>0</v>
      </c>
      <c r="BL175" s="409">
        <f t="shared" si="101"/>
        <v>0</v>
      </c>
      <c r="BM175" s="409">
        <f t="shared" si="101"/>
        <v>0</v>
      </c>
      <c r="BN175" s="409">
        <f t="shared" si="101"/>
        <v>0</v>
      </c>
      <c r="BO175" s="409">
        <f t="shared" si="101"/>
        <v>0</v>
      </c>
      <c r="BP175" s="409">
        <f t="shared" si="101"/>
        <v>0</v>
      </c>
      <c r="BQ175" s="409">
        <f t="shared" si="101"/>
        <v>0</v>
      </c>
      <c r="BR175" s="409">
        <f t="shared" si="101"/>
        <v>0</v>
      </c>
      <c r="BS175" s="409">
        <f t="shared" si="101"/>
        <v>0</v>
      </c>
      <c r="BT175" s="409">
        <f t="shared" si="101"/>
        <v>0</v>
      </c>
      <c r="BU175" s="409">
        <f t="shared" si="101"/>
        <v>0</v>
      </c>
      <c r="BV175" s="409">
        <f t="shared" si="101"/>
        <v>0</v>
      </c>
      <c r="BW175" s="409">
        <f t="shared" si="101"/>
        <v>0</v>
      </c>
      <c r="BX175" s="409">
        <f t="shared" si="101"/>
        <v>0</v>
      </c>
      <c r="BY175" s="409">
        <f t="shared" si="101"/>
        <v>0</v>
      </c>
      <c r="BZ175" s="409">
        <f t="shared" si="101"/>
        <v>0</v>
      </c>
      <c r="CA175" s="409">
        <f t="shared" si="101"/>
        <v>0</v>
      </c>
      <c r="CB175" s="409">
        <f t="shared" si="101"/>
        <v>0</v>
      </c>
      <c r="CC175" s="409">
        <f t="shared" si="101"/>
        <v>0</v>
      </c>
      <c r="CD175" s="409">
        <f t="shared" si="101"/>
        <v>0</v>
      </c>
      <c r="CE175" s="409">
        <f t="shared" si="101"/>
        <v>0</v>
      </c>
      <c r="CF175" s="409">
        <f t="shared" si="101"/>
        <v>0</v>
      </c>
      <c r="CG175" s="409">
        <f t="shared" si="101"/>
        <v>0</v>
      </c>
      <c r="CH175" s="409">
        <f t="shared" si="101"/>
        <v>0</v>
      </c>
      <c r="CI175" s="409">
        <f t="shared" si="101"/>
        <v>0</v>
      </c>
      <c r="CJ175" s="409">
        <f t="shared" si="101"/>
        <v>0</v>
      </c>
      <c r="CK175" s="409">
        <f t="shared" si="101"/>
        <v>0</v>
      </c>
      <c r="CL175" s="409">
        <f t="shared" si="101"/>
        <v>0</v>
      </c>
      <c r="CM175" s="409">
        <f t="shared" si="101"/>
        <v>0</v>
      </c>
      <c r="CN175" s="409">
        <f t="shared" si="101"/>
        <v>0</v>
      </c>
      <c r="CO175" s="409">
        <f t="shared" si="101"/>
        <v>0</v>
      </c>
      <c r="CP175" s="409">
        <f t="shared" si="101"/>
        <v>0</v>
      </c>
      <c r="CQ175" s="409">
        <f t="shared" si="102"/>
        <v>0</v>
      </c>
      <c r="CR175" s="409">
        <f t="shared" si="102"/>
        <v>0</v>
      </c>
      <c r="CS175" s="409">
        <f t="shared" si="102"/>
        <v>0</v>
      </c>
      <c r="CT175" s="409">
        <f t="shared" si="102"/>
        <v>0</v>
      </c>
      <c r="CU175" s="409">
        <f t="shared" si="102"/>
        <v>0</v>
      </c>
      <c r="CV175" s="409">
        <f t="shared" si="102"/>
        <v>0</v>
      </c>
      <c r="CW175" s="409">
        <f t="shared" si="102"/>
        <v>0</v>
      </c>
    </row>
    <row r="176" spans="25:101">
      <c r="AA176" s="408">
        <v>7</v>
      </c>
      <c r="AD176" s="409">
        <f t="shared" si="103"/>
        <v>0</v>
      </c>
      <c r="AE176" s="409">
        <f t="shared" si="103"/>
        <v>0</v>
      </c>
      <c r="AF176" s="409">
        <f t="shared" si="103"/>
        <v>0</v>
      </c>
      <c r="AG176" s="409">
        <f t="shared" si="103"/>
        <v>0</v>
      </c>
      <c r="AH176" s="409">
        <f t="shared" si="103"/>
        <v>0</v>
      </c>
      <c r="AI176" s="409">
        <f t="shared" si="103"/>
        <v>0</v>
      </c>
      <c r="AJ176" s="409">
        <f t="shared" si="103"/>
        <v>0</v>
      </c>
      <c r="AK176" s="409">
        <f t="shared" si="103"/>
        <v>0</v>
      </c>
      <c r="AL176" s="409">
        <f t="shared" si="103"/>
        <v>0</v>
      </c>
      <c r="AM176" s="409">
        <f t="shared" si="103"/>
        <v>0</v>
      </c>
      <c r="AN176" s="409">
        <f t="shared" si="103"/>
        <v>0</v>
      </c>
      <c r="AO176" s="409">
        <f t="shared" si="103"/>
        <v>0</v>
      </c>
      <c r="AP176" s="409">
        <f t="shared" si="103"/>
        <v>0</v>
      </c>
      <c r="AQ176" s="409">
        <f t="shared" si="103"/>
        <v>0</v>
      </c>
      <c r="AR176" s="409">
        <f t="shared" si="103"/>
        <v>0</v>
      </c>
      <c r="AS176" s="409">
        <f t="shared" si="103"/>
        <v>0</v>
      </c>
      <c r="AT176" s="409">
        <f t="shared" si="101"/>
        <v>0</v>
      </c>
      <c r="AU176" s="409">
        <f t="shared" si="101"/>
        <v>0</v>
      </c>
      <c r="AV176" s="409">
        <f t="shared" si="101"/>
        <v>0</v>
      </c>
      <c r="AW176" s="409">
        <f t="shared" si="101"/>
        <v>0</v>
      </c>
      <c r="AX176" s="409">
        <f t="shared" si="101"/>
        <v>0</v>
      </c>
      <c r="AY176" s="409">
        <f t="shared" si="101"/>
        <v>0</v>
      </c>
      <c r="AZ176" s="409">
        <f t="shared" si="101"/>
        <v>0</v>
      </c>
      <c r="BA176" s="409">
        <f t="shared" si="101"/>
        <v>0</v>
      </c>
      <c r="BB176" s="409">
        <f t="shared" si="101"/>
        <v>0</v>
      </c>
      <c r="BC176" s="409">
        <f t="shared" si="101"/>
        <v>0</v>
      </c>
      <c r="BD176" s="409">
        <f t="shared" si="101"/>
        <v>0</v>
      </c>
      <c r="BE176" s="409">
        <f t="shared" si="101"/>
        <v>0</v>
      </c>
      <c r="BF176" s="409">
        <f t="shared" si="101"/>
        <v>0</v>
      </c>
      <c r="BG176" s="409">
        <f t="shared" si="101"/>
        <v>0</v>
      </c>
      <c r="BH176" s="409">
        <f t="shared" si="101"/>
        <v>0</v>
      </c>
      <c r="BI176" s="409">
        <f t="shared" si="101"/>
        <v>0</v>
      </c>
      <c r="BJ176" s="409">
        <f t="shared" si="101"/>
        <v>0</v>
      </c>
      <c r="BK176" s="409">
        <f t="shared" si="101"/>
        <v>0</v>
      </c>
      <c r="BL176" s="409">
        <f t="shared" si="101"/>
        <v>0</v>
      </c>
      <c r="BM176" s="409">
        <f t="shared" si="101"/>
        <v>0</v>
      </c>
      <c r="BN176" s="409">
        <f t="shared" si="101"/>
        <v>0</v>
      </c>
      <c r="BO176" s="409">
        <f t="shared" si="101"/>
        <v>0</v>
      </c>
      <c r="BP176" s="409">
        <f t="shared" si="101"/>
        <v>0</v>
      </c>
      <c r="BQ176" s="409">
        <f t="shared" si="101"/>
        <v>0</v>
      </c>
      <c r="BR176" s="409">
        <f t="shared" si="101"/>
        <v>0</v>
      </c>
      <c r="BS176" s="409">
        <f t="shared" si="101"/>
        <v>0</v>
      </c>
      <c r="BT176" s="409">
        <f t="shared" si="101"/>
        <v>0</v>
      </c>
      <c r="BU176" s="409">
        <f t="shared" si="101"/>
        <v>0</v>
      </c>
      <c r="BV176" s="409">
        <f t="shared" si="101"/>
        <v>0</v>
      </c>
      <c r="BW176" s="409">
        <f t="shared" si="101"/>
        <v>0</v>
      </c>
      <c r="BX176" s="409">
        <f t="shared" si="101"/>
        <v>0</v>
      </c>
      <c r="BY176" s="409">
        <f t="shared" si="101"/>
        <v>0</v>
      </c>
      <c r="BZ176" s="409">
        <f t="shared" si="101"/>
        <v>0</v>
      </c>
      <c r="CA176" s="409">
        <f t="shared" si="101"/>
        <v>0</v>
      </c>
      <c r="CB176" s="409">
        <f t="shared" si="101"/>
        <v>0</v>
      </c>
      <c r="CC176" s="409">
        <f t="shared" si="101"/>
        <v>0</v>
      </c>
      <c r="CD176" s="409">
        <f t="shared" si="101"/>
        <v>0</v>
      </c>
      <c r="CE176" s="409">
        <f t="shared" si="101"/>
        <v>0</v>
      </c>
      <c r="CF176" s="409">
        <f t="shared" si="101"/>
        <v>0</v>
      </c>
      <c r="CG176" s="409">
        <f t="shared" si="101"/>
        <v>0</v>
      </c>
      <c r="CH176" s="409">
        <f t="shared" si="101"/>
        <v>0</v>
      </c>
      <c r="CI176" s="409">
        <f t="shared" si="101"/>
        <v>0</v>
      </c>
      <c r="CJ176" s="409">
        <f t="shared" si="101"/>
        <v>0</v>
      </c>
      <c r="CK176" s="409">
        <f t="shared" si="101"/>
        <v>0</v>
      </c>
      <c r="CL176" s="409">
        <f t="shared" ref="CL176:CW176" si="104">IF(AND(CL$3&gt;=$AC84,CL$3&lt;($AC84+$Z84)),IPMT($Y84/12,CL$3-$AC84+1,$Z84,-$AB84),0)</f>
        <v>0</v>
      </c>
      <c r="CM176" s="409">
        <f t="shared" si="104"/>
        <v>0</v>
      </c>
      <c r="CN176" s="409">
        <f t="shared" si="104"/>
        <v>0</v>
      </c>
      <c r="CO176" s="409">
        <f t="shared" si="104"/>
        <v>0</v>
      </c>
      <c r="CP176" s="409">
        <f t="shared" si="104"/>
        <v>0</v>
      </c>
      <c r="CQ176" s="409">
        <f t="shared" si="104"/>
        <v>0</v>
      </c>
      <c r="CR176" s="409">
        <f t="shared" si="104"/>
        <v>0</v>
      </c>
      <c r="CS176" s="409">
        <f t="shared" si="104"/>
        <v>0</v>
      </c>
      <c r="CT176" s="409">
        <f t="shared" si="104"/>
        <v>0</v>
      </c>
      <c r="CU176" s="409">
        <f t="shared" si="104"/>
        <v>0</v>
      </c>
      <c r="CV176" s="409">
        <f t="shared" si="104"/>
        <v>0</v>
      </c>
      <c r="CW176" s="409">
        <f t="shared" si="104"/>
        <v>0</v>
      </c>
    </row>
    <row r="177" spans="27:101">
      <c r="AA177" s="408">
        <v>8</v>
      </c>
      <c r="AD177" s="409">
        <f t="shared" si="103"/>
        <v>0</v>
      </c>
      <c r="AE177" s="409">
        <f t="shared" si="103"/>
        <v>0</v>
      </c>
      <c r="AF177" s="409">
        <f t="shared" si="103"/>
        <v>0</v>
      </c>
      <c r="AG177" s="409">
        <f t="shared" si="103"/>
        <v>0</v>
      </c>
      <c r="AH177" s="409">
        <f t="shared" si="103"/>
        <v>0</v>
      </c>
      <c r="AI177" s="409">
        <f t="shared" si="103"/>
        <v>0</v>
      </c>
      <c r="AJ177" s="409">
        <f t="shared" si="103"/>
        <v>0</v>
      </c>
      <c r="AK177" s="409">
        <f t="shared" si="103"/>
        <v>0</v>
      </c>
      <c r="AL177" s="409">
        <f t="shared" si="103"/>
        <v>0</v>
      </c>
      <c r="AM177" s="409">
        <f t="shared" si="103"/>
        <v>0</v>
      </c>
      <c r="AN177" s="409">
        <f t="shared" si="103"/>
        <v>0</v>
      </c>
      <c r="AO177" s="409">
        <f t="shared" si="103"/>
        <v>0</v>
      </c>
      <c r="AP177" s="409">
        <f t="shared" si="103"/>
        <v>0</v>
      </c>
      <c r="AQ177" s="409">
        <f t="shared" si="103"/>
        <v>0</v>
      </c>
      <c r="AR177" s="409">
        <f t="shared" si="103"/>
        <v>0</v>
      </c>
      <c r="AS177" s="409">
        <f t="shared" si="103"/>
        <v>0</v>
      </c>
      <c r="AT177" s="409">
        <f t="shared" ref="AT177:CW181" si="105">IF(AND(AT$3&gt;=$AC85,AT$3&lt;($AC85+$Z85)),IPMT($Y85/12,AT$3-$AC85+1,$Z85,-$AB85),0)</f>
        <v>0</v>
      </c>
      <c r="AU177" s="409">
        <f t="shared" si="105"/>
        <v>0</v>
      </c>
      <c r="AV177" s="409">
        <f t="shared" si="105"/>
        <v>0</v>
      </c>
      <c r="AW177" s="409">
        <f t="shared" si="105"/>
        <v>0</v>
      </c>
      <c r="AX177" s="409">
        <f t="shared" si="105"/>
        <v>0</v>
      </c>
      <c r="AY177" s="409">
        <f t="shared" si="105"/>
        <v>0</v>
      </c>
      <c r="AZ177" s="409">
        <f t="shared" si="105"/>
        <v>0</v>
      </c>
      <c r="BA177" s="409">
        <f t="shared" si="105"/>
        <v>0</v>
      </c>
      <c r="BB177" s="409">
        <f t="shared" si="105"/>
        <v>0</v>
      </c>
      <c r="BC177" s="409">
        <f t="shared" si="105"/>
        <v>0</v>
      </c>
      <c r="BD177" s="409">
        <f t="shared" si="105"/>
        <v>0</v>
      </c>
      <c r="BE177" s="409">
        <f t="shared" si="105"/>
        <v>0</v>
      </c>
      <c r="BF177" s="409">
        <f t="shared" si="105"/>
        <v>0</v>
      </c>
      <c r="BG177" s="409">
        <f t="shared" si="105"/>
        <v>0</v>
      </c>
      <c r="BH177" s="409">
        <f t="shared" si="105"/>
        <v>0</v>
      </c>
      <c r="BI177" s="409">
        <f t="shared" si="105"/>
        <v>0</v>
      </c>
      <c r="BJ177" s="409">
        <f t="shared" si="105"/>
        <v>0</v>
      </c>
      <c r="BK177" s="409">
        <f t="shared" si="105"/>
        <v>0</v>
      </c>
      <c r="BL177" s="409">
        <f t="shared" si="105"/>
        <v>0</v>
      </c>
      <c r="BM177" s="409">
        <f t="shared" si="105"/>
        <v>0</v>
      </c>
      <c r="BN177" s="409">
        <f t="shared" si="105"/>
        <v>0</v>
      </c>
      <c r="BO177" s="409">
        <f t="shared" si="105"/>
        <v>0</v>
      </c>
      <c r="BP177" s="409">
        <f t="shared" si="105"/>
        <v>0</v>
      </c>
      <c r="BQ177" s="409">
        <f t="shared" si="105"/>
        <v>0</v>
      </c>
      <c r="BR177" s="409">
        <f t="shared" si="105"/>
        <v>0</v>
      </c>
      <c r="BS177" s="409">
        <f t="shared" si="105"/>
        <v>0</v>
      </c>
      <c r="BT177" s="409">
        <f t="shared" si="105"/>
        <v>0</v>
      </c>
      <c r="BU177" s="409">
        <f t="shared" si="105"/>
        <v>0</v>
      </c>
      <c r="BV177" s="409">
        <f t="shared" si="105"/>
        <v>0</v>
      </c>
      <c r="BW177" s="409">
        <f t="shared" si="105"/>
        <v>0</v>
      </c>
      <c r="BX177" s="409">
        <f t="shared" si="105"/>
        <v>0</v>
      </c>
      <c r="BY177" s="409">
        <f t="shared" si="105"/>
        <v>0</v>
      </c>
      <c r="BZ177" s="409">
        <f t="shared" si="105"/>
        <v>0</v>
      </c>
      <c r="CA177" s="409">
        <f t="shared" si="105"/>
        <v>0</v>
      </c>
      <c r="CB177" s="409">
        <f t="shared" si="105"/>
        <v>0</v>
      </c>
      <c r="CC177" s="409">
        <f t="shared" si="105"/>
        <v>0</v>
      </c>
      <c r="CD177" s="409">
        <f t="shared" si="105"/>
        <v>0</v>
      </c>
      <c r="CE177" s="409">
        <f t="shared" si="105"/>
        <v>0</v>
      </c>
      <c r="CF177" s="409">
        <f t="shared" si="105"/>
        <v>0</v>
      </c>
      <c r="CG177" s="409">
        <f t="shared" si="105"/>
        <v>0</v>
      </c>
      <c r="CH177" s="409">
        <f t="shared" si="105"/>
        <v>0</v>
      </c>
      <c r="CI177" s="409">
        <f t="shared" si="105"/>
        <v>0</v>
      </c>
      <c r="CJ177" s="409">
        <f t="shared" si="105"/>
        <v>0</v>
      </c>
      <c r="CK177" s="409">
        <f t="shared" si="105"/>
        <v>0</v>
      </c>
      <c r="CL177" s="409">
        <f t="shared" si="105"/>
        <v>0</v>
      </c>
      <c r="CM177" s="409">
        <f t="shared" si="105"/>
        <v>0</v>
      </c>
      <c r="CN177" s="409">
        <f t="shared" si="105"/>
        <v>0</v>
      </c>
      <c r="CO177" s="409">
        <f t="shared" si="105"/>
        <v>0</v>
      </c>
      <c r="CP177" s="409">
        <f t="shared" si="105"/>
        <v>0</v>
      </c>
      <c r="CQ177" s="409">
        <f t="shared" si="105"/>
        <v>0</v>
      </c>
      <c r="CR177" s="409">
        <f t="shared" si="105"/>
        <v>0</v>
      </c>
      <c r="CS177" s="409">
        <f t="shared" si="105"/>
        <v>0</v>
      </c>
      <c r="CT177" s="409">
        <f t="shared" si="105"/>
        <v>0</v>
      </c>
      <c r="CU177" s="409">
        <f t="shared" si="105"/>
        <v>0</v>
      </c>
      <c r="CV177" s="409">
        <f t="shared" si="105"/>
        <v>0</v>
      </c>
      <c r="CW177" s="409">
        <f t="shared" si="105"/>
        <v>0</v>
      </c>
    </row>
    <row r="178" spans="27:101">
      <c r="AA178" s="408">
        <v>9</v>
      </c>
      <c r="AD178" s="409">
        <f t="shared" si="103"/>
        <v>0</v>
      </c>
      <c r="AE178" s="409">
        <f t="shared" si="103"/>
        <v>0</v>
      </c>
      <c r="AF178" s="409">
        <f t="shared" si="103"/>
        <v>0</v>
      </c>
      <c r="AG178" s="409">
        <f t="shared" si="103"/>
        <v>0</v>
      </c>
      <c r="AH178" s="409">
        <f t="shared" si="103"/>
        <v>0</v>
      </c>
      <c r="AI178" s="409">
        <f t="shared" si="103"/>
        <v>0</v>
      </c>
      <c r="AJ178" s="409">
        <f t="shared" si="103"/>
        <v>0</v>
      </c>
      <c r="AK178" s="409">
        <f t="shared" si="103"/>
        <v>0</v>
      </c>
      <c r="AL178" s="409">
        <f t="shared" si="103"/>
        <v>0</v>
      </c>
      <c r="AM178" s="409">
        <f t="shared" si="103"/>
        <v>0</v>
      </c>
      <c r="AN178" s="409">
        <f t="shared" si="103"/>
        <v>0</v>
      </c>
      <c r="AO178" s="409">
        <f t="shared" si="103"/>
        <v>0</v>
      </c>
      <c r="AP178" s="409">
        <f t="shared" si="103"/>
        <v>0</v>
      </c>
      <c r="AQ178" s="409">
        <f t="shared" si="103"/>
        <v>0</v>
      </c>
      <c r="AR178" s="409">
        <f t="shared" si="103"/>
        <v>0</v>
      </c>
      <c r="AS178" s="409">
        <f t="shared" si="103"/>
        <v>0</v>
      </c>
      <c r="AT178" s="409">
        <f t="shared" si="105"/>
        <v>0</v>
      </c>
      <c r="AU178" s="409">
        <f t="shared" si="105"/>
        <v>0</v>
      </c>
      <c r="AV178" s="409">
        <f t="shared" si="105"/>
        <v>0</v>
      </c>
      <c r="AW178" s="409">
        <f t="shared" si="105"/>
        <v>0</v>
      </c>
      <c r="AX178" s="409">
        <f t="shared" si="105"/>
        <v>0</v>
      </c>
      <c r="AY178" s="409">
        <f t="shared" si="105"/>
        <v>0</v>
      </c>
      <c r="AZ178" s="409">
        <f t="shared" si="105"/>
        <v>0</v>
      </c>
      <c r="BA178" s="409">
        <f t="shared" si="105"/>
        <v>0</v>
      </c>
      <c r="BB178" s="409">
        <f t="shared" si="105"/>
        <v>0</v>
      </c>
      <c r="BC178" s="409">
        <f t="shared" si="105"/>
        <v>0</v>
      </c>
      <c r="BD178" s="409">
        <f t="shared" si="105"/>
        <v>0</v>
      </c>
      <c r="BE178" s="409">
        <f t="shared" si="105"/>
        <v>0</v>
      </c>
      <c r="BF178" s="409">
        <f t="shared" si="105"/>
        <v>0</v>
      </c>
      <c r="BG178" s="409">
        <f t="shared" si="105"/>
        <v>0</v>
      </c>
      <c r="BH178" s="409">
        <f t="shared" si="105"/>
        <v>0</v>
      </c>
      <c r="BI178" s="409">
        <f t="shared" si="105"/>
        <v>0</v>
      </c>
      <c r="BJ178" s="409">
        <f t="shared" si="105"/>
        <v>0</v>
      </c>
      <c r="BK178" s="409">
        <f t="shared" si="105"/>
        <v>0</v>
      </c>
      <c r="BL178" s="409">
        <f t="shared" si="105"/>
        <v>0</v>
      </c>
      <c r="BM178" s="409">
        <f t="shared" si="105"/>
        <v>0</v>
      </c>
      <c r="BN178" s="409">
        <f t="shared" si="105"/>
        <v>0</v>
      </c>
      <c r="BO178" s="409">
        <f t="shared" si="105"/>
        <v>0</v>
      </c>
      <c r="BP178" s="409">
        <f t="shared" si="105"/>
        <v>0</v>
      </c>
      <c r="BQ178" s="409">
        <f t="shared" si="105"/>
        <v>0</v>
      </c>
      <c r="BR178" s="409">
        <f t="shared" si="105"/>
        <v>0</v>
      </c>
      <c r="BS178" s="409">
        <f t="shared" si="105"/>
        <v>0</v>
      </c>
      <c r="BT178" s="409">
        <f t="shared" si="105"/>
        <v>0</v>
      </c>
      <c r="BU178" s="409">
        <f t="shared" si="105"/>
        <v>0</v>
      </c>
      <c r="BV178" s="409">
        <f t="shared" si="105"/>
        <v>0</v>
      </c>
      <c r="BW178" s="409">
        <f t="shared" si="105"/>
        <v>0</v>
      </c>
      <c r="BX178" s="409">
        <f t="shared" si="105"/>
        <v>0</v>
      </c>
      <c r="BY178" s="409">
        <f t="shared" si="105"/>
        <v>0</v>
      </c>
      <c r="BZ178" s="409">
        <f t="shared" si="105"/>
        <v>0</v>
      </c>
      <c r="CA178" s="409">
        <f t="shared" si="105"/>
        <v>0</v>
      </c>
      <c r="CB178" s="409">
        <f t="shared" si="105"/>
        <v>0</v>
      </c>
      <c r="CC178" s="409">
        <f t="shared" si="105"/>
        <v>0</v>
      </c>
      <c r="CD178" s="409">
        <f t="shared" si="105"/>
        <v>0</v>
      </c>
      <c r="CE178" s="409">
        <f t="shared" si="105"/>
        <v>0</v>
      </c>
      <c r="CF178" s="409">
        <f t="shared" si="105"/>
        <v>0</v>
      </c>
      <c r="CG178" s="409">
        <f t="shared" si="105"/>
        <v>0</v>
      </c>
      <c r="CH178" s="409">
        <f t="shared" si="105"/>
        <v>0</v>
      </c>
      <c r="CI178" s="409">
        <f t="shared" si="105"/>
        <v>0</v>
      </c>
      <c r="CJ178" s="409">
        <f t="shared" si="105"/>
        <v>0</v>
      </c>
      <c r="CK178" s="409">
        <f t="shared" si="105"/>
        <v>0</v>
      </c>
      <c r="CL178" s="409">
        <f t="shared" si="105"/>
        <v>0</v>
      </c>
      <c r="CM178" s="409">
        <f t="shared" si="105"/>
        <v>0</v>
      </c>
      <c r="CN178" s="409">
        <f t="shared" si="105"/>
        <v>0</v>
      </c>
      <c r="CO178" s="409">
        <f t="shared" si="105"/>
        <v>0</v>
      </c>
      <c r="CP178" s="409">
        <f t="shared" si="105"/>
        <v>0</v>
      </c>
      <c r="CQ178" s="409">
        <f t="shared" si="105"/>
        <v>0</v>
      </c>
      <c r="CR178" s="409">
        <f t="shared" si="105"/>
        <v>0</v>
      </c>
      <c r="CS178" s="409">
        <f t="shared" si="105"/>
        <v>0</v>
      </c>
      <c r="CT178" s="409">
        <f t="shared" si="105"/>
        <v>0</v>
      </c>
      <c r="CU178" s="409">
        <f t="shared" si="105"/>
        <v>0</v>
      </c>
      <c r="CV178" s="409">
        <f t="shared" si="105"/>
        <v>0</v>
      </c>
      <c r="CW178" s="409">
        <f t="shared" si="105"/>
        <v>0</v>
      </c>
    </row>
    <row r="179" spans="27:101">
      <c r="AA179" s="408">
        <v>10</v>
      </c>
      <c r="AD179" s="409">
        <f t="shared" si="103"/>
        <v>0</v>
      </c>
      <c r="AE179" s="409">
        <f t="shared" si="103"/>
        <v>0</v>
      </c>
      <c r="AF179" s="409">
        <f t="shared" si="103"/>
        <v>0</v>
      </c>
      <c r="AG179" s="409">
        <f t="shared" si="103"/>
        <v>0</v>
      </c>
      <c r="AH179" s="409">
        <f t="shared" si="103"/>
        <v>0</v>
      </c>
      <c r="AI179" s="409">
        <f t="shared" si="103"/>
        <v>0</v>
      </c>
      <c r="AJ179" s="409">
        <f t="shared" si="103"/>
        <v>0</v>
      </c>
      <c r="AK179" s="409">
        <f t="shared" si="103"/>
        <v>0</v>
      </c>
      <c r="AL179" s="409">
        <f t="shared" si="103"/>
        <v>0</v>
      </c>
      <c r="AM179" s="409">
        <f t="shared" si="103"/>
        <v>0</v>
      </c>
      <c r="AN179" s="409">
        <f t="shared" si="103"/>
        <v>0</v>
      </c>
      <c r="AO179" s="409">
        <f t="shared" si="103"/>
        <v>0</v>
      </c>
      <c r="AP179" s="409">
        <f t="shared" si="103"/>
        <v>0</v>
      </c>
      <c r="AQ179" s="409">
        <f t="shared" si="103"/>
        <v>0</v>
      </c>
      <c r="AR179" s="409">
        <f t="shared" si="103"/>
        <v>0</v>
      </c>
      <c r="AS179" s="409">
        <f t="shared" si="103"/>
        <v>0</v>
      </c>
      <c r="AT179" s="409">
        <f t="shared" si="105"/>
        <v>0</v>
      </c>
      <c r="AU179" s="409">
        <f t="shared" si="105"/>
        <v>0</v>
      </c>
      <c r="AV179" s="409">
        <f t="shared" si="105"/>
        <v>0</v>
      </c>
      <c r="AW179" s="409">
        <f t="shared" si="105"/>
        <v>0</v>
      </c>
      <c r="AX179" s="409">
        <f t="shared" si="105"/>
        <v>0</v>
      </c>
      <c r="AY179" s="409">
        <f t="shared" si="105"/>
        <v>0</v>
      </c>
      <c r="AZ179" s="409">
        <f t="shared" si="105"/>
        <v>0</v>
      </c>
      <c r="BA179" s="409">
        <f t="shared" si="105"/>
        <v>0</v>
      </c>
      <c r="BB179" s="409">
        <f t="shared" si="105"/>
        <v>0</v>
      </c>
      <c r="BC179" s="409">
        <f t="shared" si="105"/>
        <v>0</v>
      </c>
      <c r="BD179" s="409">
        <f t="shared" si="105"/>
        <v>0</v>
      </c>
      <c r="BE179" s="409">
        <f t="shared" si="105"/>
        <v>0</v>
      </c>
      <c r="BF179" s="409">
        <f t="shared" si="105"/>
        <v>0</v>
      </c>
      <c r="BG179" s="409">
        <f t="shared" si="105"/>
        <v>0</v>
      </c>
      <c r="BH179" s="409">
        <f t="shared" si="105"/>
        <v>0</v>
      </c>
      <c r="BI179" s="409">
        <f t="shared" si="105"/>
        <v>0</v>
      </c>
      <c r="BJ179" s="409">
        <f t="shared" si="105"/>
        <v>0</v>
      </c>
      <c r="BK179" s="409">
        <f t="shared" si="105"/>
        <v>0</v>
      </c>
      <c r="BL179" s="409">
        <f t="shared" si="105"/>
        <v>0</v>
      </c>
      <c r="BM179" s="409">
        <f t="shared" si="105"/>
        <v>0</v>
      </c>
      <c r="BN179" s="409">
        <f t="shared" si="105"/>
        <v>0</v>
      </c>
      <c r="BO179" s="409">
        <f t="shared" si="105"/>
        <v>0</v>
      </c>
      <c r="BP179" s="409">
        <f t="shared" si="105"/>
        <v>0</v>
      </c>
      <c r="BQ179" s="409">
        <f t="shared" si="105"/>
        <v>0</v>
      </c>
      <c r="BR179" s="409">
        <f t="shared" si="105"/>
        <v>0</v>
      </c>
      <c r="BS179" s="409">
        <f t="shared" si="105"/>
        <v>0</v>
      </c>
      <c r="BT179" s="409">
        <f t="shared" si="105"/>
        <v>0</v>
      </c>
      <c r="BU179" s="409">
        <f t="shared" si="105"/>
        <v>0</v>
      </c>
      <c r="BV179" s="409">
        <f t="shared" si="105"/>
        <v>0</v>
      </c>
      <c r="BW179" s="409">
        <f t="shared" si="105"/>
        <v>0</v>
      </c>
      <c r="BX179" s="409">
        <f t="shared" si="105"/>
        <v>0</v>
      </c>
      <c r="BY179" s="409">
        <f t="shared" si="105"/>
        <v>0</v>
      </c>
      <c r="BZ179" s="409">
        <f t="shared" si="105"/>
        <v>0</v>
      </c>
      <c r="CA179" s="409">
        <f t="shared" si="105"/>
        <v>0</v>
      </c>
      <c r="CB179" s="409">
        <f t="shared" si="105"/>
        <v>0</v>
      </c>
      <c r="CC179" s="409">
        <f t="shared" si="105"/>
        <v>0</v>
      </c>
      <c r="CD179" s="409">
        <f t="shared" si="105"/>
        <v>0</v>
      </c>
      <c r="CE179" s="409">
        <f t="shared" si="105"/>
        <v>0</v>
      </c>
      <c r="CF179" s="409">
        <f t="shared" si="105"/>
        <v>0</v>
      </c>
      <c r="CG179" s="409">
        <f t="shared" si="105"/>
        <v>0</v>
      </c>
      <c r="CH179" s="409">
        <f t="shared" si="105"/>
        <v>0</v>
      </c>
      <c r="CI179" s="409">
        <f t="shared" si="105"/>
        <v>0</v>
      </c>
      <c r="CJ179" s="409">
        <f t="shared" si="105"/>
        <v>0</v>
      </c>
      <c r="CK179" s="409">
        <f t="shared" si="105"/>
        <v>0</v>
      </c>
      <c r="CL179" s="409">
        <f t="shared" si="105"/>
        <v>0</v>
      </c>
      <c r="CM179" s="409">
        <f t="shared" si="105"/>
        <v>0</v>
      </c>
      <c r="CN179" s="409">
        <f t="shared" si="105"/>
        <v>0</v>
      </c>
      <c r="CO179" s="409">
        <f t="shared" si="105"/>
        <v>0</v>
      </c>
      <c r="CP179" s="409">
        <f t="shared" si="105"/>
        <v>0</v>
      </c>
      <c r="CQ179" s="409">
        <f t="shared" si="105"/>
        <v>0</v>
      </c>
      <c r="CR179" s="409">
        <f t="shared" si="105"/>
        <v>0</v>
      </c>
      <c r="CS179" s="409">
        <f t="shared" si="105"/>
        <v>0</v>
      </c>
      <c r="CT179" s="409">
        <f t="shared" si="105"/>
        <v>0</v>
      </c>
      <c r="CU179" s="409">
        <f t="shared" si="105"/>
        <v>0</v>
      </c>
      <c r="CV179" s="409">
        <f t="shared" si="105"/>
        <v>0</v>
      </c>
      <c r="CW179" s="409">
        <f t="shared" si="105"/>
        <v>0</v>
      </c>
    </row>
    <row r="180" spans="27:101">
      <c r="AA180" s="408">
        <v>11</v>
      </c>
      <c r="AD180" s="409">
        <f t="shared" si="103"/>
        <v>0</v>
      </c>
      <c r="AE180" s="409">
        <f t="shared" si="103"/>
        <v>0</v>
      </c>
      <c r="AF180" s="409">
        <f t="shared" si="103"/>
        <v>0</v>
      </c>
      <c r="AG180" s="409">
        <f t="shared" si="103"/>
        <v>0</v>
      </c>
      <c r="AH180" s="409">
        <f t="shared" si="103"/>
        <v>0</v>
      </c>
      <c r="AI180" s="409">
        <f t="shared" si="103"/>
        <v>0</v>
      </c>
      <c r="AJ180" s="409">
        <f t="shared" si="103"/>
        <v>0</v>
      </c>
      <c r="AK180" s="409">
        <f t="shared" si="103"/>
        <v>0</v>
      </c>
      <c r="AL180" s="409">
        <f t="shared" si="103"/>
        <v>0</v>
      </c>
      <c r="AM180" s="409">
        <f t="shared" si="103"/>
        <v>0</v>
      </c>
      <c r="AN180" s="409">
        <f t="shared" si="103"/>
        <v>0</v>
      </c>
      <c r="AO180" s="409">
        <f t="shared" si="103"/>
        <v>0</v>
      </c>
      <c r="AP180" s="409">
        <f t="shared" si="103"/>
        <v>0</v>
      </c>
      <c r="AQ180" s="409">
        <f t="shared" si="103"/>
        <v>0</v>
      </c>
      <c r="AR180" s="409">
        <f t="shared" si="103"/>
        <v>0</v>
      </c>
      <c r="AS180" s="409">
        <f t="shared" si="103"/>
        <v>0</v>
      </c>
      <c r="AT180" s="409">
        <f t="shared" si="105"/>
        <v>0</v>
      </c>
      <c r="AU180" s="409">
        <f t="shared" si="105"/>
        <v>0</v>
      </c>
      <c r="AV180" s="409">
        <f t="shared" si="105"/>
        <v>0</v>
      </c>
      <c r="AW180" s="409">
        <f t="shared" si="105"/>
        <v>0</v>
      </c>
      <c r="AX180" s="409">
        <f t="shared" si="105"/>
        <v>0</v>
      </c>
      <c r="AY180" s="409">
        <f t="shared" si="105"/>
        <v>0</v>
      </c>
      <c r="AZ180" s="409">
        <f t="shared" si="105"/>
        <v>0</v>
      </c>
      <c r="BA180" s="409">
        <f t="shared" si="105"/>
        <v>0</v>
      </c>
      <c r="BB180" s="409">
        <f t="shared" si="105"/>
        <v>0</v>
      </c>
      <c r="BC180" s="409">
        <f t="shared" si="105"/>
        <v>0</v>
      </c>
      <c r="BD180" s="409">
        <f t="shared" si="105"/>
        <v>0</v>
      </c>
      <c r="BE180" s="409">
        <f t="shared" si="105"/>
        <v>0</v>
      </c>
      <c r="BF180" s="409">
        <f t="shared" si="105"/>
        <v>0</v>
      </c>
      <c r="BG180" s="409">
        <f t="shared" si="105"/>
        <v>0</v>
      </c>
      <c r="BH180" s="409">
        <f t="shared" si="105"/>
        <v>0</v>
      </c>
      <c r="BI180" s="409">
        <f t="shared" si="105"/>
        <v>0</v>
      </c>
      <c r="BJ180" s="409">
        <f t="shared" si="105"/>
        <v>0</v>
      </c>
      <c r="BK180" s="409">
        <f t="shared" si="105"/>
        <v>0</v>
      </c>
      <c r="BL180" s="409">
        <f t="shared" si="105"/>
        <v>0</v>
      </c>
      <c r="BM180" s="409">
        <f t="shared" si="105"/>
        <v>0</v>
      </c>
      <c r="BN180" s="409">
        <f t="shared" si="105"/>
        <v>0</v>
      </c>
      <c r="BO180" s="409">
        <f t="shared" si="105"/>
        <v>0</v>
      </c>
      <c r="BP180" s="409">
        <f t="shared" si="105"/>
        <v>0</v>
      </c>
      <c r="BQ180" s="409">
        <f t="shared" si="105"/>
        <v>0</v>
      </c>
      <c r="BR180" s="409">
        <f t="shared" si="105"/>
        <v>0</v>
      </c>
      <c r="BS180" s="409">
        <f t="shared" si="105"/>
        <v>0</v>
      </c>
      <c r="BT180" s="409">
        <f t="shared" si="105"/>
        <v>0</v>
      </c>
      <c r="BU180" s="409">
        <f t="shared" si="105"/>
        <v>0</v>
      </c>
      <c r="BV180" s="409">
        <f t="shared" si="105"/>
        <v>0</v>
      </c>
      <c r="BW180" s="409">
        <f t="shared" si="105"/>
        <v>0</v>
      </c>
      <c r="BX180" s="409">
        <f t="shared" si="105"/>
        <v>0</v>
      </c>
      <c r="BY180" s="409">
        <f t="shared" si="105"/>
        <v>0</v>
      </c>
      <c r="BZ180" s="409">
        <f t="shared" si="105"/>
        <v>0</v>
      </c>
      <c r="CA180" s="409">
        <f t="shared" si="105"/>
        <v>0</v>
      </c>
      <c r="CB180" s="409">
        <f t="shared" si="105"/>
        <v>0</v>
      </c>
      <c r="CC180" s="409">
        <f t="shared" si="105"/>
        <v>0</v>
      </c>
      <c r="CD180" s="409">
        <f t="shared" si="105"/>
        <v>0</v>
      </c>
      <c r="CE180" s="409">
        <f t="shared" si="105"/>
        <v>0</v>
      </c>
      <c r="CF180" s="409">
        <f t="shared" si="105"/>
        <v>0</v>
      </c>
      <c r="CG180" s="409">
        <f t="shared" si="105"/>
        <v>0</v>
      </c>
      <c r="CH180" s="409">
        <f t="shared" si="105"/>
        <v>0</v>
      </c>
      <c r="CI180" s="409">
        <f t="shared" si="105"/>
        <v>0</v>
      </c>
      <c r="CJ180" s="409">
        <f t="shared" si="105"/>
        <v>0</v>
      </c>
      <c r="CK180" s="409">
        <f t="shared" si="105"/>
        <v>0</v>
      </c>
      <c r="CL180" s="409">
        <f t="shared" si="105"/>
        <v>0</v>
      </c>
      <c r="CM180" s="409">
        <f t="shared" si="105"/>
        <v>0</v>
      </c>
      <c r="CN180" s="409">
        <f t="shared" si="105"/>
        <v>0</v>
      </c>
      <c r="CO180" s="409">
        <f t="shared" si="105"/>
        <v>0</v>
      </c>
      <c r="CP180" s="409">
        <f t="shared" si="105"/>
        <v>0</v>
      </c>
      <c r="CQ180" s="409">
        <f t="shared" si="105"/>
        <v>0</v>
      </c>
      <c r="CR180" s="409">
        <f t="shared" si="105"/>
        <v>0</v>
      </c>
      <c r="CS180" s="409">
        <f t="shared" si="105"/>
        <v>0</v>
      </c>
      <c r="CT180" s="409">
        <f t="shared" si="105"/>
        <v>0</v>
      </c>
      <c r="CU180" s="409">
        <f t="shared" si="105"/>
        <v>0</v>
      </c>
      <c r="CV180" s="409">
        <f t="shared" si="105"/>
        <v>0</v>
      </c>
      <c r="CW180" s="409">
        <f t="shared" si="105"/>
        <v>0</v>
      </c>
    </row>
    <row r="181" spans="27:101">
      <c r="AA181" s="408">
        <v>12</v>
      </c>
      <c r="AD181" s="409">
        <f t="shared" si="103"/>
        <v>0</v>
      </c>
      <c r="AE181" s="409">
        <f t="shared" si="103"/>
        <v>0</v>
      </c>
      <c r="AF181" s="409">
        <f t="shared" si="103"/>
        <v>0</v>
      </c>
      <c r="AG181" s="409">
        <f t="shared" si="103"/>
        <v>0</v>
      </c>
      <c r="AH181" s="409">
        <f t="shared" si="103"/>
        <v>0</v>
      </c>
      <c r="AI181" s="409">
        <f t="shared" si="103"/>
        <v>0</v>
      </c>
      <c r="AJ181" s="409">
        <f t="shared" si="103"/>
        <v>0</v>
      </c>
      <c r="AK181" s="409">
        <f t="shared" si="103"/>
        <v>0</v>
      </c>
      <c r="AL181" s="409">
        <f t="shared" si="103"/>
        <v>0</v>
      </c>
      <c r="AM181" s="409">
        <f t="shared" si="103"/>
        <v>0</v>
      </c>
      <c r="AN181" s="409">
        <f t="shared" si="103"/>
        <v>0</v>
      </c>
      <c r="AO181" s="409">
        <f t="shared" si="103"/>
        <v>0</v>
      </c>
      <c r="AP181" s="409">
        <f t="shared" si="103"/>
        <v>0</v>
      </c>
      <c r="AQ181" s="409">
        <f t="shared" si="103"/>
        <v>0</v>
      </c>
      <c r="AR181" s="409">
        <f t="shared" si="103"/>
        <v>0</v>
      </c>
      <c r="AS181" s="409">
        <f t="shared" si="103"/>
        <v>0</v>
      </c>
      <c r="AT181" s="409">
        <f t="shared" si="105"/>
        <v>0</v>
      </c>
      <c r="AU181" s="409">
        <f t="shared" si="105"/>
        <v>0</v>
      </c>
      <c r="AV181" s="409">
        <f t="shared" si="105"/>
        <v>0</v>
      </c>
      <c r="AW181" s="409">
        <f t="shared" si="105"/>
        <v>0</v>
      </c>
      <c r="AX181" s="409">
        <f t="shared" si="105"/>
        <v>0</v>
      </c>
      <c r="AY181" s="409">
        <f t="shared" si="105"/>
        <v>0</v>
      </c>
      <c r="AZ181" s="409">
        <f t="shared" si="105"/>
        <v>0</v>
      </c>
      <c r="BA181" s="409">
        <f t="shared" si="105"/>
        <v>0</v>
      </c>
      <c r="BB181" s="409">
        <f t="shared" si="105"/>
        <v>0</v>
      </c>
      <c r="BC181" s="409">
        <f t="shared" si="105"/>
        <v>0</v>
      </c>
      <c r="BD181" s="409">
        <f t="shared" si="105"/>
        <v>0</v>
      </c>
      <c r="BE181" s="409">
        <f t="shared" si="105"/>
        <v>0</v>
      </c>
      <c r="BF181" s="409">
        <f t="shared" si="105"/>
        <v>0</v>
      </c>
      <c r="BG181" s="409">
        <f t="shared" si="105"/>
        <v>0</v>
      </c>
      <c r="BH181" s="409">
        <f t="shared" si="105"/>
        <v>0</v>
      </c>
      <c r="BI181" s="409">
        <f t="shared" si="105"/>
        <v>0</v>
      </c>
      <c r="BJ181" s="409">
        <f t="shared" si="105"/>
        <v>0</v>
      </c>
      <c r="BK181" s="409">
        <f t="shared" si="105"/>
        <v>0</v>
      </c>
      <c r="BL181" s="409">
        <f t="shared" si="105"/>
        <v>0</v>
      </c>
      <c r="BM181" s="409">
        <f t="shared" si="105"/>
        <v>0</v>
      </c>
      <c r="BN181" s="409">
        <f t="shared" si="105"/>
        <v>0</v>
      </c>
      <c r="BO181" s="409">
        <f t="shared" si="105"/>
        <v>0</v>
      </c>
      <c r="BP181" s="409">
        <f t="shared" si="105"/>
        <v>0</v>
      </c>
      <c r="BQ181" s="409">
        <f t="shared" si="105"/>
        <v>0</v>
      </c>
      <c r="BR181" s="409">
        <f t="shared" si="105"/>
        <v>0</v>
      </c>
      <c r="BS181" s="409">
        <f t="shared" si="105"/>
        <v>0</v>
      </c>
      <c r="BT181" s="409">
        <f t="shared" si="105"/>
        <v>0</v>
      </c>
      <c r="BU181" s="409">
        <f t="shared" si="105"/>
        <v>0</v>
      </c>
      <c r="BV181" s="409">
        <f t="shared" si="105"/>
        <v>0</v>
      </c>
      <c r="BW181" s="409">
        <f t="shared" si="105"/>
        <v>0</v>
      </c>
      <c r="BX181" s="409">
        <f t="shared" si="105"/>
        <v>0</v>
      </c>
      <c r="BY181" s="409">
        <f t="shared" ref="BY181:CW181" si="106">IF(AND(BY$3&gt;=$AC89,BY$3&lt;($AC89+$Z89)),IPMT($Y89/12,BY$3-$AC89+1,$Z89,-$AB89),0)</f>
        <v>0</v>
      </c>
      <c r="BZ181" s="409">
        <f t="shared" si="106"/>
        <v>0</v>
      </c>
      <c r="CA181" s="409">
        <f t="shared" si="106"/>
        <v>0</v>
      </c>
      <c r="CB181" s="409">
        <f t="shared" si="106"/>
        <v>0</v>
      </c>
      <c r="CC181" s="409">
        <f t="shared" si="106"/>
        <v>0</v>
      </c>
      <c r="CD181" s="409">
        <f t="shared" si="106"/>
        <v>0</v>
      </c>
      <c r="CE181" s="409">
        <f t="shared" si="106"/>
        <v>0</v>
      </c>
      <c r="CF181" s="409">
        <f t="shared" si="106"/>
        <v>0</v>
      </c>
      <c r="CG181" s="409">
        <f t="shared" si="106"/>
        <v>0</v>
      </c>
      <c r="CH181" s="409">
        <f t="shared" si="106"/>
        <v>0</v>
      </c>
      <c r="CI181" s="409">
        <f t="shared" si="106"/>
        <v>0</v>
      </c>
      <c r="CJ181" s="409">
        <f t="shared" si="106"/>
        <v>0</v>
      </c>
      <c r="CK181" s="409">
        <f t="shared" si="106"/>
        <v>0</v>
      </c>
      <c r="CL181" s="409">
        <f t="shared" si="106"/>
        <v>0</v>
      </c>
      <c r="CM181" s="409">
        <f t="shared" si="106"/>
        <v>0</v>
      </c>
      <c r="CN181" s="409">
        <f t="shared" si="106"/>
        <v>0</v>
      </c>
      <c r="CO181" s="409">
        <f t="shared" si="106"/>
        <v>0</v>
      </c>
      <c r="CP181" s="409">
        <f t="shared" si="106"/>
        <v>0</v>
      </c>
      <c r="CQ181" s="409">
        <f t="shared" si="106"/>
        <v>0</v>
      </c>
      <c r="CR181" s="409">
        <f t="shared" si="106"/>
        <v>0</v>
      </c>
      <c r="CS181" s="409">
        <f t="shared" si="106"/>
        <v>0</v>
      </c>
      <c r="CT181" s="409">
        <f t="shared" si="106"/>
        <v>0</v>
      </c>
      <c r="CU181" s="409">
        <f t="shared" si="106"/>
        <v>0</v>
      </c>
      <c r="CV181" s="409">
        <f t="shared" si="106"/>
        <v>0</v>
      </c>
      <c r="CW181" s="409">
        <f t="shared" si="106"/>
        <v>0</v>
      </c>
    </row>
    <row r="182" spans="27:101">
      <c r="AA182" s="408">
        <v>13</v>
      </c>
      <c r="AD182" s="409">
        <f t="shared" si="103"/>
        <v>0</v>
      </c>
      <c r="AE182" s="409">
        <f t="shared" si="103"/>
        <v>0</v>
      </c>
      <c r="AF182" s="409">
        <f t="shared" si="103"/>
        <v>0</v>
      </c>
      <c r="AG182" s="409">
        <f t="shared" si="103"/>
        <v>0</v>
      </c>
      <c r="AH182" s="409">
        <f t="shared" si="103"/>
        <v>0</v>
      </c>
      <c r="AI182" s="409">
        <f t="shared" si="103"/>
        <v>0</v>
      </c>
      <c r="AJ182" s="409">
        <f t="shared" si="103"/>
        <v>0</v>
      </c>
      <c r="AK182" s="409">
        <f t="shared" si="103"/>
        <v>0</v>
      </c>
      <c r="AL182" s="409">
        <f t="shared" si="103"/>
        <v>0</v>
      </c>
      <c r="AM182" s="409">
        <f t="shared" si="103"/>
        <v>0</v>
      </c>
      <c r="AN182" s="409">
        <f t="shared" si="103"/>
        <v>0</v>
      </c>
      <c r="AO182" s="409">
        <f t="shared" si="103"/>
        <v>0</v>
      </c>
      <c r="AP182" s="409">
        <f t="shared" si="103"/>
        <v>0</v>
      </c>
      <c r="AQ182" s="409">
        <f t="shared" si="103"/>
        <v>0</v>
      </c>
      <c r="AR182" s="409">
        <f t="shared" si="103"/>
        <v>0</v>
      </c>
      <c r="AS182" s="409">
        <f t="shared" si="103"/>
        <v>0</v>
      </c>
      <c r="AT182" s="409">
        <f t="shared" ref="AT182:CW186" si="107">IF(AND(AT$3&gt;=$AC90,AT$3&lt;($AC90+$Z90)),IPMT($Y90/12,AT$3-$AC90+1,$Z90,-$AB90),0)</f>
        <v>0</v>
      </c>
      <c r="AU182" s="409">
        <f t="shared" si="107"/>
        <v>0</v>
      </c>
      <c r="AV182" s="409">
        <f t="shared" si="107"/>
        <v>0</v>
      </c>
      <c r="AW182" s="409">
        <f t="shared" si="107"/>
        <v>0</v>
      </c>
      <c r="AX182" s="409">
        <f t="shared" si="107"/>
        <v>0</v>
      </c>
      <c r="AY182" s="409">
        <f t="shared" si="107"/>
        <v>0</v>
      </c>
      <c r="AZ182" s="409">
        <f t="shared" si="107"/>
        <v>0</v>
      </c>
      <c r="BA182" s="409">
        <f t="shared" si="107"/>
        <v>0</v>
      </c>
      <c r="BB182" s="409">
        <f t="shared" si="107"/>
        <v>0</v>
      </c>
      <c r="BC182" s="409">
        <f t="shared" si="107"/>
        <v>0</v>
      </c>
      <c r="BD182" s="409">
        <f t="shared" si="107"/>
        <v>0</v>
      </c>
      <c r="BE182" s="409">
        <f t="shared" si="107"/>
        <v>0</v>
      </c>
      <c r="BF182" s="409">
        <f t="shared" si="107"/>
        <v>0</v>
      </c>
      <c r="BG182" s="409">
        <f t="shared" si="107"/>
        <v>0</v>
      </c>
      <c r="BH182" s="409">
        <f t="shared" si="107"/>
        <v>0</v>
      </c>
      <c r="BI182" s="409">
        <f t="shared" si="107"/>
        <v>0</v>
      </c>
      <c r="BJ182" s="409">
        <f t="shared" si="107"/>
        <v>0</v>
      </c>
      <c r="BK182" s="409">
        <f t="shared" si="107"/>
        <v>0</v>
      </c>
      <c r="BL182" s="409">
        <f t="shared" si="107"/>
        <v>0</v>
      </c>
      <c r="BM182" s="409">
        <f t="shared" si="107"/>
        <v>0</v>
      </c>
      <c r="BN182" s="409">
        <f t="shared" si="107"/>
        <v>0</v>
      </c>
      <c r="BO182" s="409">
        <f t="shared" si="107"/>
        <v>0</v>
      </c>
      <c r="BP182" s="409">
        <f t="shared" si="107"/>
        <v>0</v>
      </c>
      <c r="BQ182" s="409">
        <f t="shared" si="107"/>
        <v>0</v>
      </c>
      <c r="BR182" s="409">
        <f t="shared" si="107"/>
        <v>0</v>
      </c>
      <c r="BS182" s="409">
        <f t="shared" si="107"/>
        <v>0</v>
      </c>
      <c r="BT182" s="409">
        <f t="shared" si="107"/>
        <v>0</v>
      </c>
      <c r="BU182" s="409">
        <f t="shared" si="107"/>
        <v>0</v>
      </c>
      <c r="BV182" s="409">
        <f t="shared" si="107"/>
        <v>0</v>
      </c>
      <c r="BW182" s="409">
        <f t="shared" si="107"/>
        <v>0</v>
      </c>
      <c r="BX182" s="409">
        <f t="shared" si="107"/>
        <v>0</v>
      </c>
      <c r="BY182" s="409">
        <f t="shared" si="107"/>
        <v>0</v>
      </c>
      <c r="BZ182" s="409">
        <f t="shared" si="107"/>
        <v>0</v>
      </c>
      <c r="CA182" s="409">
        <f t="shared" si="107"/>
        <v>0</v>
      </c>
      <c r="CB182" s="409">
        <f t="shared" si="107"/>
        <v>0</v>
      </c>
      <c r="CC182" s="409">
        <f t="shared" si="107"/>
        <v>0</v>
      </c>
      <c r="CD182" s="409">
        <f t="shared" si="107"/>
        <v>0</v>
      </c>
      <c r="CE182" s="409">
        <f t="shared" si="107"/>
        <v>0</v>
      </c>
      <c r="CF182" s="409">
        <f t="shared" si="107"/>
        <v>0</v>
      </c>
      <c r="CG182" s="409">
        <f t="shared" si="107"/>
        <v>0</v>
      </c>
      <c r="CH182" s="409">
        <f t="shared" si="107"/>
        <v>0</v>
      </c>
      <c r="CI182" s="409">
        <f t="shared" si="107"/>
        <v>0</v>
      </c>
      <c r="CJ182" s="409">
        <f t="shared" si="107"/>
        <v>0</v>
      </c>
      <c r="CK182" s="409">
        <f t="shared" si="107"/>
        <v>0</v>
      </c>
      <c r="CL182" s="409">
        <f t="shared" si="107"/>
        <v>0</v>
      </c>
      <c r="CM182" s="409">
        <f t="shared" si="107"/>
        <v>0</v>
      </c>
      <c r="CN182" s="409">
        <f t="shared" si="107"/>
        <v>0</v>
      </c>
      <c r="CO182" s="409">
        <f t="shared" si="107"/>
        <v>0</v>
      </c>
      <c r="CP182" s="409">
        <f t="shared" si="107"/>
        <v>0</v>
      </c>
      <c r="CQ182" s="409">
        <f t="shared" si="107"/>
        <v>0</v>
      </c>
      <c r="CR182" s="409">
        <f t="shared" si="107"/>
        <v>0</v>
      </c>
      <c r="CS182" s="409">
        <f t="shared" si="107"/>
        <v>0</v>
      </c>
      <c r="CT182" s="409">
        <f t="shared" si="107"/>
        <v>0</v>
      </c>
      <c r="CU182" s="409">
        <f t="shared" si="107"/>
        <v>0</v>
      </c>
      <c r="CV182" s="409">
        <f t="shared" si="107"/>
        <v>0</v>
      </c>
      <c r="CW182" s="409">
        <f t="shared" si="107"/>
        <v>0</v>
      </c>
    </row>
    <row r="183" spans="27:101">
      <c r="AA183" s="408">
        <v>14</v>
      </c>
      <c r="AD183" s="409">
        <f t="shared" si="103"/>
        <v>0</v>
      </c>
      <c r="AE183" s="409">
        <f t="shared" si="103"/>
        <v>0</v>
      </c>
      <c r="AF183" s="409">
        <f t="shared" si="103"/>
        <v>0</v>
      </c>
      <c r="AG183" s="409">
        <f t="shared" si="103"/>
        <v>0</v>
      </c>
      <c r="AH183" s="409">
        <f t="shared" si="103"/>
        <v>0</v>
      </c>
      <c r="AI183" s="409">
        <f t="shared" si="103"/>
        <v>0</v>
      </c>
      <c r="AJ183" s="409">
        <f t="shared" si="103"/>
        <v>0</v>
      </c>
      <c r="AK183" s="409">
        <f t="shared" si="103"/>
        <v>0</v>
      </c>
      <c r="AL183" s="409">
        <f t="shared" si="103"/>
        <v>0</v>
      </c>
      <c r="AM183" s="409">
        <f t="shared" si="103"/>
        <v>0</v>
      </c>
      <c r="AN183" s="409">
        <f t="shared" si="103"/>
        <v>0</v>
      </c>
      <c r="AO183" s="409">
        <f t="shared" si="103"/>
        <v>0</v>
      </c>
      <c r="AP183" s="409">
        <f t="shared" si="103"/>
        <v>0</v>
      </c>
      <c r="AQ183" s="409">
        <f t="shared" si="103"/>
        <v>0</v>
      </c>
      <c r="AR183" s="409">
        <f t="shared" si="103"/>
        <v>0</v>
      </c>
      <c r="AS183" s="409">
        <f t="shared" si="103"/>
        <v>0</v>
      </c>
      <c r="AT183" s="409">
        <f t="shared" si="107"/>
        <v>0</v>
      </c>
      <c r="AU183" s="409">
        <f t="shared" si="107"/>
        <v>0</v>
      </c>
      <c r="AV183" s="409">
        <f t="shared" si="107"/>
        <v>0</v>
      </c>
      <c r="AW183" s="409">
        <f t="shared" si="107"/>
        <v>0</v>
      </c>
      <c r="AX183" s="409">
        <f t="shared" si="107"/>
        <v>0</v>
      </c>
      <c r="AY183" s="409">
        <f t="shared" si="107"/>
        <v>0</v>
      </c>
      <c r="AZ183" s="409">
        <f t="shared" si="107"/>
        <v>0</v>
      </c>
      <c r="BA183" s="409">
        <f t="shared" si="107"/>
        <v>0</v>
      </c>
      <c r="BB183" s="409">
        <f t="shared" si="107"/>
        <v>0</v>
      </c>
      <c r="BC183" s="409">
        <f t="shared" si="107"/>
        <v>0</v>
      </c>
      <c r="BD183" s="409">
        <f t="shared" si="107"/>
        <v>0</v>
      </c>
      <c r="BE183" s="409">
        <f t="shared" si="107"/>
        <v>0</v>
      </c>
      <c r="BF183" s="409">
        <f t="shared" si="107"/>
        <v>0</v>
      </c>
      <c r="BG183" s="409">
        <f t="shared" si="107"/>
        <v>0</v>
      </c>
      <c r="BH183" s="409">
        <f t="shared" si="107"/>
        <v>0</v>
      </c>
      <c r="BI183" s="409">
        <f t="shared" si="107"/>
        <v>0</v>
      </c>
      <c r="BJ183" s="409">
        <f t="shared" si="107"/>
        <v>0</v>
      </c>
      <c r="BK183" s="409">
        <f t="shared" si="107"/>
        <v>0</v>
      </c>
      <c r="BL183" s="409">
        <f t="shared" si="107"/>
        <v>0</v>
      </c>
      <c r="BM183" s="409">
        <f t="shared" si="107"/>
        <v>0</v>
      </c>
      <c r="BN183" s="409">
        <f t="shared" si="107"/>
        <v>0</v>
      </c>
      <c r="BO183" s="409">
        <f t="shared" si="107"/>
        <v>0</v>
      </c>
      <c r="BP183" s="409">
        <f t="shared" si="107"/>
        <v>0</v>
      </c>
      <c r="BQ183" s="409">
        <f t="shared" si="107"/>
        <v>0</v>
      </c>
      <c r="BR183" s="409">
        <f t="shared" si="107"/>
        <v>0</v>
      </c>
      <c r="BS183" s="409">
        <f t="shared" si="107"/>
        <v>0</v>
      </c>
      <c r="BT183" s="409">
        <f t="shared" si="107"/>
        <v>0</v>
      </c>
      <c r="BU183" s="409">
        <f t="shared" si="107"/>
        <v>0</v>
      </c>
      <c r="BV183" s="409">
        <f t="shared" si="107"/>
        <v>0</v>
      </c>
      <c r="BW183" s="409">
        <f t="shared" si="107"/>
        <v>0</v>
      </c>
      <c r="BX183" s="409">
        <f t="shared" si="107"/>
        <v>0</v>
      </c>
      <c r="BY183" s="409">
        <f t="shared" si="107"/>
        <v>0</v>
      </c>
      <c r="BZ183" s="409">
        <f t="shared" si="107"/>
        <v>0</v>
      </c>
      <c r="CA183" s="409">
        <f t="shared" si="107"/>
        <v>0</v>
      </c>
      <c r="CB183" s="409">
        <f t="shared" si="107"/>
        <v>0</v>
      </c>
      <c r="CC183" s="409">
        <f t="shared" si="107"/>
        <v>0</v>
      </c>
      <c r="CD183" s="409">
        <f t="shared" si="107"/>
        <v>0</v>
      </c>
      <c r="CE183" s="409">
        <f t="shared" si="107"/>
        <v>0</v>
      </c>
      <c r="CF183" s="409">
        <f t="shared" si="107"/>
        <v>0</v>
      </c>
      <c r="CG183" s="409">
        <f t="shared" si="107"/>
        <v>0</v>
      </c>
      <c r="CH183" s="409">
        <f t="shared" si="107"/>
        <v>0</v>
      </c>
      <c r="CI183" s="409">
        <f t="shared" si="107"/>
        <v>0</v>
      </c>
      <c r="CJ183" s="409">
        <f t="shared" si="107"/>
        <v>0</v>
      </c>
      <c r="CK183" s="409">
        <f t="shared" si="107"/>
        <v>0</v>
      </c>
      <c r="CL183" s="409">
        <f t="shared" si="107"/>
        <v>0</v>
      </c>
      <c r="CM183" s="409">
        <f t="shared" si="107"/>
        <v>0</v>
      </c>
      <c r="CN183" s="409">
        <f t="shared" si="107"/>
        <v>0</v>
      </c>
      <c r="CO183" s="409">
        <f t="shared" si="107"/>
        <v>0</v>
      </c>
      <c r="CP183" s="409">
        <f t="shared" si="107"/>
        <v>0</v>
      </c>
      <c r="CQ183" s="409">
        <f t="shared" si="107"/>
        <v>0</v>
      </c>
      <c r="CR183" s="409">
        <f t="shared" si="107"/>
        <v>0</v>
      </c>
      <c r="CS183" s="409">
        <f t="shared" si="107"/>
        <v>0</v>
      </c>
      <c r="CT183" s="409">
        <f t="shared" si="107"/>
        <v>0</v>
      </c>
      <c r="CU183" s="409">
        <f t="shared" si="107"/>
        <v>0</v>
      </c>
      <c r="CV183" s="409">
        <f t="shared" si="107"/>
        <v>0</v>
      </c>
      <c r="CW183" s="409">
        <f t="shared" si="107"/>
        <v>0</v>
      </c>
    </row>
    <row r="184" spans="27:101">
      <c r="AA184" s="408">
        <v>15</v>
      </c>
      <c r="AD184" s="409">
        <f t="shared" si="103"/>
        <v>0</v>
      </c>
      <c r="AE184" s="409">
        <f t="shared" si="103"/>
        <v>0</v>
      </c>
      <c r="AF184" s="409">
        <f t="shared" si="103"/>
        <v>0</v>
      </c>
      <c r="AG184" s="409">
        <f t="shared" si="103"/>
        <v>0</v>
      </c>
      <c r="AH184" s="409">
        <f t="shared" si="103"/>
        <v>0</v>
      </c>
      <c r="AI184" s="409">
        <f t="shared" si="103"/>
        <v>0</v>
      </c>
      <c r="AJ184" s="409">
        <f t="shared" si="103"/>
        <v>0</v>
      </c>
      <c r="AK184" s="409">
        <f t="shared" si="103"/>
        <v>0</v>
      </c>
      <c r="AL184" s="409">
        <f t="shared" si="103"/>
        <v>0</v>
      </c>
      <c r="AM184" s="409">
        <f t="shared" si="103"/>
        <v>0</v>
      </c>
      <c r="AN184" s="409">
        <f t="shared" si="103"/>
        <v>0</v>
      </c>
      <c r="AO184" s="409">
        <f t="shared" si="103"/>
        <v>0</v>
      </c>
      <c r="AP184" s="409">
        <f t="shared" si="103"/>
        <v>0</v>
      </c>
      <c r="AQ184" s="409">
        <f t="shared" si="103"/>
        <v>0</v>
      </c>
      <c r="AR184" s="409">
        <f t="shared" si="103"/>
        <v>0</v>
      </c>
      <c r="AS184" s="409">
        <f t="shared" si="103"/>
        <v>0</v>
      </c>
      <c r="AT184" s="409">
        <f t="shared" si="107"/>
        <v>0</v>
      </c>
      <c r="AU184" s="409">
        <f t="shared" si="107"/>
        <v>0</v>
      </c>
      <c r="AV184" s="409">
        <f t="shared" si="107"/>
        <v>0</v>
      </c>
      <c r="AW184" s="409">
        <f t="shared" si="107"/>
        <v>0</v>
      </c>
      <c r="AX184" s="409">
        <f t="shared" si="107"/>
        <v>0</v>
      </c>
      <c r="AY184" s="409">
        <f t="shared" si="107"/>
        <v>0</v>
      </c>
      <c r="AZ184" s="409">
        <f t="shared" si="107"/>
        <v>0</v>
      </c>
      <c r="BA184" s="409">
        <f t="shared" si="107"/>
        <v>0</v>
      </c>
      <c r="BB184" s="409">
        <f t="shared" si="107"/>
        <v>0</v>
      </c>
      <c r="BC184" s="409">
        <f t="shared" si="107"/>
        <v>0</v>
      </c>
      <c r="BD184" s="409">
        <f t="shared" si="107"/>
        <v>0</v>
      </c>
      <c r="BE184" s="409">
        <f t="shared" si="107"/>
        <v>0</v>
      </c>
      <c r="BF184" s="409">
        <f t="shared" si="107"/>
        <v>0</v>
      </c>
      <c r="BG184" s="409">
        <f t="shared" si="107"/>
        <v>0</v>
      </c>
      <c r="BH184" s="409">
        <f t="shared" si="107"/>
        <v>0</v>
      </c>
      <c r="BI184" s="409">
        <f t="shared" si="107"/>
        <v>0</v>
      </c>
      <c r="BJ184" s="409">
        <f t="shared" si="107"/>
        <v>0</v>
      </c>
      <c r="BK184" s="409">
        <f t="shared" si="107"/>
        <v>0</v>
      </c>
      <c r="BL184" s="409">
        <f t="shared" si="107"/>
        <v>0</v>
      </c>
      <c r="BM184" s="409">
        <f t="shared" si="107"/>
        <v>0</v>
      </c>
      <c r="BN184" s="409">
        <f t="shared" si="107"/>
        <v>0</v>
      </c>
      <c r="BO184" s="409">
        <f t="shared" si="107"/>
        <v>0</v>
      </c>
      <c r="BP184" s="409">
        <f t="shared" si="107"/>
        <v>0</v>
      </c>
      <c r="BQ184" s="409">
        <f t="shared" si="107"/>
        <v>0</v>
      </c>
      <c r="BR184" s="409">
        <f t="shared" si="107"/>
        <v>0</v>
      </c>
      <c r="BS184" s="409">
        <f t="shared" si="107"/>
        <v>0</v>
      </c>
      <c r="BT184" s="409">
        <f t="shared" si="107"/>
        <v>0</v>
      </c>
      <c r="BU184" s="409">
        <f t="shared" si="107"/>
        <v>0</v>
      </c>
      <c r="BV184" s="409">
        <f t="shared" si="107"/>
        <v>0</v>
      </c>
      <c r="BW184" s="409">
        <f t="shared" si="107"/>
        <v>0</v>
      </c>
      <c r="BX184" s="409">
        <f t="shared" si="107"/>
        <v>0</v>
      </c>
      <c r="BY184" s="409">
        <f t="shared" si="107"/>
        <v>0</v>
      </c>
      <c r="BZ184" s="409">
        <f t="shared" si="107"/>
        <v>0</v>
      </c>
      <c r="CA184" s="409">
        <f t="shared" si="107"/>
        <v>0</v>
      </c>
      <c r="CB184" s="409">
        <f t="shared" si="107"/>
        <v>0</v>
      </c>
      <c r="CC184" s="409">
        <f t="shared" si="107"/>
        <v>0</v>
      </c>
      <c r="CD184" s="409">
        <f t="shared" si="107"/>
        <v>0</v>
      </c>
      <c r="CE184" s="409">
        <f t="shared" si="107"/>
        <v>0</v>
      </c>
      <c r="CF184" s="409">
        <f t="shared" si="107"/>
        <v>0</v>
      </c>
      <c r="CG184" s="409">
        <f t="shared" si="107"/>
        <v>0</v>
      </c>
      <c r="CH184" s="409">
        <f t="shared" si="107"/>
        <v>0</v>
      </c>
      <c r="CI184" s="409">
        <f t="shared" si="107"/>
        <v>0</v>
      </c>
      <c r="CJ184" s="409">
        <f t="shared" si="107"/>
        <v>0</v>
      </c>
      <c r="CK184" s="409">
        <f t="shared" si="107"/>
        <v>0</v>
      </c>
      <c r="CL184" s="409">
        <f t="shared" si="107"/>
        <v>0</v>
      </c>
      <c r="CM184" s="409">
        <f t="shared" si="107"/>
        <v>0</v>
      </c>
      <c r="CN184" s="409">
        <f t="shared" si="107"/>
        <v>0</v>
      </c>
      <c r="CO184" s="409">
        <f t="shared" si="107"/>
        <v>0</v>
      </c>
      <c r="CP184" s="409">
        <f t="shared" si="107"/>
        <v>0</v>
      </c>
      <c r="CQ184" s="409">
        <f t="shared" si="107"/>
        <v>0</v>
      </c>
      <c r="CR184" s="409">
        <f t="shared" si="107"/>
        <v>0</v>
      </c>
      <c r="CS184" s="409">
        <f t="shared" si="107"/>
        <v>0</v>
      </c>
      <c r="CT184" s="409">
        <f t="shared" si="107"/>
        <v>0</v>
      </c>
      <c r="CU184" s="409">
        <f t="shared" si="107"/>
        <v>0</v>
      </c>
      <c r="CV184" s="409">
        <f t="shared" si="107"/>
        <v>0</v>
      </c>
      <c r="CW184" s="409">
        <f t="shared" si="107"/>
        <v>0</v>
      </c>
    </row>
    <row r="185" spans="27:101">
      <c r="AA185" s="408">
        <v>16</v>
      </c>
      <c r="AD185" s="409">
        <f t="shared" si="103"/>
        <v>0</v>
      </c>
      <c r="AE185" s="409">
        <f t="shared" si="103"/>
        <v>0</v>
      </c>
      <c r="AF185" s="409">
        <f t="shared" si="103"/>
        <v>0</v>
      </c>
      <c r="AG185" s="409">
        <f t="shared" si="103"/>
        <v>0</v>
      </c>
      <c r="AH185" s="409">
        <f t="shared" si="103"/>
        <v>0</v>
      </c>
      <c r="AI185" s="409">
        <f t="shared" si="103"/>
        <v>0</v>
      </c>
      <c r="AJ185" s="409">
        <f t="shared" si="103"/>
        <v>0</v>
      </c>
      <c r="AK185" s="409">
        <f t="shared" si="103"/>
        <v>0</v>
      </c>
      <c r="AL185" s="409">
        <f t="shared" si="103"/>
        <v>0</v>
      </c>
      <c r="AM185" s="409">
        <f t="shared" si="103"/>
        <v>0</v>
      </c>
      <c r="AN185" s="409">
        <f t="shared" si="103"/>
        <v>0</v>
      </c>
      <c r="AO185" s="409">
        <f t="shared" si="103"/>
        <v>0</v>
      </c>
      <c r="AP185" s="409">
        <f t="shared" si="103"/>
        <v>0</v>
      </c>
      <c r="AQ185" s="409">
        <f t="shared" si="103"/>
        <v>0</v>
      </c>
      <c r="AR185" s="409">
        <f t="shared" si="103"/>
        <v>0</v>
      </c>
      <c r="AS185" s="409">
        <f t="shared" si="103"/>
        <v>0</v>
      </c>
      <c r="AT185" s="409">
        <f t="shared" si="107"/>
        <v>0</v>
      </c>
      <c r="AU185" s="409">
        <f t="shared" si="107"/>
        <v>0</v>
      </c>
      <c r="AV185" s="409">
        <f t="shared" si="107"/>
        <v>0</v>
      </c>
      <c r="AW185" s="409">
        <f t="shared" si="107"/>
        <v>0</v>
      </c>
      <c r="AX185" s="409">
        <f t="shared" si="107"/>
        <v>0</v>
      </c>
      <c r="AY185" s="409">
        <f t="shared" si="107"/>
        <v>0</v>
      </c>
      <c r="AZ185" s="409">
        <f t="shared" si="107"/>
        <v>0</v>
      </c>
      <c r="BA185" s="409">
        <f t="shared" si="107"/>
        <v>0</v>
      </c>
      <c r="BB185" s="409">
        <f t="shared" si="107"/>
        <v>0</v>
      </c>
      <c r="BC185" s="409">
        <f t="shared" si="107"/>
        <v>0</v>
      </c>
      <c r="BD185" s="409">
        <f t="shared" si="107"/>
        <v>0</v>
      </c>
      <c r="BE185" s="409">
        <f t="shared" si="107"/>
        <v>0</v>
      </c>
      <c r="BF185" s="409">
        <f t="shared" si="107"/>
        <v>0</v>
      </c>
      <c r="BG185" s="409">
        <f t="shared" si="107"/>
        <v>0</v>
      </c>
      <c r="BH185" s="409">
        <f t="shared" si="107"/>
        <v>0</v>
      </c>
      <c r="BI185" s="409">
        <f t="shared" si="107"/>
        <v>0</v>
      </c>
      <c r="BJ185" s="409">
        <f t="shared" si="107"/>
        <v>0</v>
      </c>
      <c r="BK185" s="409">
        <f t="shared" si="107"/>
        <v>0</v>
      </c>
      <c r="BL185" s="409">
        <f t="shared" si="107"/>
        <v>0</v>
      </c>
      <c r="BM185" s="409">
        <f t="shared" si="107"/>
        <v>0</v>
      </c>
      <c r="BN185" s="409">
        <f t="shared" si="107"/>
        <v>0</v>
      </c>
      <c r="BO185" s="409">
        <f t="shared" si="107"/>
        <v>0</v>
      </c>
      <c r="BP185" s="409">
        <f t="shared" si="107"/>
        <v>0</v>
      </c>
      <c r="BQ185" s="409">
        <f t="shared" si="107"/>
        <v>0</v>
      </c>
      <c r="BR185" s="409">
        <f t="shared" si="107"/>
        <v>0</v>
      </c>
      <c r="BS185" s="409">
        <f t="shared" si="107"/>
        <v>0</v>
      </c>
      <c r="BT185" s="409">
        <f t="shared" si="107"/>
        <v>0</v>
      </c>
      <c r="BU185" s="409">
        <f t="shared" si="107"/>
        <v>0</v>
      </c>
      <c r="BV185" s="409">
        <f t="shared" si="107"/>
        <v>0</v>
      </c>
      <c r="BW185" s="409">
        <f t="shared" si="107"/>
        <v>0</v>
      </c>
      <c r="BX185" s="409">
        <f t="shared" si="107"/>
        <v>0</v>
      </c>
      <c r="BY185" s="409">
        <f t="shared" si="107"/>
        <v>0</v>
      </c>
      <c r="BZ185" s="409">
        <f t="shared" si="107"/>
        <v>0</v>
      </c>
      <c r="CA185" s="409">
        <f t="shared" si="107"/>
        <v>0</v>
      </c>
      <c r="CB185" s="409">
        <f t="shared" si="107"/>
        <v>0</v>
      </c>
      <c r="CC185" s="409">
        <f t="shared" si="107"/>
        <v>0</v>
      </c>
      <c r="CD185" s="409">
        <f t="shared" si="107"/>
        <v>0</v>
      </c>
      <c r="CE185" s="409">
        <f t="shared" si="107"/>
        <v>0</v>
      </c>
      <c r="CF185" s="409">
        <f t="shared" si="107"/>
        <v>0</v>
      </c>
      <c r="CG185" s="409">
        <f t="shared" si="107"/>
        <v>0</v>
      </c>
      <c r="CH185" s="409">
        <f t="shared" si="107"/>
        <v>0</v>
      </c>
      <c r="CI185" s="409">
        <f t="shared" si="107"/>
        <v>0</v>
      </c>
      <c r="CJ185" s="409">
        <f t="shared" si="107"/>
        <v>0</v>
      </c>
      <c r="CK185" s="409">
        <f t="shared" si="107"/>
        <v>0</v>
      </c>
      <c r="CL185" s="409">
        <f t="shared" si="107"/>
        <v>0</v>
      </c>
      <c r="CM185" s="409">
        <f t="shared" si="107"/>
        <v>0</v>
      </c>
      <c r="CN185" s="409">
        <f t="shared" si="107"/>
        <v>0</v>
      </c>
      <c r="CO185" s="409">
        <f t="shared" si="107"/>
        <v>0</v>
      </c>
      <c r="CP185" s="409">
        <f t="shared" si="107"/>
        <v>0</v>
      </c>
      <c r="CQ185" s="409">
        <f t="shared" si="107"/>
        <v>0</v>
      </c>
      <c r="CR185" s="409">
        <f t="shared" si="107"/>
        <v>0</v>
      </c>
      <c r="CS185" s="409">
        <f t="shared" si="107"/>
        <v>0</v>
      </c>
      <c r="CT185" s="409">
        <f t="shared" si="107"/>
        <v>0</v>
      </c>
      <c r="CU185" s="409">
        <f t="shared" si="107"/>
        <v>0</v>
      </c>
      <c r="CV185" s="409">
        <f t="shared" si="107"/>
        <v>0</v>
      </c>
      <c r="CW185" s="409">
        <f t="shared" si="107"/>
        <v>0</v>
      </c>
    </row>
    <row r="186" spans="27:101">
      <c r="AA186" s="408">
        <v>17</v>
      </c>
      <c r="AD186" s="409">
        <f t="shared" si="103"/>
        <v>0</v>
      </c>
      <c r="AE186" s="409">
        <f t="shared" si="103"/>
        <v>0</v>
      </c>
      <c r="AF186" s="409">
        <f t="shared" si="103"/>
        <v>0</v>
      </c>
      <c r="AG186" s="409">
        <f t="shared" si="103"/>
        <v>0</v>
      </c>
      <c r="AH186" s="409">
        <f t="shared" si="103"/>
        <v>0</v>
      </c>
      <c r="AI186" s="409">
        <f t="shared" si="103"/>
        <v>0</v>
      </c>
      <c r="AJ186" s="409">
        <f t="shared" si="103"/>
        <v>0</v>
      </c>
      <c r="AK186" s="409">
        <f t="shared" si="103"/>
        <v>0</v>
      </c>
      <c r="AL186" s="409">
        <f t="shared" si="103"/>
        <v>0</v>
      </c>
      <c r="AM186" s="409">
        <f t="shared" si="103"/>
        <v>0</v>
      </c>
      <c r="AN186" s="409">
        <f t="shared" si="103"/>
        <v>0</v>
      </c>
      <c r="AO186" s="409">
        <f t="shared" si="103"/>
        <v>0</v>
      </c>
      <c r="AP186" s="409">
        <f t="shared" si="103"/>
        <v>0</v>
      </c>
      <c r="AQ186" s="409">
        <f t="shared" si="103"/>
        <v>0</v>
      </c>
      <c r="AR186" s="409">
        <f t="shared" si="103"/>
        <v>0</v>
      </c>
      <c r="AS186" s="409">
        <f t="shared" si="103"/>
        <v>0</v>
      </c>
      <c r="AT186" s="409">
        <f t="shared" si="107"/>
        <v>0</v>
      </c>
      <c r="AU186" s="409">
        <f t="shared" si="107"/>
        <v>0</v>
      </c>
      <c r="AV186" s="409">
        <f t="shared" si="107"/>
        <v>0</v>
      </c>
      <c r="AW186" s="409">
        <f t="shared" si="107"/>
        <v>0</v>
      </c>
      <c r="AX186" s="409">
        <f t="shared" si="107"/>
        <v>0</v>
      </c>
      <c r="AY186" s="409">
        <f t="shared" si="107"/>
        <v>0</v>
      </c>
      <c r="AZ186" s="409">
        <f t="shared" si="107"/>
        <v>0</v>
      </c>
      <c r="BA186" s="409">
        <f t="shared" si="107"/>
        <v>0</v>
      </c>
      <c r="BB186" s="409">
        <f t="shared" si="107"/>
        <v>0</v>
      </c>
      <c r="BC186" s="409">
        <f t="shared" si="107"/>
        <v>0</v>
      </c>
      <c r="BD186" s="409">
        <f t="shared" si="107"/>
        <v>0</v>
      </c>
      <c r="BE186" s="409">
        <f t="shared" si="107"/>
        <v>0</v>
      </c>
      <c r="BF186" s="409">
        <f t="shared" si="107"/>
        <v>0</v>
      </c>
      <c r="BG186" s="409">
        <f t="shared" si="107"/>
        <v>0</v>
      </c>
      <c r="BH186" s="409">
        <f t="shared" si="107"/>
        <v>0</v>
      </c>
      <c r="BI186" s="409">
        <f t="shared" si="107"/>
        <v>0</v>
      </c>
      <c r="BJ186" s="409">
        <f t="shared" si="107"/>
        <v>0</v>
      </c>
      <c r="BK186" s="409">
        <f t="shared" si="107"/>
        <v>0</v>
      </c>
      <c r="BL186" s="409">
        <f t="shared" si="107"/>
        <v>0</v>
      </c>
      <c r="BM186" s="409">
        <f t="shared" si="107"/>
        <v>0</v>
      </c>
      <c r="BN186" s="409">
        <f t="shared" si="107"/>
        <v>0</v>
      </c>
      <c r="BO186" s="409">
        <f t="shared" si="107"/>
        <v>0</v>
      </c>
      <c r="BP186" s="409">
        <f t="shared" si="107"/>
        <v>0</v>
      </c>
      <c r="BQ186" s="409">
        <f t="shared" si="107"/>
        <v>0</v>
      </c>
      <c r="BR186" s="409">
        <f t="shared" si="107"/>
        <v>0</v>
      </c>
      <c r="BS186" s="409">
        <f t="shared" si="107"/>
        <v>0</v>
      </c>
      <c r="BT186" s="409">
        <f t="shared" si="107"/>
        <v>0</v>
      </c>
      <c r="BU186" s="409">
        <f t="shared" si="107"/>
        <v>0</v>
      </c>
      <c r="BV186" s="409">
        <f t="shared" si="107"/>
        <v>0</v>
      </c>
      <c r="BW186" s="409">
        <f t="shared" si="107"/>
        <v>0</v>
      </c>
      <c r="BX186" s="409">
        <f t="shared" si="107"/>
        <v>0</v>
      </c>
      <c r="BY186" s="409">
        <f t="shared" ref="BY186:CW186" si="108">IF(AND(BY$3&gt;=$AC94,BY$3&lt;($AC94+$Z94)),IPMT($Y94/12,BY$3-$AC94+1,$Z94,-$AB94),0)</f>
        <v>0</v>
      </c>
      <c r="BZ186" s="409">
        <f t="shared" si="108"/>
        <v>0</v>
      </c>
      <c r="CA186" s="409">
        <f t="shared" si="108"/>
        <v>0</v>
      </c>
      <c r="CB186" s="409">
        <f t="shared" si="108"/>
        <v>0</v>
      </c>
      <c r="CC186" s="409">
        <f t="shared" si="108"/>
        <v>0</v>
      </c>
      <c r="CD186" s="409">
        <f t="shared" si="108"/>
        <v>0</v>
      </c>
      <c r="CE186" s="409">
        <f t="shared" si="108"/>
        <v>0</v>
      </c>
      <c r="CF186" s="409">
        <f t="shared" si="108"/>
        <v>0</v>
      </c>
      <c r="CG186" s="409">
        <f t="shared" si="108"/>
        <v>0</v>
      </c>
      <c r="CH186" s="409">
        <f t="shared" si="108"/>
        <v>0</v>
      </c>
      <c r="CI186" s="409">
        <f t="shared" si="108"/>
        <v>0</v>
      </c>
      <c r="CJ186" s="409">
        <f t="shared" si="108"/>
        <v>0</v>
      </c>
      <c r="CK186" s="409">
        <f t="shared" si="108"/>
        <v>0</v>
      </c>
      <c r="CL186" s="409">
        <f t="shared" si="108"/>
        <v>0</v>
      </c>
      <c r="CM186" s="409">
        <f t="shared" si="108"/>
        <v>0</v>
      </c>
      <c r="CN186" s="409">
        <f t="shared" si="108"/>
        <v>0</v>
      </c>
      <c r="CO186" s="409">
        <f t="shared" si="108"/>
        <v>0</v>
      </c>
      <c r="CP186" s="409">
        <f t="shared" si="108"/>
        <v>0</v>
      </c>
      <c r="CQ186" s="409">
        <f t="shared" si="108"/>
        <v>0</v>
      </c>
      <c r="CR186" s="409">
        <f t="shared" si="108"/>
        <v>0</v>
      </c>
      <c r="CS186" s="409">
        <f t="shared" si="108"/>
        <v>0</v>
      </c>
      <c r="CT186" s="409">
        <f t="shared" si="108"/>
        <v>0</v>
      </c>
      <c r="CU186" s="409">
        <f t="shared" si="108"/>
        <v>0</v>
      </c>
      <c r="CV186" s="409">
        <f t="shared" si="108"/>
        <v>0</v>
      </c>
      <c r="CW186" s="409">
        <f t="shared" si="108"/>
        <v>0</v>
      </c>
    </row>
    <row r="187" spans="27:101">
      <c r="AA187" s="408">
        <v>18</v>
      </c>
      <c r="AD187" s="409">
        <f t="shared" si="103"/>
        <v>0</v>
      </c>
      <c r="AE187" s="409">
        <f t="shared" si="103"/>
        <v>0</v>
      </c>
      <c r="AF187" s="409">
        <f t="shared" si="103"/>
        <v>0</v>
      </c>
      <c r="AG187" s="409">
        <f t="shared" si="103"/>
        <v>0</v>
      </c>
      <c r="AH187" s="409">
        <f t="shared" si="103"/>
        <v>0</v>
      </c>
      <c r="AI187" s="409">
        <f t="shared" si="103"/>
        <v>0</v>
      </c>
      <c r="AJ187" s="409">
        <f t="shared" si="103"/>
        <v>0</v>
      </c>
      <c r="AK187" s="409">
        <f t="shared" si="103"/>
        <v>0</v>
      </c>
      <c r="AL187" s="409">
        <f t="shared" si="103"/>
        <v>0</v>
      </c>
      <c r="AM187" s="409">
        <f t="shared" si="103"/>
        <v>0</v>
      </c>
      <c r="AN187" s="409">
        <f t="shared" si="103"/>
        <v>0</v>
      </c>
      <c r="AO187" s="409">
        <f t="shared" si="103"/>
        <v>0</v>
      </c>
      <c r="AP187" s="409">
        <f t="shared" si="103"/>
        <v>0</v>
      </c>
      <c r="AQ187" s="409">
        <f t="shared" si="103"/>
        <v>0</v>
      </c>
      <c r="AR187" s="409">
        <f t="shared" si="103"/>
        <v>0</v>
      </c>
      <c r="AS187" s="409">
        <f t="shared" si="103"/>
        <v>0</v>
      </c>
      <c r="AT187" s="409">
        <f t="shared" ref="AT187:CW187" si="109">IF(AND(AT$3&gt;=$AC95,AT$3&lt;($AC95+$Z95)),IPMT($Y95/12,AT$3-$AC95+1,$Z95,-$AB95),0)</f>
        <v>0</v>
      </c>
      <c r="AU187" s="409">
        <f t="shared" si="109"/>
        <v>0</v>
      </c>
      <c r="AV187" s="409">
        <f t="shared" si="109"/>
        <v>0</v>
      </c>
      <c r="AW187" s="409">
        <f t="shared" si="109"/>
        <v>0</v>
      </c>
      <c r="AX187" s="409">
        <f t="shared" si="109"/>
        <v>0</v>
      </c>
      <c r="AY187" s="409">
        <f t="shared" si="109"/>
        <v>0</v>
      </c>
      <c r="AZ187" s="409">
        <f t="shared" si="109"/>
        <v>0</v>
      </c>
      <c r="BA187" s="409">
        <f t="shared" si="109"/>
        <v>0</v>
      </c>
      <c r="BB187" s="409">
        <f t="shared" si="109"/>
        <v>0</v>
      </c>
      <c r="BC187" s="409">
        <f t="shared" si="109"/>
        <v>0</v>
      </c>
      <c r="BD187" s="409">
        <f t="shared" si="109"/>
        <v>0</v>
      </c>
      <c r="BE187" s="409">
        <f t="shared" si="109"/>
        <v>0</v>
      </c>
      <c r="BF187" s="409">
        <f t="shared" si="109"/>
        <v>0</v>
      </c>
      <c r="BG187" s="409">
        <f t="shared" si="109"/>
        <v>0</v>
      </c>
      <c r="BH187" s="409">
        <f t="shared" si="109"/>
        <v>0</v>
      </c>
      <c r="BI187" s="409">
        <f t="shared" si="109"/>
        <v>0</v>
      </c>
      <c r="BJ187" s="409">
        <f t="shared" si="109"/>
        <v>0</v>
      </c>
      <c r="BK187" s="409">
        <f t="shared" si="109"/>
        <v>0</v>
      </c>
      <c r="BL187" s="409">
        <f t="shared" si="109"/>
        <v>0</v>
      </c>
      <c r="BM187" s="409">
        <f t="shared" si="109"/>
        <v>0</v>
      </c>
      <c r="BN187" s="409">
        <f t="shared" si="109"/>
        <v>0</v>
      </c>
      <c r="BO187" s="409">
        <f t="shared" si="109"/>
        <v>0</v>
      </c>
      <c r="BP187" s="409">
        <f t="shared" si="109"/>
        <v>0</v>
      </c>
      <c r="BQ187" s="409">
        <f t="shared" si="109"/>
        <v>0</v>
      </c>
      <c r="BR187" s="409">
        <f t="shared" si="109"/>
        <v>0</v>
      </c>
      <c r="BS187" s="409">
        <f t="shared" si="109"/>
        <v>0</v>
      </c>
      <c r="BT187" s="409">
        <f t="shared" si="109"/>
        <v>0</v>
      </c>
      <c r="BU187" s="409">
        <f t="shared" si="109"/>
        <v>0</v>
      </c>
      <c r="BV187" s="409">
        <f t="shared" si="109"/>
        <v>0</v>
      </c>
      <c r="BW187" s="409">
        <f t="shared" si="109"/>
        <v>0</v>
      </c>
      <c r="BX187" s="409">
        <f t="shared" si="109"/>
        <v>0</v>
      </c>
      <c r="BY187" s="409">
        <f t="shared" si="109"/>
        <v>0</v>
      </c>
      <c r="BZ187" s="409">
        <f t="shared" si="109"/>
        <v>0</v>
      </c>
      <c r="CA187" s="409">
        <f t="shared" si="109"/>
        <v>0</v>
      </c>
      <c r="CB187" s="409">
        <f t="shared" si="109"/>
        <v>0</v>
      </c>
      <c r="CC187" s="409">
        <f t="shared" si="109"/>
        <v>0</v>
      </c>
      <c r="CD187" s="409">
        <f t="shared" si="109"/>
        <v>0</v>
      </c>
      <c r="CE187" s="409">
        <f t="shared" si="109"/>
        <v>0</v>
      </c>
      <c r="CF187" s="409">
        <f t="shared" si="109"/>
        <v>0</v>
      </c>
      <c r="CG187" s="409">
        <f t="shared" si="109"/>
        <v>0</v>
      </c>
      <c r="CH187" s="409">
        <f t="shared" si="109"/>
        <v>0</v>
      </c>
      <c r="CI187" s="409">
        <f t="shared" si="109"/>
        <v>0</v>
      </c>
      <c r="CJ187" s="409">
        <f t="shared" si="109"/>
        <v>0</v>
      </c>
      <c r="CK187" s="409">
        <f t="shared" si="109"/>
        <v>0</v>
      </c>
      <c r="CL187" s="409">
        <f t="shared" si="109"/>
        <v>0</v>
      </c>
      <c r="CM187" s="409">
        <f t="shared" si="109"/>
        <v>0</v>
      </c>
      <c r="CN187" s="409">
        <f t="shared" si="109"/>
        <v>0</v>
      </c>
      <c r="CO187" s="409">
        <f t="shared" si="109"/>
        <v>0</v>
      </c>
      <c r="CP187" s="409">
        <f t="shared" si="109"/>
        <v>0</v>
      </c>
      <c r="CQ187" s="409">
        <f t="shared" si="109"/>
        <v>0</v>
      </c>
      <c r="CR187" s="409">
        <f t="shared" si="109"/>
        <v>0</v>
      </c>
      <c r="CS187" s="409">
        <f t="shared" si="109"/>
        <v>0</v>
      </c>
      <c r="CT187" s="409">
        <f t="shared" si="109"/>
        <v>0</v>
      </c>
      <c r="CU187" s="409">
        <f t="shared" si="109"/>
        <v>0</v>
      </c>
      <c r="CV187" s="409">
        <f t="shared" si="109"/>
        <v>0</v>
      </c>
      <c r="CW187" s="409">
        <f t="shared" si="109"/>
        <v>0</v>
      </c>
    </row>
    <row r="188" spans="27:101">
      <c r="AA188" s="408">
        <v>19</v>
      </c>
      <c r="AD188" s="409">
        <f t="shared" si="103"/>
        <v>0</v>
      </c>
      <c r="AE188" s="409">
        <f t="shared" si="103"/>
        <v>0</v>
      </c>
      <c r="AF188" s="409">
        <f t="shared" si="103"/>
        <v>0</v>
      </c>
      <c r="AG188" s="409">
        <f t="shared" si="103"/>
        <v>0</v>
      </c>
      <c r="AH188" s="409">
        <f t="shared" si="103"/>
        <v>0</v>
      </c>
      <c r="AI188" s="409">
        <f t="shared" si="103"/>
        <v>0</v>
      </c>
      <c r="AJ188" s="409">
        <f t="shared" si="103"/>
        <v>0</v>
      </c>
      <c r="AK188" s="409">
        <f t="shared" si="103"/>
        <v>0</v>
      </c>
      <c r="AL188" s="409">
        <f t="shared" si="103"/>
        <v>0</v>
      </c>
      <c r="AM188" s="409">
        <f t="shared" si="103"/>
        <v>0</v>
      </c>
      <c r="AN188" s="409">
        <f t="shared" si="103"/>
        <v>0</v>
      </c>
      <c r="AO188" s="409">
        <f t="shared" si="103"/>
        <v>0</v>
      </c>
      <c r="AP188" s="409">
        <f t="shared" si="103"/>
        <v>0</v>
      </c>
      <c r="AQ188" s="409">
        <f t="shared" si="103"/>
        <v>0</v>
      </c>
      <c r="AR188" s="409">
        <f t="shared" ref="AR188:CW189" si="110">IF(AND(AR$3&gt;=$AC96,AR$3&lt;($AC96+$Z96)),IPMT($Y96/12,AR$3-$AC96+1,$Z96,-$AB96),0)</f>
        <v>0</v>
      </c>
      <c r="AS188" s="409">
        <f t="shared" si="110"/>
        <v>0</v>
      </c>
      <c r="AT188" s="409">
        <f t="shared" si="110"/>
        <v>0</v>
      </c>
      <c r="AU188" s="409">
        <f t="shared" si="110"/>
        <v>0</v>
      </c>
      <c r="AV188" s="409">
        <f t="shared" si="110"/>
        <v>0</v>
      </c>
      <c r="AW188" s="409">
        <f t="shared" si="110"/>
        <v>0</v>
      </c>
      <c r="AX188" s="409">
        <f t="shared" si="110"/>
        <v>0</v>
      </c>
      <c r="AY188" s="409">
        <f t="shared" si="110"/>
        <v>0</v>
      </c>
      <c r="AZ188" s="409">
        <f t="shared" si="110"/>
        <v>0</v>
      </c>
      <c r="BA188" s="409">
        <f t="shared" si="110"/>
        <v>0</v>
      </c>
      <c r="BB188" s="409">
        <f t="shared" si="110"/>
        <v>0</v>
      </c>
      <c r="BC188" s="409">
        <f t="shared" si="110"/>
        <v>0</v>
      </c>
      <c r="BD188" s="409">
        <f t="shared" si="110"/>
        <v>0</v>
      </c>
      <c r="BE188" s="409">
        <f t="shared" si="110"/>
        <v>0</v>
      </c>
      <c r="BF188" s="409">
        <f t="shared" si="110"/>
        <v>0</v>
      </c>
      <c r="BG188" s="409">
        <f t="shared" si="110"/>
        <v>0</v>
      </c>
      <c r="BH188" s="409">
        <f t="shared" si="110"/>
        <v>0</v>
      </c>
      <c r="BI188" s="409">
        <f t="shared" si="110"/>
        <v>0</v>
      </c>
      <c r="BJ188" s="409">
        <f t="shared" si="110"/>
        <v>0</v>
      </c>
      <c r="BK188" s="409">
        <f t="shared" si="110"/>
        <v>0</v>
      </c>
      <c r="BL188" s="409">
        <f t="shared" si="110"/>
        <v>0</v>
      </c>
      <c r="BM188" s="409">
        <f t="shared" si="110"/>
        <v>0</v>
      </c>
      <c r="BN188" s="409">
        <f t="shared" si="110"/>
        <v>0</v>
      </c>
      <c r="BO188" s="409">
        <f t="shared" si="110"/>
        <v>0</v>
      </c>
      <c r="BP188" s="409">
        <f t="shared" si="110"/>
        <v>0</v>
      </c>
      <c r="BQ188" s="409">
        <f t="shared" si="110"/>
        <v>0</v>
      </c>
      <c r="BR188" s="409">
        <f t="shared" si="110"/>
        <v>0</v>
      </c>
      <c r="BS188" s="409">
        <f t="shared" si="110"/>
        <v>0</v>
      </c>
      <c r="BT188" s="409">
        <f t="shared" si="110"/>
        <v>0</v>
      </c>
      <c r="BU188" s="409">
        <f t="shared" si="110"/>
        <v>0</v>
      </c>
      <c r="BV188" s="409">
        <f t="shared" si="110"/>
        <v>0</v>
      </c>
      <c r="BW188" s="409">
        <f t="shared" si="110"/>
        <v>0</v>
      </c>
      <c r="BX188" s="409">
        <f t="shared" si="110"/>
        <v>0</v>
      </c>
      <c r="BY188" s="409">
        <f t="shared" si="110"/>
        <v>0</v>
      </c>
      <c r="BZ188" s="409">
        <f t="shared" si="110"/>
        <v>0</v>
      </c>
      <c r="CA188" s="409">
        <f t="shared" si="110"/>
        <v>0</v>
      </c>
      <c r="CB188" s="409">
        <f t="shared" si="110"/>
        <v>0</v>
      </c>
      <c r="CC188" s="409">
        <f t="shared" si="110"/>
        <v>0</v>
      </c>
      <c r="CD188" s="409">
        <f t="shared" si="110"/>
        <v>0</v>
      </c>
      <c r="CE188" s="409">
        <f t="shared" si="110"/>
        <v>0</v>
      </c>
      <c r="CF188" s="409">
        <f t="shared" si="110"/>
        <v>0</v>
      </c>
      <c r="CG188" s="409">
        <f t="shared" si="110"/>
        <v>0</v>
      </c>
      <c r="CH188" s="409">
        <f t="shared" si="110"/>
        <v>0</v>
      </c>
      <c r="CI188" s="409">
        <f t="shared" si="110"/>
        <v>0</v>
      </c>
      <c r="CJ188" s="409">
        <f t="shared" si="110"/>
        <v>0</v>
      </c>
      <c r="CK188" s="409">
        <f t="shared" si="110"/>
        <v>0</v>
      </c>
      <c r="CL188" s="409">
        <f t="shared" si="110"/>
        <v>0</v>
      </c>
      <c r="CM188" s="409">
        <f t="shared" si="110"/>
        <v>0</v>
      </c>
      <c r="CN188" s="409">
        <f t="shared" si="110"/>
        <v>0</v>
      </c>
      <c r="CO188" s="409">
        <f t="shared" si="110"/>
        <v>0</v>
      </c>
      <c r="CP188" s="409">
        <f t="shared" si="110"/>
        <v>0</v>
      </c>
      <c r="CQ188" s="409">
        <f t="shared" si="110"/>
        <v>0</v>
      </c>
      <c r="CR188" s="409">
        <f t="shared" si="110"/>
        <v>0</v>
      </c>
      <c r="CS188" s="409">
        <f t="shared" si="110"/>
        <v>0</v>
      </c>
      <c r="CT188" s="409">
        <f t="shared" si="110"/>
        <v>0</v>
      </c>
      <c r="CU188" s="409">
        <f t="shared" si="110"/>
        <v>0</v>
      </c>
      <c r="CV188" s="409">
        <f t="shared" si="110"/>
        <v>0</v>
      </c>
      <c r="CW188" s="409">
        <f t="shared" si="110"/>
        <v>0</v>
      </c>
    </row>
    <row r="189" spans="27:101">
      <c r="AA189" s="408">
        <v>20</v>
      </c>
      <c r="AD189" s="409">
        <f t="shared" si="103"/>
        <v>0</v>
      </c>
      <c r="AE189" s="409">
        <f t="shared" ref="AE189:CP189" si="111">IF(AND(AE$3&gt;=$AC97,AE$3&lt;($AC97+$Z97)),IPMT($Y97/12,AE$3-$AC97+1,$Z97,-$AB97),0)</f>
        <v>0</v>
      </c>
      <c r="AF189" s="409">
        <f t="shared" si="111"/>
        <v>0</v>
      </c>
      <c r="AG189" s="409">
        <f t="shared" si="111"/>
        <v>0</v>
      </c>
      <c r="AH189" s="409">
        <f t="shared" si="111"/>
        <v>0</v>
      </c>
      <c r="AI189" s="409">
        <f t="shared" si="111"/>
        <v>0</v>
      </c>
      <c r="AJ189" s="409">
        <f t="shared" si="111"/>
        <v>0</v>
      </c>
      <c r="AK189" s="409">
        <f t="shared" si="111"/>
        <v>0</v>
      </c>
      <c r="AL189" s="409">
        <f t="shared" si="111"/>
        <v>0</v>
      </c>
      <c r="AM189" s="409">
        <f t="shared" si="111"/>
        <v>0</v>
      </c>
      <c r="AN189" s="409">
        <f t="shared" si="111"/>
        <v>0</v>
      </c>
      <c r="AO189" s="409">
        <f t="shared" si="111"/>
        <v>0</v>
      </c>
      <c r="AP189" s="409">
        <f t="shared" si="111"/>
        <v>0</v>
      </c>
      <c r="AQ189" s="409">
        <f t="shared" si="111"/>
        <v>0</v>
      </c>
      <c r="AR189" s="409">
        <f t="shared" si="111"/>
        <v>0</v>
      </c>
      <c r="AS189" s="409">
        <f t="shared" si="111"/>
        <v>0</v>
      </c>
      <c r="AT189" s="409">
        <f t="shared" si="111"/>
        <v>0</v>
      </c>
      <c r="AU189" s="409">
        <f t="shared" si="111"/>
        <v>0</v>
      </c>
      <c r="AV189" s="409">
        <f t="shared" si="111"/>
        <v>0</v>
      </c>
      <c r="AW189" s="409">
        <f t="shared" si="111"/>
        <v>0</v>
      </c>
      <c r="AX189" s="409">
        <f t="shared" si="111"/>
        <v>0</v>
      </c>
      <c r="AY189" s="409">
        <f t="shared" si="111"/>
        <v>0</v>
      </c>
      <c r="AZ189" s="409">
        <f t="shared" si="111"/>
        <v>0</v>
      </c>
      <c r="BA189" s="409">
        <f t="shared" si="111"/>
        <v>0</v>
      </c>
      <c r="BB189" s="409">
        <f t="shared" si="111"/>
        <v>0</v>
      </c>
      <c r="BC189" s="409">
        <f t="shared" si="111"/>
        <v>0</v>
      </c>
      <c r="BD189" s="409">
        <f t="shared" si="111"/>
        <v>0</v>
      </c>
      <c r="BE189" s="409">
        <f t="shared" si="111"/>
        <v>0</v>
      </c>
      <c r="BF189" s="409">
        <f t="shared" si="111"/>
        <v>0</v>
      </c>
      <c r="BG189" s="409">
        <f t="shared" si="111"/>
        <v>0</v>
      </c>
      <c r="BH189" s="409">
        <f t="shared" si="111"/>
        <v>0</v>
      </c>
      <c r="BI189" s="409">
        <f t="shared" si="111"/>
        <v>0</v>
      </c>
      <c r="BJ189" s="409">
        <f t="shared" si="111"/>
        <v>0</v>
      </c>
      <c r="BK189" s="409">
        <f t="shared" si="111"/>
        <v>0</v>
      </c>
      <c r="BL189" s="409">
        <f t="shared" si="111"/>
        <v>0</v>
      </c>
      <c r="BM189" s="409">
        <f t="shared" si="111"/>
        <v>0</v>
      </c>
      <c r="BN189" s="409">
        <f t="shared" si="111"/>
        <v>0</v>
      </c>
      <c r="BO189" s="409">
        <f t="shared" si="111"/>
        <v>0</v>
      </c>
      <c r="BP189" s="409">
        <f t="shared" si="111"/>
        <v>0</v>
      </c>
      <c r="BQ189" s="409">
        <f t="shared" si="111"/>
        <v>0</v>
      </c>
      <c r="BR189" s="409">
        <f t="shared" si="111"/>
        <v>0</v>
      </c>
      <c r="BS189" s="409">
        <f t="shared" si="111"/>
        <v>0</v>
      </c>
      <c r="BT189" s="409">
        <f t="shared" si="111"/>
        <v>0</v>
      </c>
      <c r="BU189" s="409">
        <f t="shared" si="111"/>
        <v>0</v>
      </c>
      <c r="BV189" s="409">
        <f t="shared" si="111"/>
        <v>0</v>
      </c>
      <c r="BW189" s="409">
        <f t="shared" si="111"/>
        <v>0</v>
      </c>
      <c r="BX189" s="409">
        <f t="shared" si="111"/>
        <v>0</v>
      </c>
      <c r="BY189" s="409">
        <f t="shared" si="111"/>
        <v>0</v>
      </c>
      <c r="BZ189" s="409">
        <f t="shared" si="111"/>
        <v>0</v>
      </c>
      <c r="CA189" s="409">
        <f t="shared" si="111"/>
        <v>0</v>
      </c>
      <c r="CB189" s="409">
        <f t="shared" si="111"/>
        <v>0</v>
      </c>
      <c r="CC189" s="409">
        <f t="shared" si="111"/>
        <v>0</v>
      </c>
      <c r="CD189" s="409">
        <f t="shared" si="111"/>
        <v>0</v>
      </c>
      <c r="CE189" s="409">
        <f t="shared" si="111"/>
        <v>0</v>
      </c>
      <c r="CF189" s="409">
        <f t="shared" si="111"/>
        <v>0</v>
      </c>
      <c r="CG189" s="409">
        <f t="shared" si="111"/>
        <v>0</v>
      </c>
      <c r="CH189" s="409">
        <f t="shared" si="111"/>
        <v>0</v>
      </c>
      <c r="CI189" s="409">
        <f t="shared" si="111"/>
        <v>0</v>
      </c>
      <c r="CJ189" s="409">
        <f t="shared" si="111"/>
        <v>0</v>
      </c>
      <c r="CK189" s="409">
        <f t="shared" si="111"/>
        <v>0</v>
      </c>
      <c r="CL189" s="409">
        <f t="shared" si="111"/>
        <v>0</v>
      </c>
      <c r="CM189" s="409">
        <f t="shared" si="111"/>
        <v>0</v>
      </c>
      <c r="CN189" s="409">
        <f t="shared" si="111"/>
        <v>0</v>
      </c>
      <c r="CO189" s="409">
        <f t="shared" si="111"/>
        <v>0</v>
      </c>
      <c r="CP189" s="409">
        <f t="shared" si="111"/>
        <v>0</v>
      </c>
      <c r="CQ189" s="409">
        <f t="shared" si="110"/>
        <v>0</v>
      </c>
      <c r="CR189" s="409">
        <f t="shared" si="110"/>
        <v>0</v>
      </c>
      <c r="CS189" s="409">
        <f t="shared" si="110"/>
        <v>0</v>
      </c>
      <c r="CT189" s="409">
        <f t="shared" si="110"/>
        <v>0</v>
      </c>
      <c r="CU189" s="409">
        <f t="shared" si="110"/>
        <v>0</v>
      </c>
      <c r="CV189" s="409">
        <f t="shared" si="110"/>
        <v>0</v>
      </c>
      <c r="CW189" s="409">
        <f t="shared" si="110"/>
        <v>0</v>
      </c>
    </row>
    <row r="190" spans="27:101">
      <c r="AC190" s="306" t="s">
        <v>274</v>
      </c>
      <c r="AD190" s="412">
        <f>SUM(AD170:AD189)</f>
        <v>0</v>
      </c>
      <c r="AE190" s="412">
        <f t="shared" ref="AE190:CP190" si="112">SUM(AE170:AE189)</f>
        <v>0</v>
      </c>
      <c r="AF190" s="412">
        <f t="shared" si="112"/>
        <v>0</v>
      </c>
      <c r="AG190" s="412">
        <f t="shared" si="112"/>
        <v>0</v>
      </c>
      <c r="AH190" s="412">
        <f t="shared" si="112"/>
        <v>0</v>
      </c>
      <c r="AI190" s="412">
        <f t="shared" si="112"/>
        <v>0</v>
      </c>
      <c r="AJ190" s="412">
        <f t="shared" si="112"/>
        <v>0</v>
      </c>
      <c r="AK190" s="412">
        <f t="shared" si="112"/>
        <v>0</v>
      </c>
      <c r="AL190" s="412">
        <f t="shared" si="112"/>
        <v>0</v>
      </c>
      <c r="AM190" s="412">
        <f t="shared" si="112"/>
        <v>0</v>
      </c>
      <c r="AN190" s="412">
        <f t="shared" si="112"/>
        <v>0</v>
      </c>
      <c r="AO190" s="412">
        <f t="shared" si="112"/>
        <v>0</v>
      </c>
      <c r="AP190" s="412">
        <f t="shared" si="112"/>
        <v>0</v>
      </c>
      <c r="AQ190" s="412">
        <f t="shared" si="112"/>
        <v>0</v>
      </c>
      <c r="AR190" s="412">
        <f t="shared" si="112"/>
        <v>0</v>
      </c>
      <c r="AS190" s="412">
        <f t="shared" si="112"/>
        <v>0</v>
      </c>
      <c r="AT190" s="412">
        <f t="shared" si="112"/>
        <v>0</v>
      </c>
      <c r="AU190" s="412">
        <f t="shared" si="112"/>
        <v>0</v>
      </c>
      <c r="AV190" s="412">
        <f t="shared" si="112"/>
        <v>0</v>
      </c>
      <c r="AW190" s="412">
        <f t="shared" si="112"/>
        <v>0</v>
      </c>
      <c r="AX190" s="412">
        <f t="shared" si="112"/>
        <v>0</v>
      </c>
      <c r="AY190" s="412">
        <f t="shared" si="112"/>
        <v>0</v>
      </c>
      <c r="AZ190" s="412">
        <f t="shared" si="112"/>
        <v>0</v>
      </c>
      <c r="BA190" s="412">
        <f t="shared" si="112"/>
        <v>0</v>
      </c>
      <c r="BB190" s="412">
        <f t="shared" si="112"/>
        <v>0</v>
      </c>
      <c r="BC190" s="412">
        <f t="shared" si="112"/>
        <v>0</v>
      </c>
      <c r="BD190" s="412">
        <f t="shared" si="112"/>
        <v>0</v>
      </c>
      <c r="BE190" s="412">
        <f t="shared" si="112"/>
        <v>0</v>
      </c>
      <c r="BF190" s="412">
        <f t="shared" si="112"/>
        <v>0</v>
      </c>
      <c r="BG190" s="412">
        <f t="shared" si="112"/>
        <v>0</v>
      </c>
      <c r="BH190" s="412">
        <f t="shared" si="112"/>
        <v>0</v>
      </c>
      <c r="BI190" s="412">
        <f t="shared" si="112"/>
        <v>0</v>
      </c>
      <c r="BJ190" s="412">
        <f t="shared" si="112"/>
        <v>0</v>
      </c>
      <c r="BK190" s="412">
        <f t="shared" si="112"/>
        <v>0</v>
      </c>
      <c r="BL190" s="412">
        <f t="shared" si="112"/>
        <v>0</v>
      </c>
      <c r="BM190" s="412">
        <f t="shared" si="112"/>
        <v>0</v>
      </c>
      <c r="BN190" s="412">
        <f t="shared" si="112"/>
        <v>0</v>
      </c>
      <c r="BO190" s="412">
        <f t="shared" si="112"/>
        <v>0</v>
      </c>
      <c r="BP190" s="412">
        <f t="shared" si="112"/>
        <v>0</v>
      </c>
      <c r="BQ190" s="412">
        <f t="shared" si="112"/>
        <v>0</v>
      </c>
      <c r="BR190" s="412">
        <f t="shared" si="112"/>
        <v>0</v>
      </c>
      <c r="BS190" s="412">
        <f t="shared" si="112"/>
        <v>0</v>
      </c>
      <c r="BT190" s="412">
        <f t="shared" si="112"/>
        <v>0</v>
      </c>
      <c r="BU190" s="412">
        <f t="shared" si="112"/>
        <v>0</v>
      </c>
      <c r="BV190" s="412">
        <f t="shared" si="112"/>
        <v>0</v>
      </c>
      <c r="BW190" s="412">
        <f t="shared" si="112"/>
        <v>0</v>
      </c>
      <c r="BX190" s="412">
        <f t="shared" si="112"/>
        <v>0</v>
      </c>
      <c r="BY190" s="412">
        <f t="shared" si="112"/>
        <v>0</v>
      </c>
      <c r="BZ190" s="412">
        <f t="shared" si="112"/>
        <v>0</v>
      </c>
      <c r="CA190" s="412">
        <f t="shared" si="112"/>
        <v>0</v>
      </c>
      <c r="CB190" s="412">
        <f t="shared" si="112"/>
        <v>0</v>
      </c>
      <c r="CC190" s="412">
        <f t="shared" si="112"/>
        <v>0</v>
      </c>
      <c r="CD190" s="412">
        <f t="shared" si="112"/>
        <v>0</v>
      </c>
      <c r="CE190" s="412">
        <f t="shared" si="112"/>
        <v>0</v>
      </c>
      <c r="CF190" s="412">
        <f t="shared" si="112"/>
        <v>0</v>
      </c>
      <c r="CG190" s="412">
        <f t="shared" si="112"/>
        <v>0</v>
      </c>
      <c r="CH190" s="412">
        <f t="shared" si="112"/>
        <v>0</v>
      </c>
      <c r="CI190" s="412">
        <f t="shared" si="112"/>
        <v>0</v>
      </c>
      <c r="CJ190" s="412">
        <f t="shared" si="112"/>
        <v>0</v>
      </c>
      <c r="CK190" s="412">
        <f t="shared" si="112"/>
        <v>0</v>
      </c>
      <c r="CL190" s="412">
        <f t="shared" si="112"/>
        <v>0</v>
      </c>
      <c r="CM190" s="412">
        <f t="shared" si="112"/>
        <v>0</v>
      </c>
      <c r="CN190" s="412">
        <f t="shared" si="112"/>
        <v>0</v>
      </c>
      <c r="CO190" s="412">
        <f t="shared" si="112"/>
        <v>0</v>
      </c>
      <c r="CP190" s="412">
        <f t="shared" si="112"/>
        <v>0</v>
      </c>
      <c r="CQ190" s="412">
        <f t="shared" ref="CQ190:CW190" si="113">SUM(CQ170:CQ189)</f>
        <v>0</v>
      </c>
      <c r="CR190" s="412">
        <f t="shared" si="113"/>
        <v>0</v>
      </c>
      <c r="CS190" s="412">
        <f t="shared" si="113"/>
        <v>0</v>
      </c>
      <c r="CT190" s="412">
        <f t="shared" si="113"/>
        <v>0</v>
      </c>
      <c r="CU190" s="412">
        <f t="shared" si="113"/>
        <v>0</v>
      </c>
      <c r="CV190" s="412">
        <f t="shared" si="113"/>
        <v>0</v>
      </c>
      <c r="CW190" s="412">
        <f t="shared" si="113"/>
        <v>0</v>
      </c>
    </row>
  </sheetData>
  <sheetProtection sheet="1" objects="1" scenarios="1" selectLockedCells="1"/>
  <mergeCells count="8">
    <mergeCell ref="AV144:AX144"/>
    <mergeCell ref="AY144:BA144"/>
    <mergeCell ref="AD144:AF144"/>
    <mergeCell ref="AG144:AI144"/>
    <mergeCell ref="AJ144:AL144"/>
    <mergeCell ref="AM144:AO144"/>
    <mergeCell ref="AP144:AR144"/>
    <mergeCell ref="AS144:AU144"/>
  </mergeCells>
  <phoneticPr fontId="3" type="noConversion"/>
  <pageMargins left="0.75" right="0.75" top="1" bottom="1" header="0.5" footer="0.5"/>
  <pageSetup orientation="portrait" horizontalDpi="4294967293" r:id="rId1"/>
  <headerFooter alignWithMargins="0">
    <oddHeader>&amp;CYour Company Name</oddHeader>
  </headerFooter>
  <drawing r:id="rId2"/>
  <legacyDrawing r:id="rId3"/>
</worksheet>
</file>

<file path=customUI/_rels/customUI.xml.rels><?xml version="1.0" encoding="UTF-8" standalone="yes"?>
<Relationships xmlns="http://schemas.openxmlformats.org/package/2006/relationships"><Relationship Id="PSLogo1" Type="http://schemas.openxmlformats.org/officeDocument/2006/relationships/image" Target="images/PSLogo1.png"/></Relationships>
</file>

<file path=customUI/customUI.xml><?xml version="1.0" encoding="utf-8"?>
<customUI xmlns="http://schemas.microsoft.com/office/2006/01/customui">
  <ribbon startFromScratch="false">
    <tabs>
      <tab id="SBP_Toolbar_2007" label="The Planning Shop">
        <group id="firstgroup" label="Visit Website">
          <button id="button1" label="The Planning Shop website" onAction="e2007goToWebSite" image="PSLogo1" size="large" supertip="Opens a web browser and goes to the planningshop.com website."/>
        </group>
        <group id="secondgroup" label="Navigate Worksheets">
          <menu id="Worksheets" label="Worksheets" imageMso="PivotPlusMinusFieldHeadersShowHide" size="large" supertip="Jump to a specific worksheet in the EFW workbook.">
            <button id="ws_welcome" label="Welcome" onAction="e2007macroGoToWelcome" imageMso="RefreshStatus"/>
            <button id="ws_setupassumptions" label="Setup and Assumptions" onAction="e2007macroGoToSetup" supertip="Enter key information about your business that is used throughout the workbook.  For example, enter the name of your business, the number of products you sell, your business's start date, etc."/>
            <button id="ws_salesproj" label="Sales Projections" onAction="e2007macroGoToSalesProj" supertip="Enter information about each product line, expected growth of each product line, etc."/>
            <button id="ws_inventory" label="Inventory" onAction="e2007macroGoToInventory" supertip="Enter information about the inventory needed to meet your products' sales projections.  For example, if your product is made from three components,  enter information about the cost and number of units inventory for each component."/>
            <button id="ws_capex" label="Capital Expenditures" onAction="e2007macroGotoCapEx" supertip="Enter information about each capital expenditures for your business.  Capital expenditures include facilities, equipment, computers, telecommunications equipement and land."/>
            <button id="ws_persbudj" label="Staffing Budget" onAction="e2007macroGoToPersBudj" supertip="Enter data about employees on this worksheet to determine your personnel budget: the number of employees in each function, average salary, average benefits cost, and payroll taxes."/>
            <button id="ws_mktbudj" label="Marketing Budget" onAction="e2007macroGoToMktBudj" supertip="Enter data about your various types of marketing initiatives and associated costs."/>
            <button id="ws_prosvs" label="Professional Services Budget" onAction="e2007macroGotoProSvs" supertip="Enter data about external attorneys, consultants, accountants and other professional service providers."/>
            <button id="ws_capinv" label="Capital Investments" onAction="e2007macroGotoCapInv" supertip="Enter data about equity capital investements (such as angel or VC funding) and loans here."/>
            <menuSeparator id="separator1"/>
            <button id="ws_incstmt" label="Income Statements" onAction="e2007macroGoToIncSt" imageMso="WhatIfAnalysisMenu" supertip="View the business's income statement, as projected for the next 5 years."/>
            <button id="ws_cashflow" label="Cash Flow Statements" onAction="e2007macroGoToCshFlw" imageMso="VisualBasic" supertip="View your cashflow forecast. Also, enter some information about cash outflows, such as owner's draw, tax payments, dividends to investors, etc."/>
            <button id="ws_balsht" label="Balance Sheets" onAction="e2007macroGoToBalSht" imageMso="FunctionsFinancialInsertGallery" supertip="View the business's balance sheet, projected out for 5 years."/>
            <button id="ws_brkevn" label="Break Even Estimates" onAction="e2007macroGoToBrkEvn" imageMso="ShowFormulas" supertip="View the business's break even estimate."/>
            <button id="ws_keyratio" label="Key Ratios" onAction="e2007macroGoToRatios" imageMso="_3DEffectsOnOffClassic" supertip="View key financial ratios for the business: quick ratio, current ratio, return on investment, etc."/>
          </menu>
          <menu id="Charts" label="Charts" imageMso="ChartInsert" size="large" supertip="Jump to the Business Plan charts.">
            <button id="ws_1yratglance" label="1st Year At-a-Glance" onAction="e2007macroGoTo1YrAtGl" imageMso="ChartInsert"/>
            <button id="ws_1yrnetsales" label="1st Year Net Sales" onAction="e2007macroGoToNSYr1" imageMso="ChartInsert"/>
            <button id="ws_1yrcashflow" label="1st Year Cash Flow" onAction="e2007macroGoTo1YrCshFlw" imageMso="ChartInsert"/>
            <button id="ws_2yrcashflow" label="2nd Year Cash Flow" onAction="e2007macroGoTo2ndCashFlow" imageMso="ChartInsert"/>
            <button id="ws_5yratglance" label="5 Year At-a-Glance" onAction="e2007macroGoTo5YrAtGl" imageMso="ChartInsert"/>
            <button id="ws_5yrnetsales" label="5 Year Net Sales" onAction="e2007macroGoToNS5Yr" imageMso="ChartInsert"/>
          </menu>
          <button id="Prev" label="Previous Worksheet" onAction="e2007PrevSheet" size="large" imageMso="SmartArtPromote" supertip="Jump to the previous worksheet."/>
          <button id="Next" label="Next Worksheet" onAction="e2007NextSheet" size="large" imageMso="SmartArtDemote" supertip="Jump to the next worksheet."/>
        </group>
        <group id="helpgroup" label="Help">
          <menu id="EFWHelp" label="Electronic Financial Worksheets Help" imageMso="Help" size="large" supertip="Open help for the Electronic Financial Worksheets.">
            <button id="EFWHelpFiles" label="EFW Help Files" onAction="e2007LaunchHelp" imageMso="Help"/>
            <button id="LicenseAgreement" label="License Agreement" onAction="e2007ShowLicAgreeForm" imageMso="RefreshStatus" supertip="View the licence agreement you accepted in order to use this product."/>
            <menuSeparator id="helpmenuseparator"/>
            <button id="AboutEFW" label="About Electronic Financial Worksheets" onAction="e2007ShowAboutForm" imageMso="RefreshStatus" supertip="Display the versions of the Electronic Financial Worksheets, operating system, and Excel."/>
          </menu>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20</vt:i4>
      </vt:variant>
      <vt:variant>
        <vt:lpstr>Charts</vt:lpstr>
      </vt:variant>
      <vt:variant>
        <vt:i4>6</vt:i4>
      </vt:variant>
      <vt:variant>
        <vt:lpstr>Named Ranges</vt:lpstr>
      </vt:variant>
      <vt:variant>
        <vt:i4>113</vt:i4>
      </vt:variant>
    </vt:vector>
  </HeadingPairs>
  <TitlesOfParts>
    <vt:vector size="139" baseType="lpstr">
      <vt:lpstr>Warning</vt:lpstr>
      <vt:lpstr>WelcomeMac</vt:lpstr>
      <vt:lpstr>Welcome</vt:lpstr>
      <vt:lpstr>MacVsWindows</vt:lpstr>
      <vt:lpstr>About</vt:lpstr>
      <vt:lpstr>License</vt:lpstr>
      <vt:lpstr>Setup</vt:lpstr>
      <vt:lpstr>SalesProj</vt:lpstr>
      <vt:lpstr>Inventory</vt:lpstr>
      <vt:lpstr>CapEx</vt:lpstr>
      <vt:lpstr>PersBudj</vt:lpstr>
      <vt:lpstr>MktBudj</vt:lpstr>
      <vt:lpstr>ProSvs</vt:lpstr>
      <vt:lpstr>CapInvest</vt:lpstr>
      <vt:lpstr>IncSt</vt:lpstr>
      <vt:lpstr>CshFlw</vt:lpstr>
      <vt:lpstr>BalSht</vt:lpstr>
      <vt:lpstr>BrkEvn</vt:lpstr>
      <vt:lpstr>Ratios</vt:lpstr>
      <vt:lpstr>Config</vt:lpstr>
      <vt:lpstr>1YrAtGl</vt:lpstr>
      <vt:lpstr>NSYr1</vt:lpstr>
      <vt:lpstr>1YrCshFlw</vt:lpstr>
      <vt:lpstr>2ndYrCshFlw</vt:lpstr>
      <vt:lpstr>5YrAtGl</vt:lpstr>
      <vt:lpstr>NS5Yr</vt:lpstr>
      <vt:lpstr>cMonthStartup</vt:lpstr>
      <vt:lpstr>cMonthStartupAbbrev</vt:lpstr>
      <vt:lpstr>CoName</vt:lpstr>
      <vt:lpstr>CreditMultA</vt:lpstr>
      <vt:lpstr>CreditMultB</vt:lpstr>
      <vt:lpstr>CreditSales</vt:lpstr>
      <vt:lpstr>CreditTerms</vt:lpstr>
      <vt:lpstr>cStartDate</vt:lpstr>
      <vt:lpstr>cYearStartup</vt:lpstr>
      <vt:lpstr>DepList</vt:lpstr>
      <vt:lpstr>EmpBeneIncrease</vt:lpstr>
      <vt:lpstr>EmpBenes</vt:lpstr>
      <vt:lpstr>EmpBenesIncrease</vt:lpstr>
      <vt:lpstr>IncTaxRate</vt:lpstr>
      <vt:lpstr>InterestRate</vt:lpstr>
      <vt:lpstr>listdoubleMonths</vt:lpstr>
      <vt:lpstr>listMonths</vt:lpstr>
      <vt:lpstr>listNumProds</vt:lpstr>
      <vt:lpstr>listYears</vt:lpstr>
      <vt:lpstr>LookupMonthsShort</vt:lpstr>
      <vt:lpstr>LookupYears</vt:lpstr>
      <vt:lpstr>Months</vt:lpstr>
      <vt:lpstr>MonthsShort</vt:lpstr>
      <vt:lpstr>P10COG</vt:lpstr>
      <vt:lpstr>P10CommRate</vt:lpstr>
      <vt:lpstr>P10CommSales</vt:lpstr>
      <vt:lpstr>P10GrowthRate</vt:lpstr>
      <vt:lpstr>P10ReturnRate</vt:lpstr>
      <vt:lpstr>P1COG</vt:lpstr>
      <vt:lpstr>P1CommRate</vt:lpstr>
      <vt:lpstr>P1CommSales</vt:lpstr>
      <vt:lpstr>P1GrowthRate</vt:lpstr>
      <vt:lpstr>P1ReturnRate</vt:lpstr>
      <vt:lpstr>P2COG</vt:lpstr>
      <vt:lpstr>P2CommRate</vt:lpstr>
      <vt:lpstr>P2CommSales</vt:lpstr>
      <vt:lpstr>P2GrowthRate</vt:lpstr>
      <vt:lpstr>P2ReturnRate</vt:lpstr>
      <vt:lpstr>P3COG</vt:lpstr>
      <vt:lpstr>P3CommRate</vt:lpstr>
      <vt:lpstr>P3CommSales</vt:lpstr>
      <vt:lpstr>P3GrowthRate</vt:lpstr>
      <vt:lpstr>P3ReturnRate</vt:lpstr>
      <vt:lpstr>P4COG</vt:lpstr>
      <vt:lpstr>P4CommRate</vt:lpstr>
      <vt:lpstr>P4CommSales</vt:lpstr>
      <vt:lpstr>P4GrowthRate</vt:lpstr>
      <vt:lpstr>P4ReturnRate</vt:lpstr>
      <vt:lpstr>P5COG</vt:lpstr>
      <vt:lpstr>P5CommRate</vt:lpstr>
      <vt:lpstr>P5CommSales</vt:lpstr>
      <vt:lpstr>P5GrowthRate</vt:lpstr>
      <vt:lpstr>P5ReturnRate</vt:lpstr>
      <vt:lpstr>P6COG</vt:lpstr>
      <vt:lpstr>P6CommRate</vt:lpstr>
      <vt:lpstr>P6CommSales</vt:lpstr>
      <vt:lpstr>P6GrowthRate</vt:lpstr>
      <vt:lpstr>P6ReturnRate</vt:lpstr>
      <vt:lpstr>P7COG</vt:lpstr>
      <vt:lpstr>P7CommRate</vt:lpstr>
      <vt:lpstr>P7CommSales</vt:lpstr>
      <vt:lpstr>P7GrowthRate</vt:lpstr>
      <vt:lpstr>P7ReturnRate</vt:lpstr>
      <vt:lpstr>P8COG</vt:lpstr>
      <vt:lpstr>P8CommRate</vt:lpstr>
      <vt:lpstr>P8CommSales</vt:lpstr>
      <vt:lpstr>P8GrowthRate</vt:lpstr>
      <vt:lpstr>P8ReturnRate</vt:lpstr>
      <vt:lpstr>P9COG</vt:lpstr>
      <vt:lpstr>P9CommRate</vt:lpstr>
      <vt:lpstr>P9CommSales</vt:lpstr>
      <vt:lpstr>P9GrowthRate</vt:lpstr>
      <vt:lpstr>P9ReturnRate</vt:lpstr>
      <vt:lpstr>PayrollTaxes</vt:lpstr>
      <vt:lpstr>PlanYears</vt:lpstr>
      <vt:lpstr>About!Print_Area</vt:lpstr>
      <vt:lpstr>BalSht!Print_Area</vt:lpstr>
      <vt:lpstr>BrkEvn!Print_Area</vt:lpstr>
      <vt:lpstr>CapEx!Print_Area</vt:lpstr>
      <vt:lpstr>CapInvest!Print_Area</vt:lpstr>
      <vt:lpstr>CshFlw!Print_Area</vt:lpstr>
      <vt:lpstr>IncSt!Print_Area</vt:lpstr>
      <vt:lpstr>Inventory!Print_Area</vt:lpstr>
      <vt:lpstr>License!Print_Area</vt:lpstr>
      <vt:lpstr>MacVsWindows!Print_Area</vt:lpstr>
      <vt:lpstr>MktBudj!Print_Area</vt:lpstr>
      <vt:lpstr>PersBudj!Print_Area</vt:lpstr>
      <vt:lpstr>ProSvs!Print_Area</vt:lpstr>
      <vt:lpstr>Ratios!Print_Area</vt:lpstr>
      <vt:lpstr>SalesProj!Print_Area</vt:lpstr>
      <vt:lpstr>Setup!Print_Area</vt:lpstr>
      <vt:lpstr>Welcome!Print_Area</vt:lpstr>
      <vt:lpstr>WelcomeMac!Print_Area</vt:lpstr>
      <vt:lpstr>CshFlw!Print_Titles</vt:lpstr>
      <vt:lpstr>IncSt!Print_Titles</vt:lpstr>
      <vt:lpstr>Inventory!Print_Titles</vt:lpstr>
      <vt:lpstr>MktBudj!Print_Titles</vt:lpstr>
      <vt:lpstr>PersBudj!Print_Titles</vt:lpstr>
      <vt:lpstr>SalesProj!Print_Titles</vt:lpstr>
      <vt:lpstr>SalIncreaseRate</vt:lpstr>
      <vt:lpstr>setupMonthStart</vt:lpstr>
      <vt:lpstr>setupNumProducts</vt:lpstr>
      <vt:lpstr>setupYearStart</vt:lpstr>
      <vt:lpstr>StartupCash</vt:lpstr>
      <vt:lpstr>WrkCapQ1</vt:lpstr>
      <vt:lpstr>WrkCapQ2</vt:lpstr>
      <vt:lpstr>WrkCapQ3</vt:lpstr>
      <vt:lpstr>WrkCapQ4</vt:lpstr>
      <vt:lpstr>WrkCapY2</vt:lpstr>
      <vt:lpstr>WrkCapY3</vt:lpstr>
      <vt:lpstr>WrkCapY4</vt:lpstr>
      <vt:lpstr>WrkCapY5</vt:lpstr>
      <vt:lpstr>Yr5Mos</vt:lpstr>
    </vt:vector>
  </TitlesOfParts>
  <Manager/>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2008-05-27T16:59:15Z</dcterms:created>
  <dcterms:modified xsi:type="dcterms:W3CDTF">2008-06-03T23:00:15Z</dcterms:modified>
</cp:coreProperties>
</file>